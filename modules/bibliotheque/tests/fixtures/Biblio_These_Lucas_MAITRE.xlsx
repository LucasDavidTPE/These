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DAVID\Desktop\"/>
    </mc:Choice>
  </mc:AlternateContent>
  <xr:revisionPtr revIDLastSave="0" documentId="13_ncr:20001_{A65B5578-7B8F-4E9E-872B-BA4D7318BB3B}" xr6:coauthVersionLast="47" xr6:coauthVersionMax="47" xr10:uidLastSave="{00000000-0000-0000-0000-000000000000}"/>
  <bookViews>
    <workbookView xWindow="-120" yWindow="-120" windowWidth="29040" windowHeight="15720" tabRatio="500" firstSheet="2" activeTab="6" xr2:uid="{00000000-000D-0000-FFFF-FFFF00000000}"/>
  </bookViews>
  <sheets>
    <sheet name="Lisez-moi" sheetId="1" r:id="rId1"/>
    <sheet name="Tableau de bord" sheetId="2" r:id="rId2"/>
    <sheet name="Références" sheetId="3" r:id="rId3"/>
    <sheet name="Lecture détaillée" sheetId="4" r:id="rId4"/>
    <sheet name="Analyse croisée" sheetId="5" r:id="rId5"/>
    <sheet name="Matrice croisée" sheetId="6" r:id="rId6"/>
    <sheet name="Planning" sheetId="7" r:id="rId7"/>
    <sheet name="Demandes" sheetId="8" r:id="rId8"/>
    <sheet name="Corrections TFE" sheetId="9" r:id="rId9"/>
    <sheet name="Pistes non couvertes" sheetId="10" r:id="rId10"/>
    <sheet name="Notes de lecture" sheetId="11" r:id="rId11"/>
    <sheet name="Paramètres" sheetId="12" r:id="rId12"/>
  </sheets>
  <definedNames>
    <definedName name="_xlnm._FilterDatabase" localSheetId="7" hidden="1">Demandes!$A$3:$O$24</definedName>
    <definedName name="_xlnm._FilterDatabase" localSheetId="3" hidden="1">'Lecture détaillée'!$A$4:$X$204</definedName>
    <definedName name="_xlnm._FilterDatabase" localSheetId="5" hidden="1">'Matrice croisée'!$A$5:$AN$185</definedName>
    <definedName name="_xlnm._FilterDatabase" localSheetId="10" hidden="1">'Notes de lecture'!$A$3:$K$203</definedName>
    <definedName name="_xlnm._FilterDatabase" localSheetId="2" hidden="1">Références!$A$1:$BA$201</definedName>
    <definedName name="DossierPDF">IF(LEFT(CELL("filename",Références!$A$1),9)="C:\Users\",LEFT(CELL("filename",Références!$A$1),FIND("\",CELL("filename",Références!$A$1),10))&amp;"OneDrive - entpe.fr\bibliographie\","")</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123" i="3" l="1"/>
  <c r="O122" i="3"/>
  <c r="O121" i="3"/>
  <c r="O120" i="3"/>
  <c r="O119" i="3"/>
  <c r="O118" i="3"/>
  <c r="O117" i="3"/>
  <c r="O116" i="3"/>
  <c r="L116" i="3" s="1"/>
  <c r="O115" i="3"/>
  <c r="O114" i="3"/>
  <c r="O113" i="3"/>
  <c r="O112" i="3"/>
  <c r="O111" i="3"/>
  <c r="O110" i="3"/>
  <c r="O109" i="3"/>
  <c r="O108" i="3"/>
  <c r="O107" i="3"/>
  <c r="O106" i="3"/>
  <c r="O105" i="3"/>
  <c r="O104" i="3"/>
  <c r="L104" i="3" s="1"/>
  <c r="O103" i="3"/>
  <c r="O102" i="3"/>
  <c r="O101" i="3"/>
  <c r="O100" i="3"/>
  <c r="O99" i="3"/>
  <c r="O98" i="3"/>
  <c r="O97" i="3"/>
  <c r="O96" i="3"/>
  <c r="O95" i="3"/>
  <c r="O94" i="3"/>
  <c r="O93" i="3"/>
  <c r="O92" i="3"/>
  <c r="L92" i="3" s="1"/>
  <c r="O91" i="3"/>
  <c r="L91" i="3" s="1"/>
  <c r="O90" i="3"/>
  <c r="L90" i="3" s="1"/>
  <c r="O89" i="3"/>
  <c r="L89" i="3" s="1"/>
  <c r="O88" i="3"/>
  <c r="L88" i="3" s="1"/>
  <c r="O87" i="3"/>
  <c r="L87" i="3" s="1"/>
  <c r="O86" i="3"/>
  <c r="L86" i="3" s="1"/>
  <c r="O85" i="3"/>
  <c r="L85" i="3" s="1"/>
  <c r="O84" i="3"/>
  <c r="L84" i="3" s="1"/>
  <c r="O83" i="3"/>
  <c r="L83" i="3" s="1"/>
  <c r="O82" i="3"/>
  <c r="L82" i="3" s="1"/>
  <c r="O81" i="3"/>
  <c r="L81" i="3" s="1"/>
  <c r="O80" i="3"/>
  <c r="L80" i="3" s="1"/>
  <c r="O79" i="3"/>
  <c r="L79" i="3" s="1"/>
  <c r="O78" i="3"/>
  <c r="L78" i="3" s="1"/>
  <c r="O77" i="3"/>
  <c r="L77" i="3" s="1"/>
  <c r="O76" i="3"/>
  <c r="L76" i="3" s="1"/>
  <c r="O75" i="3"/>
  <c r="L75" i="3" s="1"/>
  <c r="O74" i="3"/>
  <c r="L74" i="3" s="1"/>
  <c r="O73" i="3"/>
  <c r="L73" i="3" s="1"/>
  <c r="O72" i="3"/>
  <c r="L72" i="3" s="1"/>
  <c r="O71" i="3"/>
  <c r="L71" i="3" s="1"/>
  <c r="O70" i="3"/>
  <c r="O69" i="3"/>
  <c r="L69" i="3" s="1"/>
  <c r="O68" i="3"/>
  <c r="L68" i="3" s="1"/>
  <c r="O67" i="3"/>
  <c r="L67" i="3" s="1"/>
  <c r="O66" i="3"/>
  <c r="L66" i="3" s="1"/>
  <c r="O65" i="3"/>
  <c r="L65" i="3" s="1"/>
  <c r="O64" i="3"/>
  <c r="L64" i="3" s="1"/>
  <c r="O63" i="3"/>
  <c r="L63" i="3" s="1"/>
  <c r="O62" i="3"/>
  <c r="L62" i="3" s="1"/>
  <c r="O61" i="3"/>
  <c r="L61" i="3" s="1"/>
  <c r="O60" i="3"/>
  <c r="L60" i="3" s="1"/>
  <c r="O59" i="3"/>
  <c r="L59" i="3" s="1"/>
  <c r="O58" i="3"/>
  <c r="L58" i="3" s="1"/>
  <c r="O57" i="3"/>
  <c r="O56" i="3"/>
  <c r="O55" i="3"/>
  <c r="O54" i="3"/>
  <c r="L54" i="3" s="1"/>
  <c r="O53" i="3"/>
  <c r="L53" i="3" s="1"/>
  <c r="O52" i="3"/>
  <c r="L52" i="3" s="1"/>
  <c r="O51" i="3"/>
  <c r="L51" i="3" s="1"/>
  <c r="O50" i="3"/>
  <c r="L50" i="3" s="1"/>
  <c r="O49" i="3"/>
  <c r="L49" i="3" s="1"/>
  <c r="O48" i="3"/>
  <c r="L48" i="3" s="1"/>
  <c r="O47" i="3"/>
  <c r="L47" i="3" s="1"/>
  <c r="O46" i="3"/>
  <c r="L46" i="3" s="1"/>
  <c r="O45" i="3"/>
  <c r="L45" i="3" s="1"/>
  <c r="O44" i="3"/>
  <c r="L44" i="3" s="1"/>
  <c r="O43" i="3"/>
  <c r="O42" i="3"/>
  <c r="L42" i="3" s="1"/>
  <c r="O41" i="3"/>
  <c r="L41" i="3" s="1"/>
  <c r="O40" i="3"/>
  <c r="L40" i="3" s="1"/>
  <c r="O39" i="3"/>
  <c r="L39" i="3" s="1"/>
  <c r="O38" i="3"/>
  <c r="L38" i="3" s="1"/>
  <c r="O37" i="3"/>
  <c r="L37" i="3" s="1"/>
  <c r="O36" i="3"/>
  <c r="L36" i="3" s="1"/>
  <c r="O35" i="3"/>
  <c r="L35" i="3" s="1"/>
  <c r="O34" i="3"/>
  <c r="L34" i="3" s="1"/>
  <c r="O33" i="3"/>
  <c r="L33" i="3" s="1"/>
  <c r="O32" i="3"/>
  <c r="O31" i="3"/>
  <c r="L31" i="3" s="1"/>
  <c r="O30" i="3"/>
  <c r="O29" i="3"/>
  <c r="L29" i="3" s="1"/>
  <c r="O28" i="3"/>
  <c r="L28" i="3" s="1"/>
  <c r="O27" i="3"/>
  <c r="L27" i="3" s="1"/>
  <c r="O26" i="3"/>
  <c r="L26" i="3" s="1"/>
  <c r="O25" i="3"/>
  <c r="L25" i="3" s="1"/>
  <c r="O24" i="3"/>
  <c r="L24" i="3" s="1"/>
  <c r="O23" i="3"/>
  <c r="O22" i="3"/>
  <c r="L22" i="3" s="1"/>
  <c r="O21" i="3"/>
  <c r="L21" i="3" s="1"/>
  <c r="O20" i="3"/>
  <c r="L20" i="3" s="1"/>
  <c r="O19" i="3"/>
  <c r="L19" i="3" s="1"/>
  <c r="O18" i="3"/>
  <c r="L18" i="3" s="1"/>
  <c r="O17" i="3"/>
  <c r="L17" i="3" s="1"/>
  <c r="O16" i="3"/>
  <c r="L16" i="3" s="1"/>
  <c r="O15" i="3"/>
  <c r="L15" i="3" s="1"/>
  <c r="O14" i="3"/>
  <c r="L14" i="3" s="1"/>
  <c r="O13" i="3"/>
  <c r="L13" i="3" s="1"/>
  <c r="O12" i="3"/>
  <c r="L12" i="3" s="1"/>
  <c r="O11" i="3"/>
  <c r="L11" i="3" s="1"/>
  <c r="O10" i="3"/>
  <c r="L10" i="3" s="1"/>
  <c r="O9" i="3"/>
  <c r="O8" i="3"/>
  <c r="L8" i="3" s="1"/>
  <c r="O7" i="3"/>
  <c r="L7" i="3" s="1"/>
  <c r="O6" i="3"/>
  <c r="L6" i="3" s="1"/>
  <c r="O5" i="3"/>
  <c r="L5" i="3" s="1"/>
  <c r="O4" i="3"/>
  <c r="O3" i="3"/>
  <c r="L3" i="3" s="1"/>
  <c r="O2" i="3"/>
  <c r="L2" i="3" s="1"/>
  <c r="U11" i="12"/>
  <c r="U10" i="12"/>
  <c r="U9" i="12"/>
  <c r="U8" i="12"/>
  <c r="U7" i="12"/>
  <c r="U6" i="12"/>
  <c r="C6" i="12"/>
  <c r="C8" i="12" s="1"/>
  <c r="E203" i="11"/>
  <c r="D203" i="11"/>
  <c r="C203" i="11"/>
  <c r="B203" i="11"/>
  <c r="E202" i="11"/>
  <c r="D202" i="11"/>
  <c r="C202" i="11"/>
  <c r="B202" i="11"/>
  <c r="E201" i="11"/>
  <c r="D201" i="11"/>
  <c r="C201" i="11"/>
  <c r="B201" i="11"/>
  <c r="E200" i="11"/>
  <c r="D200" i="11"/>
  <c r="C200" i="11"/>
  <c r="B200" i="11"/>
  <c r="E199" i="11"/>
  <c r="D199" i="11"/>
  <c r="C199" i="11"/>
  <c r="B199" i="11"/>
  <c r="E198" i="11"/>
  <c r="D198" i="11"/>
  <c r="C198" i="11"/>
  <c r="B198" i="11"/>
  <c r="E197" i="11"/>
  <c r="D197" i="11"/>
  <c r="C197" i="11"/>
  <c r="B197" i="11"/>
  <c r="E196" i="11"/>
  <c r="D196" i="11"/>
  <c r="C196" i="11"/>
  <c r="B196" i="11"/>
  <c r="E195" i="11"/>
  <c r="D195" i="11"/>
  <c r="C195" i="11"/>
  <c r="B195" i="11"/>
  <c r="E194" i="11"/>
  <c r="D194" i="11"/>
  <c r="C194" i="11"/>
  <c r="B194" i="11"/>
  <c r="E193" i="11"/>
  <c r="D193" i="11"/>
  <c r="C193" i="11"/>
  <c r="B193" i="11"/>
  <c r="E192" i="11"/>
  <c r="D192" i="11"/>
  <c r="C192" i="11"/>
  <c r="B192" i="11"/>
  <c r="E191" i="11"/>
  <c r="D191" i="11"/>
  <c r="C191" i="11"/>
  <c r="B191" i="11"/>
  <c r="E190" i="11"/>
  <c r="D190" i="11"/>
  <c r="C190" i="11"/>
  <c r="B190" i="11"/>
  <c r="E189" i="11"/>
  <c r="D189" i="11"/>
  <c r="C189" i="11"/>
  <c r="B189" i="11"/>
  <c r="E188" i="11"/>
  <c r="D188" i="11"/>
  <c r="C188" i="11"/>
  <c r="B188" i="11"/>
  <c r="E187" i="11"/>
  <c r="D187" i="11"/>
  <c r="C187" i="11"/>
  <c r="B187" i="11"/>
  <c r="E186" i="11"/>
  <c r="D186" i="11"/>
  <c r="C186" i="11"/>
  <c r="B186" i="11"/>
  <c r="E185" i="11"/>
  <c r="D185" i="11"/>
  <c r="C185" i="11"/>
  <c r="B185" i="11"/>
  <c r="E184" i="11"/>
  <c r="D184" i="11"/>
  <c r="C184" i="11"/>
  <c r="B184" i="11"/>
  <c r="E183" i="11"/>
  <c r="D183" i="11"/>
  <c r="C183" i="11"/>
  <c r="B183" i="11"/>
  <c r="E182" i="11"/>
  <c r="D182" i="11"/>
  <c r="C182" i="11"/>
  <c r="B182" i="11"/>
  <c r="E181" i="11"/>
  <c r="D181" i="11"/>
  <c r="C181" i="11"/>
  <c r="B181" i="11"/>
  <c r="E180" i="11"/>
  <c r="D180" i="11"/>
  <c r="C180" i="11"/>
  <c r="B180" i="11"/>
  <c r="E179" i="11"/>
  <c r="D179" i="11"/>
  <c r="C179" i="11"/>
  <c r="B179" i="11"/>
  <c r="E178" i="11"/>
  <c r="D178" i="11"/>
  <c r="C178" i="11"/>
  <c r="B178" i="11"/>
  <c r="E177" i="11"/>
  <c r="D177" i="11"/>
  <c r="C177" i="11"/>
  <c r="B177" i="11"/>
  <c r="E176" i="11"/>
  <c r="D176" i="11"/>
  <c r="C176" i="11"/>
  <c r="B176" i="11"/>
  <c r="E175" i="11"/>
  <c r="D175" i="11"/>
  <c r="C175" i="11"/>
  <c r="B175" i="11"/>
  <c r="E174" i="11"/>
  <c r="D174" i="11"/>
  <c r="C174" i="11"/>
  <c r="B174" i="11"/>
  <c r="E173" i="11"/>
  <c r="D173" i="11"/>
  <c r="C173" i="11"/>
  <c r="B173" i="11"/>
  <c r="E172" i="11"/>
  <c r="D172" i="11"/>
  <c r="C172" i="11"/>
  <c r="B172" i="11"/>
  <c r="E171" i="11"/>
  <c r="D171" i="11"/>
  <c r="C171" i="11"/>
  <c r="B171" i="11"/>
  <c r="E170" i="11"/>
  <c r="D170" i="11"/>
  <c r="C170" i="11"/>
  <c r="B170" i="11"/>
  <c r="E169" i="11"/>
  <c r="D169" i="11"/>
  <c r="C169" i="11"/>
  <c r="B169" i="11"/>
  <c r="E168" i="11"/>
  <c r="D168" i="11"/>
  <c r="C168" i="11"/>
  <c r="B168" i="11"/>
  <c r="E167" i="11"/>
  <c r="D167" i="11"/>
  <c r="C167" i="11"/>
  <c r="B167" i="11"/>
  <c r="E166" i="11"/>
  <c r="D166" i="11"/>
  <c r="C166" i="11"/>
  <c r="B166" i="11"/>
  <c r="E165" i="11"/>
  <c r="D165" i="11"/>
  <c r="C165" i="11"/>
  <c r="B165" i="11"/>
  <c r="E164" i="11"/>
  <c r="D164" i="11"/>
  <c r="C164" i="11"/>
  <c r="B164" i="11"/>
  <c r="E163" i="11"/>
  <c r="D163" i="11"/>
  <c r="C163" i="11"/>
  <c r="B163" i="11"/>
  <c r="E162" i="11"/>
  <c r="D162" i="11"/>
  <c r="C162" i="11"/>
  <c r="B162" i="11"/>
  <c r="E161" i="11"/>
  <c r="D161" i="11"/>
  <c r="C161" i="11"/>
  <c r="B161" i="11"/>
  <c r="E160" i="11"/>
  <c r="D160" i="11"/>
  <c r="C160" i="11"/>
  <c r="B160" i="11"/>
  <c r="E159" i="11"/>
  <c r="D159" i="11"/>
  <c r="C159" i="11"/>
  <c r="B159" i="11"/>
  <c r="E158" i="11"/>
  <c r="D158" i="11"/>
  <c r="C158" i="11"/>
  <c r="B158" i="11"/>
  <c r="E157" i="11"/>
  <c r="D157" i="11"/>
  <c r="C157" i="11"/>
  <c r="B157" i="11"/>
  <c r="E156" i="11"/>
  <c r="D156" i="11"/>
  <c r="C156" i="11"/>
  <c r="B156" i="11"/>
  <c r="E155" i="11"/>
  <c r="D155" i="11"/>
  <c r="C155" i="11"/>
  <c r="B155" i="11"/>
  <c r="E154" i="11"/>
  <c r="D154" i="11"/>
  <c r="C154" i="11"/>
  <c r="B154" i="11"/>
  <c r="E153" i="11"/>
  <c r="D153" i="11"/>
  <c r="C153" i="11"/>
  <c r="B153" i="11"/>
  <c r="E152" i="11"/>
  <c r="D152" i="11"/>
  <c r="C152" i="11"/>
  <c r="B152" i="11"/>
  <c r="E151" i="11"/>
  <c r="D151" i="11"/>
  <c r="C151" i="11"/>
  <c r="B151" i="11"/>
  <c r="E150" i="11"/>
  <c r="D150" i="11"/>
  <c r="C150" i="11"/>
  <c r="B150" i="11"/>
  <c r="E149" i="11"/>
  <c r="D149" i="11"/>
  <c r="C149" i="11"/>
  <c r="B149" i="11"/>
  <c r="E148" i="11"/>
  <c r="D148" i="11"/>
  <c r="C148" i="11"/>
  <c r="B148" i="11"/>
  <c r="E147" i="11"/>
  <c r="D147" i="11"/>
  <c r="C147" i="11"/>
  <c r="B147" i="11"/>
  <c r="E146" i="11"/>
  <c r="D146" i="11"/>
  <c r="C146" i="11"/>
  <c r="B146" i="11"/>
  <c r="E145" i="11"/>
  <c r="D145" i="11"/>
  <c r="C145" i="11"/>
  <c r="B145" i="11"/>
  <c r="E144" i="11"/>
  <c r="D144" i="11"/>
  <c r="C144" i="11"/>
  <c r="B144" i="11"/>
  <c r="E143" i="11"/>
  <c r="D143" i="11"/>
  <c r="C143" i="11"/>
  <c r="B143" i="11"/>
  <c r="E142" i="11"/>
  <c r="D142" i="11"/>
  <c r="C142" i="11"/>
  <c r="B142" i="11"/>
  <c r="E141" i="11"/>
  <c r="D141" i="11"/>
  <c r="C141" i="11"/>
  <c r="B141" i="11"/>
  <c r="E140" i="11"/>
  <c r="D140" i="11"/>
  <c r="C140" i="11"/>
  <c r="B140" i="11"/>
  <c r="E139" i="11"/>
  <c r="D139" i="11"/>
  <c r="C139" i="11"/>
  <c r="B139" i="11"/>
  <c r="E138" i="11"/>
  <c r="D138" i="11"/>
  <c r="C138" i="11"/>
  <c r="B138" i="11"/>
  <c r="E137" i="11"/>
  <c r="D137" i="11"/>
  <c r="C137" i="11"/>
  <c r="B137" i="11"/>
  <c r="E136" i="11"/>
  <c r="D136" i="11"/>
  <c r="C136" i="11"/>
  <c r="B136" i="11"/>
  <c r="E135" i="11"/>
  <c r="D135" i="11"/>
  <c r="C135" i="11"/>
  <c r="B135" i="11"/>
  <c r="E134" i="11"/>
  <c r="D134" i="11"/>
  <c r="C134" i="11"/>
  <c r="B134" i="11"/>
  <c r="E133" i="11"/>
  <c r="D133" i="11"/>
  <c r="C133" i="11"/>
  <c r="B133" i="11"/>
  <c r="E132" i="11"/>
  <c r="D132" i="11"/>
  <c r="C132" i="11"/>
  <c r="B132" i="11"/>
  <c r="E131" i="11"/>
  <c r="D131" i="11"/>
  <c r="C131" i="11"/>
  <c r="B131" i="11"/>
  <c r="E130" i="11"/>
  <c r="D130" i="11"/>
  <c r="C130" i="11"/>
  <c r="B130" i="11"/>
  <c r="E129" i="11"/>
  <c r="D129" i="11"/>
  <c r="C129" i="11"/>
  <c r="B129" i="11"/>
  <c r="E128" i="11"/>
  <c r="D128" i="11"/>
  <c r="C128" i="11"/>
  <c r="B128" i="11"/>
  <c r="E127" i="11"/>
  <c r="D127" i="11"/>
  <c r="C127" i="11"/>
  <c r="B127" i="11"/>
  <c r="E126" i="11"/>
  <c r="D126" i="11"/>
  <c r="C126" i="11"/>
  <c r="B126" i="11"/>
  <c r="E125" i="11"/>
  <c r="D125" i="11"/>
  <c r="C125" i="11"/>
  <c r="E124" i="11"/>
  <c r="D124" i="11"/>
  <c r="C124" i="11"/>
  <c r="E123" i="11"/>
  <c r="D123" i="11"/>
  <c r="C123" i="11"/>
  <c r="E122" i="11"/>
  <c r="D122" i="11"/>
  <c r="C122" i="11"/>
  <c r="B122" i="11"/>
  <c r="E121" i="11"/>
  <c r="D121" i="11"/>
  <c r="C121" i="11"/>
  <c r="E120" i="11"/>
  <c r="D120" i="11"/>
  <c r="C120" i="11"/>
  <c r="E119" i="11"/>
  <c r="D119" i="11"/>
  <c r="C119" i="11"/>
  <c r="E118" i="11"/>
  <c r="D118" i="11"/>
  <c r="C118" i="11"/>
  <c r="E117" i="11"/>
  <c r="D117" i="11"/>
  <c r="C117" i="11"/>
  <c r="E116" i="11"/>
  <c r="D116" i="11"/>
  <c r="C116" i="11"/>
  <c r="E115" i="11"/>
  <c r="D115" i="11"/>
  <c r="C115" i="11"/>
  <c r="E114" i="11"/>
  <c r="D114" i="11"/>
  <c r="C114" i="11"/>
  <c r="E113" i="11"/>
  <c r="D113" i="11"/>
  <c r="C113" i="11"/>
  <c r="E112" i="11"/>
  <c r="D112" i="11"/>
  <c r="C112" i="11"/>
  <c r="E111" i="11"/>
  <c r="D111" i="11"/>
  <c r="C111" i="11"/>
  <c r="E110" i="11"/>
  <c r="D110" i="11"/>
  <c r="C110" i="11"/>
  <c r="E109" i="11"/>
  <c r="D109" i="11"/>
  <c r="C109" i="11"/>
  <c r="E108" i="11"/>
  <c r="D108" i="11"/>
  <c r="C108" i="11"/>
  <c r="E107" i="11"/>
  <c r="D107" i="11"/>
  <c r="C107" i="11"/>
  <c r="E106" i="11"/>
  <c r="D106" i="11"/>
  <c r="C106" i="11"/>
  <c r="E105" i="11"/>
  <c r="D105" i="11"/>
  <c r="C105" i="11"/>
  <c r="E104" i="11"/>
  <c r="D104" i="11"/>
  <c r="C104" i="11"/>
  <c r="E103" i="11"/>
  <c r="D103" i="11"/>
  <c r="C103" i="11"/>
  <c r="E102" i="11"/>
  <c r="D102" i="11"/>
  <c r="C102" i="11"/>
  <c r="E101" i="11"/>
  <c r="D101" i="11"/>
  <c r="C101" i="11"/>
  <c r="E100" i="11"/>
  <c r="D100" i="11"/>
  <c r="C100" i="11"/>
  <c r="E99" i="11"/>
  <c r="D99" i="11"/>
  <c r="C99" i="11"/>
  <c r="E98" i="11"/>
  <c r="D98" i="11"/>
  <c r="C98" i="11"/>
  <c r="E97" i="11"/>
  <c r="D97" i="11"/>
  <c r="C97" i="11"/>
  <c r="E96" i="11"/>
  <c r="D96" i="11"/>
  <c r="C96" i="11"/>
  <c r="E95" i="11"/>
  <c r="D95" i="11"/>
  <c r="C95" i="11"/>
  <c r="E94" i="11"/>
  <c r="D94" i="11"/>
  <c r="C94" i="11"/>
  <c r="B94" i="11"/>
  <c r="E93" i="11"/>
  <c r="D93" i="11"/>
  <c r="C93" i="11"/>
  <c r="B93" i="11"/>
  <c r="E92" i="11"/>
  <c r="D92" i="11"/>
  <c r="C92" i="11"/>
  <c r="B92" i="11"/>
  <c r="E91" i="11"/>
  <c r="D91" i="11"/>
  <c r="C91" i="11"/>
  <c r="B91" i="11"/>
  <c r="E90" i="11"/>
  <c r="D90" i="11"/>
  <c r="C90" i="11"/>
  <c r="B90" i="11"/>
  <c r="E89" i="11"/>
  <c r="D89" i="11"/>
  <c r="C89" i="11"/>
  <c r="B89" i="11"/>
  <c r="E88" i="11"/>
  <c r="D88" i="11"/>
  <c r="C88" i="11"/>
  <c r="B88" i="11"/>
  <c r="E87" i="11"/>
  <c r="D87" i="11"/>
  <c r="C87" i="11"/>
  <c r="B87" i="11"/>
  <c r="E86" i="11"/>
  <c r="D86" i="11"/>
  <c r="C86" i="11"/>
  <c r="B86" i="11"/>
  <c r="E85" i="11"/>
  <c r="D85" i="11"/>
  <c r="C85" i="11"/>
  <c r="B85" i="11"/>
  <c r="E84" i="11"/>
  <c r="D84" i="11"/>
  <c r="C84" i="11"/>
  <c r="B84" i="11"/>
  <c r="E83" i="11"/>
  <c r="D83" i="11"/>
  <c r="C83" i="11"/>
  <c r="B83" i="11"/>
  <c r="E82" i="11"/>
  <c r="D82" i="11"/>
  <c r="C82" i="11"/>
  <c r="B82" i="11"/>
  <c r="E81" i="11"/>
  <c r="D81" i="11"/>
  <c r="C81" i="11"/>
  <c r="B81" i="11"/>
  <c r="E80" i="11"/>
  <c r="D80" i="11"/>
  <c r="C80" i="11"/>
  <c r="B80" i="11"/>
  <c r="E79" i="11"/>
  <c r="D79" i="11"/>
  <c r="C79" i="11"/>
  <c r="B79" i="11"/>
  <c r="E78" i="11"/>
  <c r="D78" i="11"/>
  <c r="C78" i="11"/>
  <c r="B78" i="11"/>
  <c r="E77" i="11"/>
  <c r="D77" i="11"/>
  <c r="C77" i="11"/>
  <c r="B77" i="11"/>
  <c r="E76" i="11"/>
  <c r="D76" i="11"/>
  <c r="C76" i="11"/>
  <c r="B76" i="11"/>
  <c r="E75" i="11"/>
  <c r="D75" i="11"/>
  <c r="C75" i="11"/>
  <c r="B75" i="11"/>
  <c r="E74" i="11"/>
  <c r="D74" i="11"/>
  <c r="C74" i="11"/>
  <c r="B74" i="11"/>
  <c r="E73" i="11"/>
  <c r="D73" i="11"/>
  <c r="C73" i="11"/>
  <c r="B73" i="11"/>
  <c r="E72" i="11"/>
  <c r="D72" i="11"/>
  <c r="C72" i="11"/>
  <c r="B72" i="11"/>
  <c r="E71" i="11"/>
  <c r="D71" i="11"/>
  <c r="C71" i="11"/>
  <c r="B71" i="11"/>
  <c r="E70" i="11"/>
  <c r="D70" i="11"/>
  <c r="C70" i="11"/>
  <c r="B70" i="11"/>
  <c r="E69" i="11"/>
  <c r="D69" i="11"/>
  <c r="C69" i="11"/>
  <c r="B69" i="11"/>
  <c r="E68" i="11"/>
  <c r="D68" i="11"/>
  <c r="C68" i="11"/>
  <c r="B68" i="11"/>
  <c r="E67" i="11"/>
  <c r="D67" i="11"/>
  <c r="C67" i="11"/>
  <c r="B67" i="11"/>
  <c r="E66" i="11"/>
  <c r="D66" i="11"/>
  <c r="C66" i="11"/>
  <c r="B66" i="11"/>
  <c r="E65" i="11"/>
  <c r="D65" i="11"/>
  <c r="C65" i="11"/>
  <c r="B65" i="11"/>
  <c r="E64" i="11"/>
  <c r="D64" i="11"/>
  <c r="C64" i="11"/>
  <c r="B64" i="11"/>
  <c r="E63" i="11"/>
  <c r="D63" i="11"/>
  <c r="C63" i="11"/>
  <c r="B63" i="11"/>
  <c r="E62" i="11"/>
  <c r="D62" i="11"/>
  <c r="C62" i="11"/>
  <c r="B62" i="11"/>
  <c r="E61" i="11"/>
  <c r="D61" i="11"/>
  <c r="C61" i="11"/>
  <c r="B61" i="11"/>
  <c r="E60" i="11"/>
  <c r="D60" i="11"/>
  <c r="C60" i="11"/>
  <c r="B60" i="11"/>
  <c r="E59" i="11"/>
  <c r="D59" i="11"/>
  <c r="C59" i="11"/>
  <c r="B59" i="11"/>
  <c r="E58" i="11"/>
  <c r="D58" i="11"/>
  <c r="C58" i="11"/>
  <c r="B58" i="11"/>
  <c r="E57" i="11"/>
  <c r="D57" i="11"/>
  <c r="C57" i="11"/>
  <c r="B57" i="11"/>
  <c r="E56" i="11"/>
  <c r="D56" i="11"/>
  <c r="C56" i="11"/>
  <c r="B56" i="11"/>
  <c r="E55" i="11"/>
  <c r="D55" i="11"/>
  <c r="C55" i="11"/>
  <c r="B55" i="11"/>
  <c r="E54" i="11"/>
  <c r="D54" i="11"/>
  <c r="C54" i="11"/>
  <c r="B54" i="11"/>
  <c r="E53" i="11"/>
  <c r="D53" i="11"/>
  <c r="C53" i="11"/>
  <c r="B53" i="11"/>
  <c r="E52" i="11"/>
  <c r="D52" i="11"/>
  <c r="C52" i="11"/>
  <c r="B52" i="11"/>
  <c r="E51" i="11"/>
  <c r="D51" i="11"/>
  <c r="C51" i="11"/>
  <c r="B51" i="11"/>
  <c r="E50" i="11"/>
  <c r="D50" i="11"/>
  <c r="C50" i="11"/>
  <c r="B50" i="11"/>
  <c r="E49" i="11"/>
  <c r="D49" i="11"/>
  <c r="C49" i="11"/>
  <c r="B49" i="11"/>
  <c r="E48" i="11"/>
  <c r="D48" i="11"/>
  <c r="C48" i="11"/>
  <c r="B48" i="11"/>
  <c r="E47" i="11"/>
  <c r="D47" i="11"/>
  <c r="C47" i="11"/>
  <c r="B47" i="11"/>
  <c r="E46" i="11"/>
  <c r="D46" i="11"/>
  <c r="C46" i="11"/>
  <c r="B46" i="11"/>
  <c r="E45" i="11"/>
  <c r="D45" i="11"/>
  <c r="C45" i="11"/>
  <c r="B45" i="11"/>
  <c r="E44" i="11"/>
  <c r="D44" i="11"/>
  <c r="C44" i="11"/>
  <c r="E43" i="11"/>
  <c r="D43" i="11"/>
  <c r="C43" i="11"/>
  <c r="E42" i="11"/>
  <c r="D42" i="11"/>
  <c r="C42" i="11"/>
  <c r="E41" i="11"/>
  <c r="D41" i="11"/>
  <c r="C41" i="11"/>
  <c r="E40" i="11"/>
  <c r="D40" i="11"/>
  <c r="C40" i="11"/>
  <c r="B40" i="11"/>
  <c r="E39" i="11"/>
  <c r="D39" i="11"/>
  <c r="C39" i="11"/>
  <c r="B39" i="11"/>
  <c r="E38" i="11"/>
  <c r="D38" i="11"/>
  <c r="C38" i="11"/>
  <c r="B38" i="11"/>
  <c r="E37" i="11"/>
  <c r="D37" i="11"/>
  <c r="C37" i="11"/>
  <c r="B37" i="11"/>
  <c r="E36" i="11"/>
  <c r="D36" i="11"/>
  <c r="C36" i="11"/>
  <c r="B36" i="11"/>
  <c r="E35" i="11"/>
  <c r="D35" i="11"/>
  <c r="C35" i="11"/>
  <c r="B35" i="11"/>
  <c r="E34" i="11"/>
  <c r="D34" i="11"/>
  <c r="C34" i="11"/>
  <c r="B34" i="11"/>
  <c r="E33" i="11"/>
  <c r="D33" i="11"/>
  <c r="C33" i="11"/>
  <c r="B33" i="11"/>
  <c r="E32" i="11"/>
  <c r="D32" i="11"/>
  <c r="C32" i="11"/>
  <c r="B32" i="11"/>
  <c r="E31" i="11"/>
  <c r="D31" i="11"/>
  <c r="C31" i="11"/>
  <c r="B31" i="11"/>
  <c r="E30" i="11"/>
  <c r="D30" i="11"/>
  <c r="C30" i="11"/>
  <c r="B30" i="11"/>
  <c r="E29" i="11"/>
  <c r="D29" i="11"/>
  <c r="C29" i="11"/>
  <c r="B29" i="11"/>
  <c r="E28" i="11"/>
  <c r="D28" i="11"/>
  <c r="C28" i="11"/>
  <c r="B28" i="11"/>
  <c r="E27" i="11"/>
  <c r="D27" i="11"/>
  <c r="C27" i="11"/>
  <c r="E26" i="11"/>
  <c r="D26" i="11"/>
  <c r="C26" i="11"/>
  <c r="E25" i="11"/>
  <c r="D25" i="11"/>
  <c r="C25" i="11"/>
  <c r="E24" i="11"/>
  <c r="D24" i="11"/>
  <c r="C24" i="11"/>
  <c r="E23" i="11"/>
  <c r="D23" i="11"/>
  <c r="C23" i="11"/>
  <c r="E22" i="11"/>
  <c r="D22" i="11"/>
  <c r="C22" i="11"/>
  <c r="E21" i="11"/>
  <c r="D21" i="11"/>
  <c r="C21" i="11"/>
  <c r="E20" i="11"/>
  <c r="D20" i="11"/>
  <c r="C20" i="11"/>
  <c r="E19" i="11"/>
  <c r="D19" i="11"/>
  <c r="C19" i="11"/>
  <c r="E18" i="11"/>
  <c r="D18" i="11"/>
  <c r="C18" i="11"/>
  <c r="E17" i="11"/>
  <c r="D17" i="11"/>
  <c r="C17" i="11"/>
  <c r="E16" i="11"/>
  <c r="D16" i="11"/>
  <c r="C16" i="11"/>
  <c r="E15" i="11"/>
  <c r="D15" i="11"/>
  <c r="C15" i="11"/>
  <c r="E14" i="11"/>
  <c r="D14" i="11"/>
  <c r="C14" i="11"/>
  <c r="E13" i="11"/>
  <c r="D13" i="11"/>
  <c r="C13" i="11"/>
  <c r="E12" i="11"/>
  <c r="D12" i="11"/>
  <c r="C12" i="11"/>
  <c r="E11" i="11"/>
  <c r="D11" i="11"/>
  <c r="C11" i="11"/>
  <c r="E10" i="11"/>
  <c r="D10" i="11"/>
  <c r="C10" i="11"/>
  <c r="E9" i="11"/>
  <c r="D9" i="11"/>
  <c r="C9" i="11"/>
  <c r="E8" i="11"/>
  <c r="D8" i="11"/>
  <c r="C8" i="11"/>
  <c r="E7" i="11"/>
  <c r="D7" i="11"/>
  <c r="C7" i="11"/>
  <c r="E6" i="11"/>
  <c r="D6" i="11"/>
  <c r="C6" i="11"/>
  <c r="E5" i="11"/>
  <c r="D5" i="11"/>
  <c r="C5" i="11"/>
  <c r="E4" i="11"/>
  <c r="D4" i="11"/>
  <c r="C4" i="11"/>
  <c r="C17" i="9"/>
  <c r="C13" i="9"/>
  <c r="C4" i="9"/>
  <c r="N24" i="8"/>
  <c r="M24" i="8"/>
  <c r="J24" i="8"/>
  <c r="N23" i="8"/>
  <c r="M23" i="8"/>
  <c r="J23" i="8"/>
  <c r="N22" i="8"/>
  <c r="M22" i="8"/>
  <c r="J22" i="8"/>
  <c r="N21" i="8"/>
  <c r="M21" i="8"/>
  <c r="J21" i="8"/>
  <c r="N20" i="8"/>
  <c r="M20" i="8"/>
  <c r="J20" i="8"/>
  <c r="N19" i="8"/>
  <c r="M19" i="8"/>
  <c r="J19" i="8"/>
  <c r="N18" i="8"/>
  <c r="M18" i="8"/>
  <c r="J18" i="8"/>
  <c r="N17" i="8"/>
  <c r="M17" i="8"/>
  <c r="J17" i="8"/>
  <c r="N16" i="8"/>
  <c r="M16" i="8"/>
  <c r="J16" i="8"/>
  <c r="N15" i="8"/>
  <c r="M15" i="8"/>
  <c r="J15" i="8"/>
  <c r="M14" i="8"/>
  <c r="J14" i="8"/>
  <c r="M13" i="8"/>
  <c r="J13" i="8"/>
  <c r="M12" i="8"/>
  <c r="J12" i="8"/>
  <c r="M11" i="8"/>
  <c r="J11" i="8"/>
  <c r="M10" i="8"/>
  <c r="J10" i="8"/>
  <c r="M9" i="8"/>
  <c r="J9" i="8"/>
  <c r="M8" i="8"/>
  <c r="J8" i="8"/>
  <c r="M7" i="8"/>
  <c r="J7" i="8"/>
  <c r="M6" i="8"/>
  <c r="J6" i="8"/>
  <c r="M5" i="8"/>
  <c r="J5" i="8"/>
  <c r="M4" i="8"/>
  <c r="J4" i="8"/>
  <c r="C159" i="7"/>
  <c r="C8" i="7"/>
  <c r="D128" i="6"/>
  <c r="C128" i="6"/>
  <c r="B128" i="6"/>
  <c r="D127" i="6"/>
  <c r="C127" i="6"/>
  <c r="B127" i="6"/>
  <c r="D126" i="6"/>
  <c r="C126" i="6"/>
  <c r="B126" i="6"/>
  <c r="D125" i="6"/>
  <c r="C125" i="6"/>
  <c r="B125" i="6"/>
  <c r="D124" i="6"/>
  <c r="C124" i="6"/>
  <c r="B124" i="6"/>
  <c r="D123" i="6"/>
  <c r="C123" i="6"/>
  <c r="B123" i="6"/>
  <c r="D122" i="6"/>
  <c r="C122" i="6"/>
  <c r="B122" i="6"/>
  <c r="D121" i="6"/>
  <c r="C121" i="6"/>
  <c r="B121" i="6"/>
  <c r="D120" i="6"/>
  <c r="C120" i="6"/>
  <c r="B120" i="6"/>
  <c r="D119" i="6"/>
  <c r="C119" i="6"/>
  <c r="B119" i="6"/>
  <c r="D118" i="6"/>
  <c r="C118" i="6"/>
  <c r="B118" i="6"/>
  <c r="D117" i="6"/>
  <c r="C117" i="6"/>
  <c r="B117" i="6"/>
  <c r="D116" i="6"/>
  <c r="C116" i="6"/>
  <c r="B116" i="6"/>
  <c r="D115" i="6"/>
  <c r="C115" i="6"/>
  <c r="B115" i="6"/>
  <c r="D114" i="6"/>
  <c r="C114" i="6"/>
  <c r="B114" i="6"/>
  <c r="D113" i="6"/>
  <c r="C113" i="6"/>
  <c r="B113" i="6"/>
  <c r="D112" i="6"/>
  <c r="C112" i="6"/>
  <c r="B112" i="6"/>
  <c r="D111" i="6"/>
  <c r="C111" i="6"/>
  <c r="B111" i="6"/>
  <c r="D110" i="6"/>
  <c r="C110" i="6"/>
  <c r="B110" i="6"/>
  <c r="D109" i="6"/>
  <c r="C109" i="6"/>
  <c r="B109" i="6"/>
  <c r="D108" i="6"/>
  <c r="C108" i="6"/>
  <c r="B108" i="6"/>
  <c r="D107" i="6"/>
  <c r="C107" i="6"/>
  <c r="B107" i="6"/>
  <c r="D106" i="6"/>
  <c r="C106" i="6"/>
  <c r="B106" i="6"/>
  <c r="D105" i="6"/>
  <c r="C105" i="6"/>
  <c r="B105" i="6"/>
  <c r="D104" i="6"/>
  <c r="C104" i="6"/>
  <c r="B104" i="6"/>
  <c r="D103" i="6"/>
  <c r="C103" i="6"/>
  <c r="B103" i="6"/>
  <c r="D102" i="6"/>
  <c r="C102" i="6"/>
  <c r="B102" i="6"/>
  <c r="D101" i="6"/>
  <c r="C101" i="6"/>
  <c r="B101" i="6"/>
  <c r="D100" i="6"/>
  <c r="C100" i="6"/>
  <c r="B100" i="6"/>
  <c r="D99" i="6"/>
  <c r="C99" i="6"/>
  <c r="B99" i="6"/>
  <c r="D98" i="6"/>
  <c r="C98" i="6"/>
  <c r="B98" i="6"/>
  <c r="D97" i="6"/>
  <c r="C97" i="6"/>
  <c r="B97" i="6"/>
  <c r="D96" i="6"/>
  <c r="C96" i="6"/>
  <c r="B96" i="6"/>
  <c r="D95" i="6"/>
  <c r="C95" i="6"/>
  <c r="B95" i="6"/>
  <c r="D94" i="6"/>
  <c r="C94" i="6"/>
  <c r="B94" i="6"/>
  <c r="D93" i="6"/>
  <c r="C93" i="6"/>
  <c r="B93" i="6"/>
  <c r="D92" i="6"/>
  <c r="C92" i="6"/>
  <c r="B92" i="6"/>
  <c r="D91" i="6"/>
  <c r="C91" i="6"/>
  <c r="B91" i="6"/>
  <c r="D90" i="6"/>
  <c r="C90" i="6"/>
  <c r="B90" i="6"/>
  <c r="D89" i="6"/>
  <c r="C89" i="6"/>
  <c r="B89" i="6"/>
  <c r="D88" i="6"/>
  <c r="C88" i="6"/>
  <c r="B88" i="6"/>
  <c r="D87" i="6"/>
  <c r="C87" i="6"/>
  <c r="D86" i="6"/>
  <c r="C86" i="6"/>
  <c r="D85" i="6"/>
  <c r="C85" i="6"/>
  <c r="D84" i="6"/>
  <c r="C84" i="6"/>
  <c r="D83" i="6"/>
  <c r="C83" i="6"/>
  <c r="D82" i="6"/>
  <c r="C82" i="6"/>
  <c r="D81" i="6"/>
  <c r="C81" i="6"/>
  <c r="D80" i="6"/>
  <c r="C80" i="6"/>
  <c r="D79" i="6"/>
  <c r="C79" i="6"/>
  <c r="D78" i="6"/>
  <c r="C78" i="6"/>
  <c r="D77" i="6"/>
  <c r="C77" i="6"/>
  <c r="D76" i="6"/>
  <c r="C76" i="6"/>
  <c r="D75" i="6"/>
  <c r="C75" i="6"/>
  <c r="D74" i="6"/>
  <c r="C74" i="6"/>
  <c r="D73" i="6"/>
  <c r="C73" i="6"/>
  <c r="D72" i="6"/>
  <c r="C72" i="6"/>
  <c r="D71" i="6"/>
  <c r="C71" i="6"/>
  <c r="D70" i="6"/>
  <c r="C70" i="6"/>
  <c r="D69" i="6"/>
  <c r="C69" i="6"/>
  <c r="D68" i="6"/>
  <c r="C68" i="6"/>
  <c r="D67" i="6"/>
  <c r="C67" i="6"/>
  <c r="D66" i="6"/>
  <c r="C66" i="6"/>
  <c r="D65" i="6"/>
  <c r="C65" i="6"/>
  <c r="D64" i="6"/>
  <c r="C64" i="6"/>
  <c r="D63" i="6"/>
  <c r="C63" i="6"/>
  <c r="D62" i="6"/>
  <c r="C62" i="6"/>
  <c r="D61" i="6"/>
  <c r="C61" i="6"/>
  <c r="D60" i="6"/>
  <c r="C60" i="6"/>
  <c r="B60" i="6"/>
  <c r="D59" i="6"/>
  <c r="C59" i="6"/>
  <c r="B59" i="6"/>
  <c r="D58" i="6"/>
  <c r="C58" i="6"/>
  <c r="B58" i="6"/>
  <c r="D57" i="6"/>
  <c r="C57" i="6"/>
  <c r="B57" i="6"/>
  <c r="D56" i="6"/>
  <c r="C56" i="6"/>
  <c r="B56" i="6"/>
  <c r="D55" i="6"/>
  <c r="C55" i="6"/>
  <c r="B55" i="6"/>
  <c r="D54" i="6"/>
  <c r="C54" i="6"/>
  <c r="B54" i="6"/>
  <c r="D53" i="6"/>
  <c r="C53" i="6"/>
  <c r="B53" i="6"/>
  <c r="D52" i="6"/>
  <c r="C52" i="6"/>
  <c r="B52" i="6"/>
  <c r="D51" i="6"/>
  <c r="C51" i="6"/>
  <c r="B51" i="6"/>
  <c r="D50" i="6"/>
  <c r="C50" i="6"/>
  <c r="B50" i="6"/>
  <c r="D49" i="6"/>
  <c r="C49" i="6"/>
  <c r="B49" i="6"/>
  <c r="D48" i="6"/>
  <c r="C48" i="6"/>
  <c r="B48" i="6"/>
  <c r="D47" i="6"/>
  <c r="C47" i="6"/>
  <c r="B47" i="6"/>
  <c r="D46" i="6"/>
  <c r="C46" i="6"/>
  <c r="B46" i="6"/>
  <c r="D45" i="6"/>
  <c r="C45" i="6"/>
  <c r="B45" i="6"/>
  <c r="D44" i="6"/>
  <c r="C44" i="6"/>
  <c r="B44" i="6"/>
  <c r="D43" i="6"/>
  <c r="C43" i="6"/>
  <c r="B43" i="6"/>
  <c r="D42" i="6"/>
  <c r="C42" i="6"/>
  <c r="B42" i="6"/>
  <c r="D41" i="6"/>
  <c r="C41" i="6"/>
  <c r="B41" i="6"/>
  <c r="D40" i="6"/>
  <c r="C40" i="6"/>
  <c r="B40" i="6"/>
  <c r="D39" i="6"/>
  <c r="C39" i="6"/>
  <c r="B39" i="6"/>
  <c r="D38" i="6"/>
  <c r="C38" i="6"/>
  <c r="B38" i="6"/>
  <c r="D37" i="6"/>
  <c r="C37" i="6"/>
  <c r="B37" i="6"/>
  <c r="D36" i="6"/>
  <c r="C36" i="6"/>
  <c r="B36" i="6"/>
  <c r="D35" i="6"/>
  <c r="C35" i="6"/>
  <c r="B35" i="6"/>
  <c r="D34" i="6"/>
  <c r="C34" i="6"/>
  <c r="B34" i="6"/>
  <c r="D33" i="6"/>
  <c r="C33" i="6"/>
  <c r="B33" i="6"/>
  <c r="D32" i="6"/>
  <c r="C32" i="6"/>
  <c r="B32" i="6"/>
  <c r="D31" i="6"/>
  <c r="C31" i="6"/>
  <c r="B31" i="6"/>
  <c r="D30" i="6"/>
  <c r="C30" i="6"/>
  <c r="B30" i="6"/>
  <c r="D29" i="6"/>
  <c r="C29" i="6"/>
  <c r="B29" i="6"/>
  <c r="D28" i="6"/>
  <c r="C28" i="6"/>
  <c r="B28" i="6"/>
  <c r="D27" i="6"/>
  <c r="C27" i="6"/>
  <c r="B27" i="6"/>
  <c r="D26" i="6"/>
  <c r="C26" i="6"/>
  <c r="B26" i="6"/>
  <c r="D25" i="6"/>
  <c r="C25" i="6"/>
  <c r="B25" i="6"/>
  <c r="D24" i="6"/>
  <c r="C24" i="6"/>
  <c r="B24" i="6"/>
  <c r="D23" i="6"/>
  <c r="C23" i="6"/>
  <c r="B23" i="6"/>
  <c r="D22" i="6"/>
  <c r="C22" i="6"/>
  <c r="B22" i="6"/>
  <c r="D21" i="6"/>
  <c r="C21" i="6"/>
  <c r="D20" i="6"/>
  <c r="C20" i="6"/>
  <c r="D19" i="6"/>
  <c r="C19" i="6"/>
  <c r="D18" i="6"/>
  <c r="C18" i="6"/>
  <c r="D17" i="6"/>
  <c r="C17" i="6"/>
  <c r="D16" i="6"/>
  <c r="C16" i="6"/>
  <c r="D15" i="6"/>
  <c r="C15" i="6"/>
  <c r="D14" i="6"/>
  <c r="C14" i="6"/>
  <c r="D13" i="6"/>
  <c r="C13" i="6"/>
  <c r="D12" i="6"/>
  <c r="C12" i="6"/>
  <c r="D11" i="6"/>
  <c r="C11" i="6"/>
  <c r="D10" i="6"/>
  <c r="C10" i="6"/>
  <c r="D9" i="6"/>
  <c r="C9" i="6"/>
  <c r="D8" i="6"/>
  <c r="C8" i="6"/>
  <c r="D7" i="6"/>
  <c r="C7" i="6"/>
  <c r="AN6" i="6"/>
  <c r="AM6" i="6"/>
  <c r="AL6" i="6"/>
  <c r="AK6" i="6"/>
  <c r="AJ6" i="6"/>
  <c r="AI6" i="6"/>
  <c r="AH6" i="6"/>
  <c r="AG6" i="6"/>
  <c r="AF6" i="6"/>
  <c r="AE6" i="6"/>
  <c r="AD6" i="6"/>
  <c r="AC6" i="6"/>
  <c r="AB6" i="6"/>
  <c r="AA6" i="6"/>
  <c r="Z6" i="6"/>
  <c r="Y6" i="6"/>
  <c r="X6" i="6"/>
  <c r="W6" i="6"/>
  <c r="V6" i="6"/>
  <c r="U6" i="6"/>
  <c r="T6" i="6"/>
  <c r="S6" i="6"/>
  <c r="R6" i="6"/>
  <c r="Q6" i="6"/>
  <c r="P6" i="6"/>
  <c r="O6" i="6"/>
  <c r="N6" i="6"/>
  <c r="M6" i="6"/>
  <c r="L6" i="6"/>
  <c r="K6" i="6"/>
  <c r="J6" i="6"/>
  <c r="I6" i="6"/>
  <c r="H6" i="6"/>
  <c r="G6" i="6"/>
  <c r="F6" i="6"/>
  <c r="E6" i="6"/>
  <c r="K65" i="5"/>
  <c r="K64" i="5"/>
  <c r="K63" i="5"/>
  <c r="K62" i="5"/>
  <c r="K61" i="5"/>
  <c r="K60" i="5"/>
  <c r="K59" i="5"/>
  <c r="K58" i="5"/>
  <c r="K57" i="5"/>
  <c r="K56" i="5"/>
  <c r="K51" i="5"/>
  <c r="K50" i="5"/>
  <c r="K49" i="5"/>
  <c r="K47" i="5"/>
  <c r="K46" i="5"/>
  <c r="K45" i="5"/>
  <c r="K44" i="5"/>
  <c r="K43" i="5"/>
  <c r="K42" i="5"/>
  <c r="K41" i="5"/>
  <c r="K40" i="5"/>
  <c r="K39" i="5"/>
  <c r="K37" i="5"/>
  <c r="K36" i="5"/>
  <c r="K35" i="5"/>
  <c r="K34" i="5"/>
  <c r="K32" i="5"/>
  <c r="K31" i="5"/>
  <c r="K30" i="5"/>
  <c r="K29" i="5"/>
  <c r="K28" i="5"/>
  <c r="K27" i="5"/>
  <c r="K26" i="5"/>
  <c r="K25" i="5"/>
  <c r="K24" i="5"/>
  <c r="K22" i="5"/>
  <c r="K21" i="5"/>
  <c r="K20" i="5"/>
  <c r="K19" i="5"/>
  <c r="K17" i="5"/>
  <c r="K16" i="5"/>
  <c r="K15" i="5"/>
  <c r="K14" i="5"/>
  <c r="K12" i="5"/>
  <c r="K11" i="5"/>
  <c r="K10" i="5"/>
  <c r="I204" i="4"/>
  <c r="H204" i="4"/>
  <c r="G204" i="4"/>
  <c r="F204" i="4"/>
  <c r="E204" i="4"/>
  <c r="D204" i="4"/>
  <c r="C204" i="4"/>
  <c r="B204" i="4"/>
  <c r="I203" i="4"/>
  <c r="H203" i="4"/>
  <c r="G203" i="4"/>
  <c r="F203" i="4"/>
  <c r="E203" i="4"/>
  <c r="D203" i="4"/>
  <c r="C203" i="4"/>
  <c r="B203" i="4"/>
  <c r="I202" i="4"/>
  <c r="H202" i="4"/>
  <c r="G202" i="4"/>
  <c r="F202" i="4"/>
  <c r="E202" i="4"/>
  <c r="D202" i="4"/>
  <c r="C202" i="4"/>
  <c r="B202" i="4"/>
  <c r="I201" i="4"/>
  <c r="H201" i="4"/>
  <c r="G201" i="4"/>
  <c r="F201" i="4"/>
  <c r="E201" i="4"/>
  <c r="D201" i="4"/>
  <c r="C201" i="4"/>
  <c r="B201" i="4"/>
  <c r="I200" i="4"/>
  <c r="H200" i="4"/>
  <c r="G200" i="4"/>
  <c r="F200" i="4"/>
  <c r="E200" i="4"/>
  <c r="D200" i="4"/>
  <c r="C200" i="4"/>
  <c r="B200" i="4"/>
  <c r="I199" i="4"/>
  <c r="H199" i="4"/>
  <c r="G199" i="4"/>
  <c r="F199" i="4"/>
  <c r="E199" i="4"/>
  <c r="D199" i="4"/>
  <c r="C199" i="4"/>
  <c r="B199" i="4"/>
  <c r="I198" i="4"/>
  <c r="H198" i="4"/>
  <c r="G198" i="4"/>
  <c r="F198" i="4"/>
  <c r="E198" i="4"/>
  <c r="D198" i="4"/>
  <c r="C198" i="4"/>
  <c r="B198" i="4"/>
  <c r="I197" i="4"/>
  <c r="H197" i="4"/>
  <c r="G197" i="4"/>
  <c r="F197" i="4"/>
  <c r="E197" i="4"/>
  <c r="D197" i="4"/>
  <c r="C197" i="4"/>
  <c r="B197" i="4"/>
  <c r="I196" i="4"/>
  <c r="H196" i="4"/>
  <c r="G196" i="4"/>
  <c r="F196" i="4"/>
  <c r="E196" i="4"/>
  <c r="D196" i="4"/>
  <c r="C196" i="4"/>
  <c r="B196" i="4"/>
  <c r="I195" i="4"/>
  <c r="H195" i="4"/>
  <c r="G195" i="4"/>
  <c r="F195" i="4"/>
  <c r="E195" i="4"/>
  <c r="D195" i="4"/>
  <c r="C195" i="4"/>
  <c r="B195" i="4"/>
  <c r="I194" i="4"/>
  <c r="H194" i="4"/>
  <c r="G194" i="4"/>
  <c r="F194" i="4"/>
  <c r="E194" i="4"/>
  <c r="D194" i="4"/>
  <c r="C194" i="4"/>
  <c r="B194" i="4"/>
  <c r="I193" i="4"/>
  <c r="H193" i="4"/>
  <c r="G193" i="4"/>
  <c r="F193" i="4"/>
  <c r="E193" i="4"/>
  <c r="D193" i="4"/>
  <c r="C193" i="4"/>
  <c r="B193" i="4"/>
  <c r="I192" i="4"/>
  <c r="H192" i="4"/>
  <c r="G192" i="4"/>
  <c r="F192" i="4"/>
  <c r="E192" i="4"/>
  <c r="D192" i="4"/>
  <c r="C192" i="4"/>
  <c r="B192" i="4"/>
  <c r="I191" i="4"/>
  <c r="H191" i="4"/>
  <c r="G191" i="4"/>
  <c r="F191" i="4"/>
  <c r="E191" i="4"/>
  <c r="D191" i="4"/>
  <c r="C191" i="4"/>
  <c r="B191" i="4"/>
  <c r="I190" i="4"/>
  <c r="H190" i="4"/>
  <c r="G190" i="4"/>
  <c r="F190" i="4"/>
  <c r="E190" i="4"/>
  <c r="D190" i="4"/>
  <c r="C190" i="4"/>
  <c r="B190" i="4"/>
  <c r="I189" i="4"/>
  <c r="H189" i="4"/>
  <c r="G189" i="4"/>
  <c r="F189" i="4"/>
  <c r="E189" i="4"/>
  <c r="D189" i="4"/>
  <c r="C189" i="4"/>
  <c r="B189" i="4"/>
  <c r="I188" i="4"/>
  <c r="H188" i="4"/>
  <c r="G188" i="4"/>
  <c r="F188" i="4"/>
  <c r="E188" i="4"/>
  <c r="D188" i="4"/>
  <c r="C188" i="4"/>
  <c r="B188" i="4"/>
  <c r="I187" i="4"/>
  <c r="H187" i="4"/>
  <c r="G187" i="4"/>
  <c r="F187" i="4"/>
  <c r="E187" i="4"/>
  <c r="D187" i="4"/>
  <c r="C187" i="4"/>
  <c r="B187" i="4"/>
  <c r="I186" i="4"/>
  <c r="H186" i="4"/>
  <c r="G186" i="4"/>
  <c r="F186" i="4"/>
  <c r="E186" i="4"/>
  <c r="D186" i="4"/>
  <c r="C186" i="4"/>
  <c r="B186" i="4"/>
  <c r="I185" i="4"/>
  <c r="H185" i="4"/>
  <c r="G185" i="4"/>
  <c r="F185" i="4"/>
  <c r="E185" i="4"/>
  <c r="D185" i="4"/>
  <c r="C185" i="4"/>
  <c r="B185" i="4"/>
  <c r="I184" i="4"/>
  <c r="H184" i="4"/>
  <c r="G184" i="4"/>
  <c r="F184" i="4"/>
  <c r="E184" i="4"/>
  <c r="D184" i="4"/>
  <c r="C184" i="4"/>
  <c r="B184" i="4"/>
  <c r="I183" i="4"/>
  <c r="H183" i="4"/>
  <c r="G183" i="4"/>
  <c r="F183" i="4"/>
  <c r="E183" i="4"/>
  <c r="D183" i="4"/>
  <c r="C183" i="4"/>
  <c r="I182" i="4"/>
  <c r="H182" i="4"/>
  <c r="G182" i="4"/>
  <c r="F182" i="4"/>
  <c r="E182" i="4"/>
  <c r="D182" i="4"/>
  <c r="C182" i="4"/>
  <c r="B182" i="4"/>
  <c r="I181" i="4"/>
  <c r="H181" i="4"/>
  <c r="G181" i="4"/>
  <c r="F181" i="4"/>
  <c r="E181" i="4"/>
  <c r="D181" i="4"/>
  <c r="C181" i="4"/>
  <c r="B181" i="4"/>
  <c r="I180" i="4"/>
  <c r="H180" i="4"/>
  <c r="G180" i="4"/>
  <c r="F180" i="4"/>
  <c r="E180" i="4"/>
  <c r="D180" i="4"/>
  <c r="C180" i="4"/>
  <c r="B180" i="4"/>
  <c r="I179" i="4"/>
  <c r="H179" i="4"/>
  <c r="G179" i="4"/>
  <c r="F179" i="4"/>
  <c r="E179" i="4"/>
  <c r="D179" i="4"/>
  <c r="C179" i="4"/>
  <c r="B179" i="4"/>
  <c r="I178" i="4"/>
  <c r="H178" i="4"/>
  <c r="G178" i="4"/>
  <c r="F178" i="4"/>
  <c r="E178" i="4"/>
  <c r="D178" i="4"/>
  <c r="C178" i="4"/>
  <c r="B178" i="4"/>
  <c r="I177" i="4"/>
  <c r="H177" i="4"/>
  <c r="G177" i="4"/>
  <c r="F177" i="4"/>
  <c r="E177" i="4"/>
  <c r="D177" i="4"/>
  <c r="C177" i="4"/>
  <c r="B177" i="4"/>
  <c r="I176" i="4"/>
  <c r="H176" i="4"/>
  <c r="G176" i="4"/>
  <c r="F176" i="4"/>
  <c r="E176" i="4"/>
  <c r="D176" i="4"/>
  <c r="C176" i="4"/>
  <c r="B176" i="4"/>
  <c r="I175" i="4"/>
  <c r="H175" i="4"/>
  <c r="G175" i="4"/>
  <c r="F175" i="4"/>
  <c r="E175" i="4"/>
  <c r="D175" i="4"/>
  <c r="C175" i="4"/>
  <c r="B175" i="4"/>
  <c r="I174" i="4"/>
  <c r="H174" i="4"/>
  <c r="G174" i="4"/>
  <c r="F174" i="4"/>
  <c r="E174" i="4"/>
  <c r="D174" i="4"/>
  <c r="C174" i="4"/>
  <c r="I173" i="4"/>
  <c r="H173" i="4"/>
  <c r="G173" i="4"/>
  <c r="F173" i="4"/>
  <c r="E173" i="4"/>
  <c r="D173" i="4"/>
  <c r="C173" i="4"/>
  <c r="I172" i="4"/>
  <c r="H172" i="4"/>
  <c r="G172" i="4"/>
  <c r="F172" i="4"/>
  <c r="E172" i="4"/>
  <c r="D172" i="4"/>
  <c r="C172" i="4"/>
  <c r="I171" i="4"/>
  <c r="H171" i="4"/>
  <c r="G171" i="4"/>
  <c r="F171" i="4"/>
  <c r="E171" i="4"/>
  <c r="D171" i="4"/>
  <c r="C171" i="4"/>
  <c r="B171" i="4"/>
  <c r="I170" i="4"/>
  <c r="H170" i="4"/>
  <c r="G170" i="4"/>
  <c r="F170" i="4"/>
  <c r="E170" i="4"/>
  <c r="D170" i="4"/>
  <c r="C170" i="4"/>
  <c r="B170" i="4"/>
  <c r="I169" i="4"/>
  <c r="H169" i="4"/>
  <c r="G169" i="4"/>
  <c r="F169" i="4"/>
  <c r="E169" i="4"/>
  <c r="D169" i="4"/>
  <c r="C169" i="4"/>
  <c r="B169" i="4"/>
  <c r="I168" i="4"/>
  <c r="H168" i="4"/>
  <c r="G168" i="4"/>
  <c r="F168" i="4"/>
  <c r="E168" i="4"/>
  <c r="D168" i="4"/>
  <c r="C168" i="4"/>
  <c r="B168" i="4"/>
  <c r="I167" i="4"/>
  <c r="H167" i="4"/>
  <c r="G167" i="4"/>
  <c r="F167" i="4"/>
  <c r="E167" i="4"/>
  <c r="D167" i="4"/>
  <c r="C167" i="4"/>
  <c r="B167" i="4"/>
  <c r="I166" i="4"/>
  <c r="H166" i="4"/>
  <c r="G166" i="4"/>
  <c r="F166" i="4"/>
  <c r="E166" i="4"/>
  <c r="D166" i="4"/>
  <c r="C166" i="4"/>
  <c r="B166" i="4"/>
  <c r="I165" i="4"/>
  <c r="H165" i="4"/>
  <c r="G165" i="4"/>
  <c r="F165" i="4"/>
  <c r="E165" i="4"/>
  <c r="D165" i="4"/>
  <c r="C165" i="4"/>
  <c r="B165" i="4"/>
  <c r="I164" i="4"/>
  <c r="H164" i="4"/>
  <c r="G164" i="4"/>
  <c r="F164" i="4"/>
  <c r="E164" i="4"/>
  <c r="D164" i="4"/>
  <c r="C164" i="4"/>
  <c r="B164" i="4"/>
  <c r="I163" i="4"/>
  <c r="H163" i="4"/>
  <c r="G163" i="4"/>
  <c r="F163" i="4"/>
  <c r="E163" i="4"/>
  <c r="D163" i="4"/>
  <c r="C163" i="4"/>
  <c r="B163" i="4"/>
  <c r="I162" i="4"/>
  <c r="H162" i="4"/>
  <c r="G162" i="4"/>
  <c r="F162" i="4"/>
  <c r="E162" i="4"/>
  <c r="D162" i="4"/>
  <c r="C162" i="4"/>
  <c r="B162" i="4"/>
  <c r="I161" i="4"/>
  <c r="H161" i="4"/>
  <c r="G161" i="4"/>
  <c r="F161" i="4"/>
  <c r="E161" i="4"/>
  <c r="D161" i="4"/>
  <c r="C161" i="4"/>
  <c r="B161" i="4"/>
  <c r="I160" i="4"/>
  <c r="H160" i="4"/>
  <c r="G160" i="4"/>
  <c r="F160" i="4"/>
  <c r="E160" i="4"/>
  <c r="D160" i="4"/>
  <c r="C160" i="4"/>
  <c r="B160" i="4"/>
  <c r="I159" i="4"/>
  <c r="H159" i="4"/>
  <c r="G159" i="4"/>
  <c r="F159" i="4"/>
  <c r="E159" i="4"/>
  <c r="D159" i="4"/>
  <c r="C159" i="4"/>
  <c r="B159" i="4"/>
  <c r="I158" i="4"/>
  <c r="H158" i="4"/>
  <c r="G158" i="4"/>
  <c r="F158" i="4"/>
  <c r="E158" i="4"/>
  <c r="D158" i="4"/>
  <c r="C158" i="4"/>
  <c r="B158" i="4"/>
  <c r="I157" i="4"/>
  <c r="H157" i="4"/>
  <c r="G157" i="4"/>
  <c r="F157" i="4"/>
  <c r="E157" i="4"/>
  <c r="D157" i="4"/>
  <c r="C157" i="4"/>
  <c r="B157" i="4"/>
  <c r="I156" i="4"/>
  <c r="H156" i="4"/>
  <c r="G156" i="4"/>
  <c r="F156" i="4"/>
  <c r="E156" i="4"/>
  <c r="D156" i="4"/>
  <c r="C156" i="4"/>
  <c r="B156" i="4"/>
  <c r="I155" i="4"/>
  <c r="H155" i="4"/>
  <c r="G155" i="4"/>
  <c r="F155" i="4"/>
  <c r="E155" i="4"/>
  <c r="D155" i="4"/>
  <c r="C155" i="4"/>
  <c r="B155" i="4"/>
  <c r="I154" i="4"/>
  <c r="H154" i="4"/>
  <c r="G154" i="4"/>
  <c r="F154" i="4"/>
  <c r="E154" i="4"/>
  <c r="D154" i="4"/>
  <c r="C154" i="4"/>
  <c r="B154" i="4"/>
  <c r="I153" i="4"/>
  <c r="H153" i="4"/>
  <c r="G153" i="4"/>
  <c r="F153" i="4"/>
  <c r="E153" i="4"/>
  <c r="D153" i="4"/>
  <c r="C153" i="4"/>
  <c r="B153" i="4"/>
  <c r="I152" i="4"/>
  <c r="H152" i="4"/>
  <c r="G152" i="4"/>
  <c r="F152" i="4"/>
  <c r="E152" i="4"/>
  <c r="D152" i="4"/>
  <c r="C152" i="4"/>
  <c r="B152" i="4"/>
  <c r="I151" i="4"/>
  <c r="H151" i="4"/>
  <c r="G151" i="4"/>
  <c r="F151" i="4"/>
  <c r="E151" i="4"/>
  <c r="D151" i="4"/>
  <c r="C151" i="4"/>
  <c r="B151" i="4"/>
  <c r="I150" i="4"/>
  <c r="H150" i="4"/>
  <c r="G150" i="4"/>
  <c r="F150" i="4"/>
  <c r="E150" i="4"/>
  <c r="D150" i="4"/>
  <c r="C150" i="4"/>
  <c r="B150" i="4"/>
  <c r="I149" i="4"/>
  <c r="H149" i="4"/>
  <c r="G149" i="4"/>
  <c r="F149" i="4"/>
  <c r="E149" i="4"/>
  <c r="D149" i="4"/>
  <c r="C149" i="4"/>
  <c r="B149" i="4"/>
  <c r="I148" i="4"/>
  <c r="H148" i="4"/>
  <c r="G148" i="4"/>
  <c r="F148" i="4"/>
  <c r="E148" i="4"/>
  <c r="D148" i="4"/>
  <c r="C148" i="4"/>
  <c r="B148" i="4"/>
  <c r="I147" i="4"/>
  <c r="H147" i="4"/>
  <c r="G147" i="4"/>
  <c r="F147" i="4"/>
  <c r="E147" i="4"/>
  <c r="D147" i="4"/>
  <c r="C147" i="4"/>
  <c r="B147" i="4"/>
  <c r="I146" i="4"/>
  <c r="H146" i="4"/>
  <c r="G146" i="4"/>
  <c r="F146" i="4"/>
  <c r="E146" i="4"/>
  <c r="D146" i="4"/>
  <c r="C146" i="4"/>
  <c r="B146" i="4"/>
  <c r="I145" i="4"/>
  <c r="H145" i="4"/>
  <c r="G145" i="4"/>
  <c r="F145" i="4"/>
  <c r="E145" i="4"/>
  <c r="D145" i="4"/>
  <c r="C145" i="4"/>
  <c r="B145" i="4"/>
  <c r="I144" i="4"/>
  <c r="H144" i="4"/>
  <c r="G144" i="4"/>
  <c r="F144" i="4"/>
  <c r="E144" i="4"/>
  <c r="D144" i="4"/>
  <c r="C144" i="4"/>
  <c r="B144" i="4"/>
  <c r="I143" i="4"/>
  <c r="H143" i="4"/>
  <c r="G143" i="4"/>
  <c r="F143" i="4"/>
  <c r="E143" i="4"/>
  <c r="D143" i="4"/>
  <c r="C143" i="4"/>
  <c r="B143" i="4"/>
  <c r="I142" i="4"/>
  <c r="H142" i="4"/>
  <c r="G142" i="4"/>
  <c r="F142" i="4"/>
  <c r="E142" i="4"/>
  <c r="D142" i="4"/>
  <c r="C142" i="4"/>
  <c r="B142" i="4"/>
  <c r="I141" i="4"/>
  <c r="H141" i="4"/>
  <c r="G141" i="4"/>
  <c r="F141" i="4"/>
  <c r="E141" i="4"/>
  <c r="D141" i="4"/>
  <c r="C141" i="4"/>
  <c r="B141" i="4"/>
  <c r="I140" i="4"/>
  <c r="H140" i="4"/>
  <c r="G140" i="4"/>
  <c r="F140" i="4"/>
  <c r="E140" i="4"/>
  <c r="D140" i="4"/>
  <c r="C140" i="4"/>
  <c r="B140" i="4"/>
  <c r="I139" i="4"/>
  <c r="H139" i="4"/>
  <c r="G139" i="4"/>
  <c r="F139" i="4"/>
  <c r="E139" i="4"/>
  <c r="D139" i="4"/>
  <c r="C139" i="4"/>
  <c r="B139" i="4"/>
  <c r="I138" i="4"/>
  <c r="H138" i="4"/>
  <c r="G138" i="4"/>
  <c r="F138" i="4"/>
  <c r="E138" i="4"/>
  <c r="D138" i="4"/>
  <c r="C138" i="4"/>
  <c r="B138" i="4"/>
  <c r="I137" i="4"/>
  <c r="H137" i="4"/>
  <c r="G137" i="4"/>
  <c r="F137" i="4"/>
  <c r="E137" i="4"/>
  <c r="D137" i="4"/>
  <c r="C137" i="4"/>
  <c r="I136" i="4"/>
  <c r="H136" i="4"/>
  <c r="G136" i="4"/>
  <c r="F136" i="4"/>
  <c r="E136" i="4"/>
  <c r="D136" i="4"/>
  <c r="C136" i="4"/>
  <c r="I135" i="4"/>
  <c r="H135" i="4"/>
  <c r="G135" i="4"/>
  <c r="F135" i="4"/>
  <c r="E135" i="4"/>
  <c r="D135" i="4"/>
  <c r="C135" i="4"/>
  <c r="I134" i="4"/>
  <c r="H134" i="4"/>
  <c r="G134" i="4"/>
  <c r="F134" i="4"/>
  <c r="E134" i="4"/>
  <c r="D134" i="4"/>
  <c r="C134" i="4"/>
  <c r="I133" i="4"/>
  <c r="H133" i="4"/>
  <c r="G133" i="4"/>
  <c r="F133" i="4"/>
  <c r="E133" i="4"/>
  <c r="D133" i="4"/>
  <c r="C133" i="4"/>
  <c r="B133" i="4"/>
  <c r="I132" i="4"/>
  <c r="H132" i="4"/>
  <c r="G132" i="4"/>
  <c r="F132" i="4"/>
  <c r="E132" i="4"/>
  <c r="D132" i="4"/>
  <c r="C132" i="4"/>
  <c r="B132" i="4"/>
  <c r="I131" i="4"/>
  <c r="H131" i="4"/>
  <c r="G131" i="4"/>
  <c r="F131" i="4"/>
  <c r="E131" i="4"/>
  <c r="D131" i="4"/>
  <c r="C131" i="4"/>
  <c r="B131" i="4"/>
  <c r="I130" i="4"/>
  <c r="H130" i="4"/>
  <c r="G130" i="4"/>
  <c r="F130" i="4"/>
  <c r="E130" i="4"/>
  <c r="D130" i="4"/>
  <c r="C130" i="4"/>
  <c r="B130" i="4"/>
  <c r="I129" i="4"/>
  <c r="H129" i="4"/>
  <c r="G129" i="4"/>
  <c r="F129" i="4"/>
  <c r="E129" i="4"/>
  <c r="D129" i="4"/>
  <c r="C129" i="4"/>
  <c r="B129" i="4"/>
  <c r="I128" i="4"/>
  <c r="H128" i="4"/>
  <c r="G128" i="4"/>
  <c r="F128" i="4"/>
  <c r="E128" i="4"/>
  <c r="D128" i="4"/>
  <c r="C128" i="4"/>
  <c r="B128" i="4"/>
  <c r="I127" i="4"/>
  <c r="H127" i="4"/>
  <c r="G127" i="4"/>
  <c r="F127" i="4"/>
  <c r="E127" i="4"/>
  <c r="D127" i="4"/>
  <c r="C127" i="4"/>
  <c r="B127" i="4"/>
  <c r="I126" i="4"/>
  <c r="H126" i="4"/>
  <c r="G126" i="4"/>
  <c r="F126" i="4"/>
  <c r="E126" i="4"/>
  <c r="D126" i="4"/>
  <c r="C126" i="4"/>
  <c r="I125" i="4"/>
  <c r="H125" i="4"/>
  <c r="G125" i="4"/>
  <c r="F125" i="4"/>
  <c r="E125" i="4"/>
  <c r="D125" i="4"/>
  <c r="C125" i="4"/>
  <c r="I124" i="4"/>
  <c r="H124" i="4"/>
  <c r="G124" i="4"/>
  <c r="F124" i="4"/>
  <c r="E124" i="4"/>
  <c r="D124" i="4"/>
  <c r="C124" i="4"/>
  <c r="I123" i="4"/>
  <c r="H123" i="4"/>
  <c r="G123" i="4"/>
  <c r="F123" i="4"/>
  <c r="E123" i="4"/>
  <c r="D123" i="4"/>
  <c r="C123" i="4"/>
  <c r="B123" i="4"/>
  <c r="I122" i="4"/>
  <c r="H122" i="4"/>
  <c r="G122" i="4"/>
  <c r="F122" i="4"/>
  <c r="E122" i="4"/>
  <c r="D122" i="4"/>
  <c r="C122" i="4"/>
  <c r="B122" i="4"/>
  <c r="I121" i="4"/>
  <c r="H121" i="4"/>
  <c r="G121" i="4"/>
  <c r="F121" i="4"/>
  <c r="E121" i="4"/>
  <c r="D121" i="4"/>
  <c r="C121" i="4"/>
  <c r="B121" i="4"/>
  <c r="I120" i="4"/>
  <c r="H120" i="4"/>
  <c r="G120" i="4"/>
  <c r="F120" i="4"/>
  <c r="E120" i="4"/>
  <c r="D120" i="4"/>
  <c r="C120" i="4"/>
  <c r="B120" i="4"/>
  <c r="I119" i="4"/>
  <c r="H119" i="4"/>
  <c r="G119" i="4"/>
  <c r="F119" i="4"/>
  <c r="E119" i="4"/>
  <c r="D119" i="4"/>
  <c r="C119" i="4"/>
  <c r="B119" i="4"/>
  <c r="I118" i="4"/>
  <c r="H118" i="4"/>
  <c r="G118" i="4"/>
  <c r="F118" i="4"/>
  <c r="E118" i="4"/>
  <c r="D118" i="4"/>
  <c r="C118" i="4"/>
  <c r="B118" i="4"/>
  <c r="I117" i="4"/>
  <c r="H117" i="4"/>
  <c r="G117" i="4"/>
  <c r="F117" i="4"/>
  <c r="E117" i="4"/>
  <c r="D117" i="4"/>
  <c r="C117" i="4"/>
  <c r="B117" i="4"/>
  <c r="I116" i="4"/>
  <c r="H116" i="4"/>
  <c r="G116" i="4"/>
  <c r="F116" i="4"/>
  <c r="E116" i="4"/>
  <c r="D116" i="4"/>
  <c r="C116" i="4"/>
  <c r="B116" i="4"/>
  <c r="I115" i="4"/>
  <c r="H115" i="4"/>
  <c r="G115" i="4"/>
  <c r="F115" i="4"/>
  <c r="E115" i="4"/>
  <c r="D115" i="4"/>
  <c r="C115" i="4"/>
  <c r="B115" i="4"/>
  <c r="I114" i="4"/>
  <c r="H114" i="4"/>
  <c r="G114" i="4"/>
  <c r="F114" i="4"/>
  <c r="E114" i="4"/>
  <c r="D114" i="4"/>
  <c r="C114" i="4"/>
  <c r="B114" i="4"/>
  <c r="I113" i="4"/>
  <c r="H113" i="4"/>
  <c r="G113" i="4"/>
  <c r="F113" i="4"/>
  <c r="E113" i="4"/>
  <c r="D113" i="4"/>
  <c r="C113" i="4"/>
  <c r="B113" i="4"/>
  <c r="I112" i="4"/>
  <c r="H112" i="4"/>
  <c r="G112" i="4"/>
  <c r="F112" i="4"/>
  <c r="E112" i="4"/>
  <c r="D112" i="4"/>
  <c r="C112" i="4"/>
  <c r="B112" i="4"/>
  <c r="I111" i="4"/>
  <c r="H111" i="4"/>
  <c r="G111" i="4"/>
  <c r="F111" i="4"/>
  <c r="E111" i="4"/>
  <c r="D111" i="4"/>
  <c r="C111" i="4"/>
  <c r="B111" i="4"/>
  <c r="I110" i="4"/>
  <c r="H110" i="4"/>
  <c r="G110" i="4"/>
  <c r="F110" i="4"/>
  <c r="E110" i="4"/>
  <c r="D110" i="4"/>
  <c r="C110" i="4"/>
  <c r="B110" i="4"/>
  <c r="I109" i="4"/>
  <c r="H109" i="4"/>
  <c r="G109" i="4"/>
  <c r="F109" i="4"/>
  <c r="E109" i="4"/>
  <c r="D109" i="4"/>
  <c r="C109" i="4"/>
  <c r="B109" i="4"/>
  <c r="I108" i="4"/>
  <c r="H108" i="4"/>
  <c r="G108" i="4"/>
  <c r="F108" i="4"/>
  <c r="E108" i="4"/>
  <c r="D108" i="4"/>
  <c r="C108" i="4"/>
  <c r="B108" i="4"/>
  <c r="I107" i="4"/>
  <c r="H107" i="4"/>
  <c r="G107" i="4"/>
  <c r="F107" i="4"/>
  <c r="E107" i="4"/>
  <c r="D107" i="4"/>
  <c r="C107" i="4"/>
  <c r="B107" i="4"/>
  <c r="I106" i="4"/>
  <c r="H106" i="4"/>
  <c r="G106" i="4"/>
  <c r="F106" i="4"/>
  <c r="E106" i="4"/>
  <c r="D106" i="4"/>
  <c r="C106" i="4"/>
  <c r="B106" i="4"/>
  <c r="I105" i="4"/>
  <c r="H105" i="4"/>
  <c r="G105" i="4"/>
  <c r="F105" i="4"/>
  <c r="E105" i="4"/>
  <c r="D105" i="4"/>
  <c r="C105" i="4"/>
  <c r="I104" i="4"/>
  <c r="H104" i="4"/>
  <c r="G104" i="4"/>
  <c r="F104" i="4"/>
  <c r="E104" i="4"/>
  <c r="D104" i="4"/>
  <c r="C104" i="4"/>
  <c r="I103" i="4"/>
  <c r="H103" i="4"/>
  <c r="G103" i="4"/>
  <c r="F103" i="4"/>
  <c r="E103" i="4"/>
  <c r="D103" i="4"/>
  <c r="C103" i="4"/>
  <c r="I102" i="4"/>
  <c r="H102" i="4"/>
  <c r="G102" i="4"/>
  <c r="F102" i="4"/>
  <c r="E102" i="4"/>
  <c r="D102" i="4"/>
  <c r="C102" i="4"/>
  <c r="I101" i="4"/>
  <c r="H101" i="4"/>
  <c r="G101" i="4"/>
  <c r="F101" i="4"/>
  <c r="E101" i="4"/>
  <c r="D101" i="4"/>
  <c r="C101" i="4"/>
  <c r="I100" i="4"/>
  <c r="H100" i="4"/>
  <c r="G100" i="4"/>
  <c r="F100" i="4"/>
  <c r="E100" i="4"/>
  <c r="D100" i="4"/>
  <c r="C100" i="4"/>
  <c r="I99" i="4"/>
  <c r="H99" i="4"/>
  <c r="G99" i="4"/>
  <c r="F99" i="4"/>
  <c r="E99" i="4"/>
  <c r="D99" i="4"/>
  <c r="C99" i="4"/>
  <c r="I98" i="4"/>
  <c r="H98" i="4"/>
  <c r="G98" i="4"/>
  <c r="F98" i="4"/>
  <c r="E98" i="4"/>
  <c r="D98" i="4"/>
  <c r="C98" i="4"/>
  <c r="I97" i="4"/>
  <c r="H97" i="4"/>
  <c r="G97" i="4"/>
  <c r="F97" i="4"/>
  <c r="E97" i="4"/>
  <c r="D97" i="4"/>
  <c r="C97" i="4"/>
  <c r="B97" i="4"/>
  <c r="I96" i="4"/>
  <c r="H96" i="4"/>
  <c r="G96" i="4"/>
  <c r="F96" i="4"/>
  <c r="E96" i="4"/>
  <c r="D96" i="4"/>
  <c r="C96" i="4"/>
  <c r="I95" i="4"/>
  <c r="H95" i="4"/>
  <c r="G95" i="4"/>
  <c r="F95" i="4"/>
  <c r="E95" i="4"/>
  <c r="D95" i="4"/>
  <c r="C95" i="4"/>
  <c r="I94" i="4"/>
  <c r="H94" i="4"/>
  <c r="G94" i="4"/>
  <c r="F94" i="4"/>
  <c r="E94" i="4"/>
  <c r="D94" i="4"/>
  <c r="C94" i="4"/>
  <c r="I93" i="4"/>
  <c r="H93" i="4"/>
  <c r="G93" i="4"/>
  <c r="F93" i="4"/>
  <c r="E93" i="4"/>
  <c r="D93" i="4"/>
  <c r="C93" i="4"/>
  <c r="B93" i="4"/>
  <c r="I92" i="4"/>
  <c r="H92" i="4"/>
  <c r="G92" i="4"/>
  <c r="F92" i="4"/>
  <c r="E92" i="4"/>
  <c r="D92" i="4"/>
  <c r="C92" i="4"/>
  <c r="I91" i="4"/>
  <c r="H91" i="4"/>
  <c r="G91" i="4"/>
  <c r="F91" i="4"/>
  <c r="E91" i="4"/>
  <c r="D91" i="4"/>
  <c r="C91" i="4"/>
  <c r="B91" i="4"/>
  <c r="I90" i="4"/>
  <c r="H90" i="4"/>
  <c r="G90" i="4"/>
  <c r="F90" i="4"/>
  <c r="E90" i="4"/>
  <c r="D90" i="4"/>
  <c r="C90" i="4"/>
  <c r="I89" i="4"/>
  <c r="H89" i="4"/>
  <c r="G89" i="4"/>
  <c r="F89" i="4"/>
  <c r="E89" i="4"/>
  <c r="D89" i="4"/>
  <c r="C89" i="4"/>
  <c r="I88" i="4"/>
  <c r="H88" i="4"/>
  <c r="G88" i="4"/>
  <c r="F88" i="4"/>
  <c r="E88" i="4"/>
  <c r="D88" i="4"/>
  <c r="C88" i="4"/>
  <c r="I87" i="4"/>
  <c r="H87" i="4"/>
  <c r="G87" i="4"/>
  <c r="F87" i="4"/>
  <c r="E87" i="4"/>
  <c r="D87" i="4"/>
  <c r="C87" i="4"/>
  <c r="I86" i="4"/>
  <c r="H86" i="4"/>
  <c r="G86" i="4"/>
  <c r="F86" i="4"/>
  <c r="E86" i="4"/>
  <c r="D86" i="4"/>
  <c r="C86" i="4"/>
  <c r="B86" i="4"/>
  <c r="I85" i="4"/>
  <c r="H85" i="4"/>
  <c r="G85" i="4"/>
  <c r="F85" i="4"/>
  <c r="E85" i="4"/>
  <c r="D85" i="4"/>
  <c r="C85" i="4"/>
  <c r="B85" i="4"/>
  <c r="I84" i="4"/>
  <c r="H84" i="4"/>
  <c r="G84" i="4"/>
  <c r="F84" i="4"/>
  <c r="E84" i="4"/>
  <c r="D84" i="4"/>
  <c r="C84" i="4"/>
  <c r="B84" i="4"/>
  <c r="I83" i="4"/>
  <c r="H83" i="4"/>
  <c r="G83" i="4"/>
  <c r="F83" i="4"/>
  <c r="E83" i="4"/>
  <c r="D83" i="4"/>
  <c r="C83" i="4"/>
  <c r="B83" i="4"/>
  <c r="I82" i="4"/>
  <c r="H82" i="4"/>
  <c r="G82" i="4"/>
  <c r="F82" i="4"/>
  <c r="E82" i="4"/>
  <c r="D82" i="4"/>
  <c r="C82" i="4"/>
  <c r="B82" i="4"/>
  <c r="I81" i="4"/>
  <c r="H81" i="4"/>
  <c r="G81" i="4"/>
  <c r="F81" i="4"/>
  <c r="E81" i="4"/>
  <c r="D81" i="4"/>
  <c r="C81" i="4"/>
  <c r="B81" i="4"/>
  <c r="I80" i="4"/>
  <c r="H80" i="4"/>
  <c r="G80" i="4"/>
  <c r="F80" i="4"/>
  <c r="E80" i="4"/>
  <c r="D80" i="4"/>
  <c r="C80" i="4"/>
  <c r="B80" i="4"/>
  <c r="I79" i="4"/>
  <c r="H79" i="4"/>
  <c r="G79" i="4"/>
  <c r="F79" i="4"/>
  <c r="E79" i="4"/>
  <c r="D79" i="4"/>
  <c r="C79" i="4"/>
  <c r="B79" i="4"/>
  <c r="I78" i="4"/>
  <c r="H78" i="4"/>
  <c r="G78" i="4"/>
  <c r="F78" i="4"/>
  <c r="E78" i="4"/>
  <c r="D78" i="4"/>
  <c r="C78" i="4"/>
  <c r="B78" i="4"/>
  <c r="I77" i="4"/>
  <c r="H77" i="4"/>
  <c r="G77" i="4"/>
  <c r="F77" i="4"/>
  <c r="E77" i="4"/>
  <c r="D77" i="4"/>
  <c r="C77" i="4"/>
  <c r="B77" i="4"/>
  <c r="I76" i="4"/>
  <c r="H76" i="4"/>
  <c r="G76" i="4"/>
  <c r="F76" i="4"/>
  <c r="E76" i="4"/>
  <c r="D76" i="4"/>
  <c r="C76" i="4"/>
  <c r="B76" i="4"/>
  <c r="I75" i="4"/>
  <c r="H75" i="4"/>
  <c r="G75" i="4"/>
  <c r="F75" i="4"/>
  <c r="E75" i="4"/>
  <c r="D75" i="4"/>
  <c r="C75" i="4"/>
  <c r="I74" i="4"/>
  <c r="H74" i="4"/>
  <c r="G74" i="4"/>
  <c r="F74" i="4"/>
  <c r="E74" i="4"/>
  <c r="D74" i="4"/>
  <c r="C74" i="4"/>
  <c r="I73" i="4"/>
  <c r="H73" i="4"/>
  <c r="G73" i="4"/>
  <c r="F73" i="4"/>
  <c r="E73" i="4"/>
  <c r="D73" i="4"/>
  <c r="C73" i="4"/>
  <c r="I72" i="4"/>
  <c r="H72" i="4"/>
  <c r="G72" i="4"/>
  <c r="F72" i="4"/>
  <c r="E72" i="4"/>
  <c r="D72" i="4"/>
  <c r="C72" i="4"/>
  <c r="I71" i="4"/>
  <c r="H71" i="4"/>
  <c r="G71" i="4"/>
  <c r="F71" i="4"/>
  <c r="E71" i="4"/>
  <c r="D71" i="4"/>
  <c r="C71" i="4"/>
  <c r="I70" i="4"/>
  <c r="H70" i="4"/>
  <c r="G70" i="4"/>
  <c r="F70" i="4"/>
  <c r="E70" i="4"/>
  <c r="D70" i="4"/>
  <c r="C70" i="4"/>
  <c r="I69" i="4"/>
  <c r="H69" i="4"/>
  <c r="G69" i="4"/>
  <c r="F69" i="4"/>
  <c r="E69" i="4"/>
  <c r="D69" i="4"/>
  <c r="C69" i="4"/>
  <c r="B69" i="4"/>
  <c r="I68" i="4"/>
  <c r="H68" i="4"/>
  <c r="G68" i="4"/>
  <c r="F68" i="4"/>
  <c r="E68" i="4"/>
  <c r="D68" i="4"/>
  <c r="C68" i="4"/>
  <c r="B68" i="4"/>
  <c r="I67" i="4"/>
  <c r="H67" i="4"/>
  <c r="G67" i="4"/>
  <c r="F67" i="4"/>
  <c r="E67" i="4"/>
  <c r="D67" i="4"/>
  <c r="C67" i="4"/>
  <c r="B67" i="4"/>
  <c r="I66" i="4"/>
  <c r="H66" i="4"/>
  <c r="G66" i="4"/>
  <c r="F66" i="4"/>
  <c r="E66" i="4"/>
  <c r="D66" i="4"/>
  <c r="C66" i="4"/>
  <c r="B66" i="4"/>
  <c r="I65" i="4"/>
  <c r="H65" i="4"/>
  <c r="G65" i="4"/>
  <c r="F65" i="4"/>
  <c r="E65" i="4"/>
  <c r="D65" i="4"/>
  <c r="C65" i="4"/>
  <c r="B65" i="4"/>
  <c r="I64" i="4"/>
  <c r="H64" i="4"/>
  <c r="G64" i="4"/>
  <c r="F64" i="4"/>
  <c r="E64" i="4"/>
  <c r="D64" i="4"/>
  <c r="C64" i="4"/>
  <c r="B64" i="4"/>
  <c r="I63" i="4"/>
  <c r="H63" i="4"/>
  <c r="G63" i="4"/>
  <c r="F63" i="4"/>
  <c r="E63" i="4"/>
  <c r="D63" i="4"/>
  <c r="C63" i="4"/>
  <c r="B63" i="4"/>
  <c r="I62" i="4"/>
  <c r="H62" i="4"/>
  <c r="G62" i="4"/>
  <c r="F62" i="4"/>
  <c r="E62" i="4"/>
  <c r="D62" i="4"/>
  <c r="C62" i="4"/>
  <c r="B62" i="4"/>
  <c r="I61" i="4"/>
  <c r="H61" i="4"/>
  <c r="G61" i="4"/>
  <c r="F61" i="4"/>
  <c r="E61" i="4"/>
  <c r="D61" i="4"/>
  <c r="C61" i="4"/>
  <c r="B61" i="4"/>
  <c r="I60" i="4"/>
  <c r="H60" i="4"/>
  <c r="G60" i="4"/>
  <c r="F60" i="4"/>
  <c r="E60" i="4"/>
  <c r="D60" i="4"/>
  <c r="C60" i="4"/>
  <c r="B60" i="4"/>
  <c r="I59" i="4"/>
  <c r="H59" i="4"/>
  <c r="G59" i="4"/>
  <c r="F59" i="4"/>
  <c r="E59" i="4"/>
  <c r="D59" i="4"/>
  <c r="C59" i="4"/>
  <c r="B59" i="4"/>
  <c r="I58" i="4"/>
  <c r="H58" i="4"/>
  <c r="G58" i="4"/>
  <c r="F58" i="4"/>
  <c r="E58" i="4"/>
  <c r="D58" i="4"/>
  <c r="C58" i="4"/>
  <c r="B58" i="4"/>
  <c r="I57" i="4"/>
  <c r="H57" i="4"/>
  <c r="G57" i="4"/>
  <c r="F57" i="4"/>
  <c r="E57" i="4"/>
  <c r="D57" i="4"/>
  <c r="C57" i="4"/>
  <c r="B57" i="4"/>
  <c r="I56" i="4"/>
  <c r="H56" i="4"/>
  <c r="G56" i="4"/>
  <c r="F56" i="4"/>
  <c r="E56" i="4"/>
  <c r="D56" i="4"/>
  <c r="C56" i="4"/>
  <c r="B56" i="4"/>
  <c r="I55" i="4"/>
  <c r="H55" i="4"/>
  <c r="G55" i="4"/>
  <c r="F55" i="4"/>
  <c r="E55" i="4"/>
  <c r="D55" i="4"/>
  <c r="C55" i="4"/>
  <c r="B55" i="4"/>
  <c r="I54" i="4"/>
  <c r="H54" i="4"/>
  <c r="G54" i="4"/>
  <c r="F54" i="4"/>
  <c r="E54" i="4"/>
  <c r="D54" i="4"/>
  <c r="C54" i="4"/>
  <c r="B54" i="4"/>
  <c r="I53" i="4"/>
  <c r="H53" i="4"/>
  <c r="G53" i="4"/>
  <c r="F53" i="4"/>
  <c r="E53" i="4"/>
  <c r="D53" i="4"/>
  <c r="C53" i="4"/>
  <c r="B53" i="4"/>
  <c r="I52" i="4"/>
  <c r="H52" i="4"/>
  <c r="G52" i="4"/>
  <c r="F52" i="4"/>
  <c r="E52" i="4"/>
  <c r="D52" i="4"/>
  <c r="C52" i="4"/>
  <c r="B52" i="4"/>
  <c r="I51" i="4"/>
  <c r="H51" i="4"/>
  <c r="G51" i="4"/>
  <c r="F51" i="4"/>
  <c r="E51" i="4"/>
  <c r="D51" i="4"/>
  <c r="C51" i="4"/>
  <c r="B51" i="4"/>
  <c r="I50" i="4"/>
  <c r="H50" i="4"/>
  <c r="G50" i="4"/>
  <c r="F50" i="4"/>
  <c r="E50" i="4"/>
  <c r="D50" i="4"/>
  <c r="C50" i="4"/>
  <c r="B50" i="4"/>
  <c r="I49" i="4"/>
  <c r="H49" i="4"/>
  <c r="G49" i="4"/>
  <c r="F49" i="4"/>
  <c r="E49" i="4"/>
  <c r="D49" i="4"/>
  <c r="C49" i="4"/>
  <c r="B49" i="4"/>
  <c r="I48" i="4"/>
  <c r="H48" i="4"/>
  <c r="G48" i="4"/>
  <c r="F48" i="4"/>
  <c r="E48" i="4"/>
  <c r="D48" i="4"/>
  <c r="C48" i="4"/>
  <c r="B48" i="4"/>
  <c r="I47" i="4"/>
  <c r="H47" i="4"/>
  <c r="G47" i="4"/>
  <c r="F47" i="4"/>
  <c r="E47" i="4"/>
  <c r="D47" i="4"/>
  <c r="C47" i="4"/>
  <c r="B47" i="4"/>
  <c r="I46" i="4"/>
  <c r="H46" i="4"/>
  <c r="G46" i="4"/>
  <c r="F46" i="4"/>
  <c r="E46" i="4"/>
  <c r="D46" i="4"/>
  <c r="C46" i="4"/>
  <c r="B46" i="4"/>
  <c r="I45" i="4"/>
  <c r="H45" i="4"/>
  <c r="G45" i="4"/>
  <c r="F45" i="4"/>
  <c r="E45" i="4"/>
  <c r="D45" i="4"/>
  <c r="C45" i="4"/>
  <c r="B45" i="4"/>
  <c r="I44" i="4"/>
  <c r="H44" i="4"/>
  <c r="G44" i="4"/>
  <c r="F44" i="4"/>
  <c r="E44" i="4"/>
  <c r="D44" i="4"/>
  <c r="C44" i="4"/>
  <c r="B44" i="4"/>
  <c r="I43" i="4"/>
  <c r="H43" i="4"/>
  <c r="G43" i="4"/>
  <c r="F43" i="4"/>
  <c r="E43" i="4"/>
  <c r="D43" i="4"/>
  <c r="C43" i="4"/>
  <c r="B43" i="4"/>
  <c r="I42" i="4"/>
  <c r="H42" i="4"/>
  <c r="G42" i="4"/>
  <c r="F42" i="4"/>
  <c r="E42" i="4"/>
  <c r="D42" i="4"/>
  <c r="C42" i="4"/>
  <c r="B42" i="4"/>
  <c r="I41" i="4"/>
  <c r="H41" i="4"/>
  <c r="G41" i="4"/>
  <c r="F41" i="4"/>
  <c r="E41" i="4"/>
  <c r="D41" i="4"/>
  <c r="C41" i="4"/>
  <c r="B41" i="4"/>
  <c r="I40" i="4"/>
  <c r="H40" i="4"/>
  <c r="G40" i="4"/>
  <c r="F40" i="4"/>
  <c r="E40" i="4"/>
  <c r="D40" i="4"/>
  <c r="C40" i="4"/>
  <c r="B40" i="4"/>
  <c r="I39" i="4"/>
  <c r="H39" i="4"/>
  <c r="G39" i="4"/>
  <c r="F39" i="4"/>
  <c r="E39" i="4"/>
  <c r="D39" i="4"/>
  <c r="C39" i="4"/>
  <c r="B39" i="4"/>
  <c r="I38" i="4"/>
  <c r="H38" i="4"/>
  <c r="G38" i="4"/>
  <c r="F38" i="4"/>
  <c r="E38" i="4"/>
  <c r="D38" i="4"/>
  <c r="C38" i="4"/>
  <c r="B38" i="4"/>
  <c r="I37" i="4"/>
  <c r="H37" i="4"/>
  <c r="G37" i="4"/>
  <c r="F37" i="4"/>
  <c r="E37" i="4"/>
  <c r="D37" i="4"/>
  <c r="C37" i="4"/>
  <c r="B37" i="4"/>
  <c r="I36" i="4"/>
  <c r="H36" i="4"/>
  <c r="G36" i="4"/>
  <c r="F36" i="4"/>
  <c r="E36" i="4"/>
  <c r="D36" i="4"/>
  <c r="C36" i="4"/>
  <c r="B36" i="4"/>
  <c r="I35" i="4"/>
  <c r="H35" i="4"/>
  <c r="G35" i="4"/>
  <c r="F35" i="4"/>
  <c r="E35" i="4"/>
  <c r="D35" i="4"/>
  <c r="C35" i="4"/>
  <c r="I34" i="4"/>
  <c r="H34" i="4"/>
  <c r="G34" i="4"/>
  <c r="F34" i="4"/>
  <c r="E34" i="4"/>
  <c r="D34" i="4"/>
  <c r="C34" i="4"/>
  <c r="I33" i="4"/>
  <c r="H33" i="4"/>
  <c r="G33" i="4"/>
  <c r="F33" i="4"/>
  <c r="E33" i="4"/>
  <c r="D33" i="4"/>
  <c r="C33" i="4"/>
  <c r="I32" i="4"/>
  <c r="H32" i="4"/>
  <c r="G32" i="4"/>
  <c r="F32" i="4"/>
  <c r="E32" i="4"/>
  <c r="D32" i="4"/>
  <c r="C32" i="4"/>
  <c r="I31" i="4"/>
  <c r="H31" i="4"/>
  <c r="G31" i="4"/>
  <c r="F31" i="4"/>
  <c r="E31" i="4"/>
  <c r="D31" i="4"/>
  <c r="C31" i="4"/>
  <c r="I30" i="4"/>
  <c r="H30" i="4"/>
  <c r="G30" i="4"/>
  <c r="F30" i="4"/>
  <c r="E30" i="4"/>
  <c r="D30" i="4"/>
  <c r="C30" i="4"/>
  <c r="I29" i="4"/>
  <c r="H29" i="4"/>
  <c r="G29" i="4"/>
  <c r="F29" i="4"/>
  <c r="E29" i="4"/>
  <c r="D29" i="4"/>
  <c r="C29" i="4"/>
  <c r="I28" i="4"/>
  <c r="H28" i="4"/>
  <c r="G28" i="4"/>
  <c r="F28" i="4"/>
  <c r="E28" i="4"/>
  <c r="D28" i="4"/>
  <c r="C28" i="4"/>
  <c r="I27" i="4"/>
  <c r="H27" i="4"/>
  <c r="G27" i="4"/>
  <c r="F27" i="4"/>
  <c r="E27" i="4"/>
  <c r="D27" i="4"/>
  <c r="C27" i="4"/>
  <c r="I26" i="4"/>
  <c r="H26" i="4"/>
  <c r="G26" i="4"/>
  <c r="F26" i="4"/>
  <c r="E26" i="4"/>
  <c r="D26" i="4"/>
  <c r="C26" i="4"/>
  <c r="I25" i="4"/>
  <c r="H25" i="4"/>
  <c r="G25" i="4"/>
  <c r="F25" i="4"/>
  <c r="E25" i="4"/>
  <c r="D25" i="4"/>
  <c r="C25" i="4"/>
  <c r="I24" i="4"/>
  <c r="H24" i="4"/>
  <c r="G24" i="4"/>
  <c r="F24" i="4"/>
  <c r="E24" i="4"/>
  <c r="D24" i="4"/>
  <c r="C24" i="4"/>
  <c r="I23" i="4"/>
  <c r="H23" i="4"/>
  <c r="G23" i="4"/>
  <c r="F23" i="4"/>
  <c r="E23" i="4"/>
  <c r="D23" i="4"/>
  <c r="C23" i="4"/>
  <c r="I22" i="4"/>
  <c r="H22" i="4"/>
  <c r="G22" i="4"/>
  <c r="F22" i="4"/>
  <c r="E22" i="4"/>
  <c r="D22" i="4"/>
  <c r="C22" i="4"/>
  <c r="I21" i="4"/>
  <c r="H21" i="4"/>
  <c r="G21" i="4"/>
  <c r="F21" i="4"/>
  <c r="E21" i="4"/>
  <c r="D21" i="4"/>
  <c r="C21" i="4"/>
  <c r="I20" i="4"/>
  <c r="H20" i="4"/>
  <c r="G20" i="4"/>
  <c r="F20" i="4"/>
  <c r="E20" i="4"/>
  <c r="D20" i="4"/>
  <c r="C20" i="4"/>
  <c r="I19" i="4"/>
  <c r="H19" i="4"/>
  <c r="G19" i="4"/>
  <c r="F19" i="4"/>
  <c r="E19" i="4"/>
  <c r="D19" i="4"/>
  <c r="C19" i="4"/>
  <c r="I18" i="4"/>
  <c r="H18" i="4"/>
  <c r="G18" i="4"/>
  <c r="F18" i="4"/>
  <c r="E18" i="4"/>
  <c r="D18" i="4"/>
  <c r="C18" i="4"/>
  <c r="I17" i="4"/>
  <c r="H17" i="4"/>
  <c r="G17" i="4"/>
  <c r="F17" i="4"/>
  <c r="E17" i="4"/>
  <c r="D17" i="4"/>
  <c r="C17" i="4"/>
  <c r="I16" i="4"/>
  <c r="H16" i="4"/>
  <c r="G16" i="4"/>
  <c r="F16" i="4"/>
  <c r="E16" i="4"/>
  <c r="D16" i="4"/>
  <c r="C16" i="4"/>
  <c r="I15" i="4"/>
  <c r="H15" i="4"/>
  <c r="G15" i="4"/>
  <c r="F15" i="4"/>
  <c r="E15" i="4"/>
  <c r="D15" i="4"/>
  <c r="C15" i="4"/>
  <c r="I14" i="4"/>
  <c r="H14" i="4"/>
  <c r="G14" i="4"/>
  <c r="F14" i="4"/>
  <c r="E14" i="4"/>
  <c r="D14" i="4"/>
  <c r="C14" i="4"/>
  <c r="I13" i="4"/>
  <c r="H13" i="4"/>
  <c r="G13" i="4"/>
  <c r="F13" i="4"/>
  <c r="E13" i="4"/>
  <c r="D13" i="4"/>
  <c r="C13" i="4"/>
  <c r="I12" i="4"/>
  <c r="H12" i="4"/>
  <c r="G12" i="4"/>
  <c r="F12" i="4"/>
  <c r="E12" i="4"/>
  <c r="D12" i="4"/>
  <c r="C12" i="4"/>
  <c r="I11" i="4"/>
  <c r="H11" i="4"/>
  <c r="G11" i="4"/>
  <c r="F11" i="4"/>
  <c r="E11" i="4"/>
  <c r="D11" i="4"/>
  <c r="C11" i="4"/>
  <c r="I10" i="4"/>
  <c r="H10" i="4"/>
  <c r="G10" i="4"/>
  <c r="F10" i="4"/>
  <c r="E10" i="4"/>
  <c r="D10" i="4"/>
  <c r="C10" i="4"/>
  <c r="I9" i="4"/>
  <c r="H9" i="4"/>
  <c r="G9" i="4"/>
  <c r="F9" i="4"/>
  <c r="E9" i="4"/>
  <c r="D9" i="4"/>
  <c r="C9" i="4"/>
  <c r="I8" i="4"/>
  <c r="H8" i="4"/>
  <c r="G8" i="4"/>
  <c r="F8" i="4"/>
  <c r="E8" i="4"/>
  <c r="D8" i="4"/>
  <c r="C8" i="4"/>
  <c r="I7" i="4"/>
  <c r="H7" i="4"/>
  <c r="G7" i="4"/>
  <c r="F7" i="4"/>
  <c r="E7" i="4"/>
  <c r="D7" i="4"/>
  <c r="C7" i="4"/>
  <c r="I6" i="4"/>
  <c r="H6" i="4"/>
  <c r="G6" i="4"/>
  <c r="F6" i="4"/>
  <c r="E6" i="4"/>
  <c r="D6" i="4"/>
  <c r="C6" i="4"/>
  <c r="I5" i="4"/>
  <c r="H5" i="4"/>
  <c r="G5" i="4"/>
  <c r="F5" i="4"/>
  <c r="E5" i="4"/>
  <c r="D5" i="4"/>
  <c r="C5" i="4"/>
  <c r="BA201" i="3"/>
  <c r="AY201" i="3"/>
  <c r="AX201" i="3"/>
  <c r="AW201" i="3"/>
  <c r="AT201" i="3"/>
  <c r="AS201" i="3"/>
  <c r="AR201" i="3"/>
  <c r="AH201" i="3"/>
  <c r="AG201" i="3"/>
  <c r="U201" i="3"/>
  <c r="M201" i="3"/>
  <c r="L201" i="3"/>
  <c r="K201" i="3"/>
  <c r="E201" i="3"/>
  <c r="C201" i="3"/>
  <c r="BA200" i="3"/>
  <c r="AY200" i="3"/>
  <c r="AX200" i="3"/>
  <c r="AW200" i="3"/>
  <c r="AT200" i="3"/>
  <c r="AS200" i="3"/>
  <c r="AR200" i="3"/>
  <c r="AH200" i="3"/>
  <c r="AG200" i="3"/>
  <c r="U200" i="3"/>
  <c r="M200" i="3"/>
  <c r="L200" i="3"/>
  <c r="K200" i="3"/>
  <c r="E200" i="3"/>
  <c r="C200" i="3"/>
  <c r="BA199" i="3"/>
  <c r="AY199" i="3"/>
  <c r="AX199" i="3"/>
  <c r="AW199" i="3"/>
  <c r="AT199" i="3"/>
  <c r="AS199" i="3"/>
  <c r="AR199" i="3"/>
  <c r="AH199" i="3"/>
  <c r="AG199" i="3"/>
  <c r="U199" i="3"/>
  <c r="M199" i="3"/>
  <c r="L199" i="3"/>
  <c r="K199" i="3"/>
  <c r="E199" i="3"/>
  <c r="C199" i="3"/>
  <c r="BA198" i="3"/>
  <c r="AY198" i="3"/>
  <c r="AX198" i="3"/>
  <c r="AW198" i="3"/>
  <c r="AT198" i="3"/>
  <c r="AS198" i="3"/>
  <c r="AR198" i="3"/>
  <c r="AH198" i="3"/>
  <c r="AG198" i="3"/>
  <c r="U198" i="3"/>
  <c r="M198" i="3"/>
  <c r="L198" i="3"/>
  <c r="K198" i="3"/>
  <c r="E198" i="3"/>
  <c r="C198" i="3"/>
  <c r="BA197" i="3"/>
  <c r="AY197" i="3"/>
  <c r="AX197" i="3"/>
  <c r="AW197" i="3"/>
  <c r="AT197" i="3"/>
  <c r="AS197" i="3"/>
  <c r="AR197" i="3"/>
  <c r="AH197" i="3"/>
  <c r="AG197" i="3"/>
  <c r="U197" i="3"/>
  <c r="M197" i="3"/>
  <c r="L197" i="3"/>
  <c r="K197" i="3"/>
  <c r="E197" i="3"/>
  <c r="C197" i="3"/>
  <c r="BA196" i="3"/>
  <c r="AY196" i="3"/>
  <c r="AX196" i="3"/>
  <c r="AW196" i="3"/>
  <c r="AT196" i="3"/>
  <c r="AS196" i="3"/>
  <c r="AR196" i="3"/>
  <c r="AH196" i="3"/>
  <c r="AG196" i="3"/>
  <c r="U196" i="3"/>
  <c r="M196" i="3"/>
  <c r="L196" i="3"/>
  <c r="K196" i="3"/>
  <c r="E196" i="3"/>
  <c r="C196" i="3"/>
  <c r="BA195" i="3"/>
  <c r="AY195" i="3"/>
  <c r="AX195" i="3"/>
  <c r="AW195" i="3"/>
  <c r="AT195" i="3"/>
  <c r="AS195" i="3"/>
  <c r="AR195" i="3"/>
  <c r="AH195" i="3"/>
  <c r="AG195" i="3"/>
  <c r="U195" i="3"/>
  <c r="M195" i="3"/>
  <c r="L195" i="3"/>
  <c r="K195" i="3"/>
  <c r="E195" i="3"/>
  <c r="C195" i="3"/>
  <c r="BA194" i="3"/>
  <c r="AY194" i="3"/>
  <c r="AX194" i="3"/>
  <c r="AW194" i="3"/>
  <c r="AT194" i="3"/>
  <c r="AS194" i="3"/>
  <c r="AR194" i="3"/>
  <c r="AH194" i="3"/>
  <c r="AG194" i="3"/>
  <c r="U194" i="3"/>
  <c r="M194" i="3"/>
  <c r="L194" i="3"/>
  <c r="K194" i="3"/>
  <c r="E194" i="3"/>
  <c r="C194" i="3"/>
  <c r="BA193" i="3"/>
  <c r="AY193" i="3"/>
  <c r="AX193" i="3"/>
  <c r="AW193" i="3"/>
  <c r="AT193" i="3"/>
  <c r="AS193" i="3"/>
  <c r="AR193" i="3"/>
  <c r="AH193" i="3"/>
  <c r="AG193" i="3"/>
  <c r="U193" i="3"/>
  <c r="M193" i="3"/>
  <c r="L193" i="3"/>
  <c r="K193" i="3"/>
  <c r="E193" i="3"/>
  <c r="C193" i="3"/>
  <c r="BA192" i="3"/>
  <c r="AY192" i="3"/>
  <c r="AX192" i="3"/>
  <c r="AW192" i="3"/>
  <c r="AT192" i="3"/>
  <c r="AS192" i="3"/>
  <c r="AR192" i="3"/>
  <c r="AH192" i="3"/>
  <c r="AG192" i="3"/>
  <c r="U192" i="3"/>
  <c r="M192" i="3"/>
  <c r="L192" i="3"/>
  <c r="K192" i="3"/>
  <c r="E192" i="3"/>
  <c r="C192" i="3"/>
  <c r="BA191" i="3"/>
  <c r="AY191" i="3"/>
  <c r="AX191" i="3"/>
  <c r="AW191" i="3"/>
  <c r="AT191" i="3"/>
  <c r="AS191" i="3"/>
  <c r="AR191" i="3"/>
  <c r="AH191" i="3"/>
  <c r="AG191" i="3"/>
  <c r="U191" i="3"/>
  <c r="M191" i="3"/>
  <c r="L191" i="3"/>
  <c r="K191" i="3"/>
  <c r="E191" i="3"/>
  <c r="C191" i="3"/>
  <c r="BA190" i="3"/>
  <c r="AY190" i="3"/>
  <c r="AX190" i="3"/>
  <c r="AW190" i="3"/>
  <c r="AT190" i="3"/>
  <c r="AS190" i="3"/>
  <c r="AR190" i="3"/>
  <c r="AH190" i="3"/>
  <c r="AG190" i="3"/>
  <c r="U190" i="3"/>
  <c r="M190" i="3"/>
  <c r="L190" i="3"/>
  <c r="K190" i="3"/>
  <c r="E190" i="3"/>
  <c r="C190" i="3"/>
  <c r="BA189" i="3"/>
  <c r="AY189" i="3"/>
  <c r="AX189" i="3"/>
  <c r="AW189" i="3"/>
  <c r="AT189" i="3"/>
  <c r="AS189" i="3"/>
  <c r="AR189" i="3"/>
  <c r="AH189" i="3"/>
  <c r="AG189" i="3"/>
  <c r="U189" i="3"/>
  <c r="M189" i="3"/>
  <c r="L189" i="3"/>
  <c r="K189" i="3"/>
  <c r="E189" i="3"/>
  <c r="C189" i="3"/>
  <c r="BA188" i="3"/>
  <c r="AY188" i="3"/>
  <c r="AX188" i="3"/>
  <c r="AW188" i="3"/>
  <c r="AT188" i="3"/>
  <c r="AS188" i="3"/>
  <c r="AR188" i="3"/>
  <c r="AH188" i="3"/>
  <c r="AG188" i="3"/>
  <c r="U188" i="3"/>
  <c r="M188" i="3"/>
  <c r="L188" i="3"/>
  <c r="K188" i="3"/>
  <c r="E188" i="3"/>
  <c r="C188" i="3"/>
  <c r="BA187" i="3"/>
  <c r="AY187" i="3"/>
  <c r="AX187" i="3"/>
  <c r="AW187" i="3"/>
  <c r="AT187" i="3"/>
  <c r="AS187" i="3"/>
  <c r="AR187" i="3"/>
  <c r="AH187" i="3"/>
  <c r="AG187" i="3"/>
  <c r="U187" i="3"/>
  <c r="M187" i="3"/>
  <c r="L187" i="3"/>
  <c r="K187" i="3"/>
  <c r="E187" i="3"/>
  <c r="C187" i="3"/>
  <c r="BA186" i="3"/>
  <c r="AY186" i="3"/>
  <c r="AX186" i="3"/>
  <c r="AW186" i="3"/>
  <c r="AT186" i="3"/>
  <c r="AS186" i="3"/>
  <c r="AR186" i="3"/>
  <c r="AH186" i="3"/>
  <c r="AG186" i="3"/>
  <c r="U186" i="3"/>
  <c r="M186" i="3"/>
  <c r="L186" i="3"/>
  <c r="K186" i="3"/>
  <c r="E186" i="3"/>
  <c r="C186" i="3"/>
  <c r="BA185" i="3"/>
  <c r="AY185" i="3"/>
  <c r="AX185" i="3"/>
  <c r="AW185" i="3"/>
  <c r="AT185" i="3"/>
  <c r="AS185" i="3"/>
  <c r="AR185" i="3"/>
  <c r="AH185" i="3"/>
  <c r="AG185" i="3"/>
  <c r="U185" i="3"/>
  <c r="M185" i="3"/>
  <c r="L185" i="3"/>
  <c r="K185" i="3"/>
  <c r="E185" i="3"/>
  <c r="C185" i="3"/>
  <c r="BA184" i="3"/>
  <c r="AY184" i="3"/>
  <c r="AX184" i="3"/>
  <c r="AW184" i="3"/>
  <c r="AT184" i="3"/>
  <c r="AS184" i="3"/>
  <c r="AR184" i="3"/>
  <c r="AH184" i="3"/>
  <c r="AG184" i="3"/>
  <c r="U184" i="3"/>
  <c r="M184" i="3"/>
  <c r="L184" i="3"/>
  <c r="K184" i="3"/>
  <c r="E184" i="3"/>
  <c r="C184" i="3"/>
  <c r="BA183" i="3"/>
  <c r="AY183" i="3"/>
  <c r="AX183" i="3"/>
  <c r="AW183" i="3"/>
  <c r="AT183" i="3"/>
  <c r="AS183" i="3"/>
  <c r="AR183" i="3"/>
  <c r="AH183" i="3"/>
  <c r="AG183" i="3"/>
  <c r="U183" i="3"/>
  <c r="M183" i="3"/>
  <c r="L183" i="3"/>
  <c r="K183" i="3"/>
  <c r="E183" i="3"/>
  <c r="C183" i="3"/>
  <c r="BA182" i="3"/>
  <c r="AY182" i="3"/>
  <c r="AX182" i="3"/>
  <c r="AW182" i="3"/>
  <c r="AT182" i="3"/>
  <c r="AS182" i="3"/>
  <c r="AR182" i="3"/>
  <c r="AH182" i="3"/>
  <c r="AG182" i="3"/>
  <c r="U182" i="3"/>
  <c r="M182" i="3"/>
  <c r="L182" i="3"/>
  <c r="K182" i="3"/>
  <c r="E182" i="3"/>
  <c r="C182" i="3"/>
  <c r="BA181" i="3"/>
  <c r="AY181" i="3"/>
  <c r="AX181" i="3"/>
  <c r="AW181" i="3"/>
  <c r="AT181" i="3"/>
  <c r="AS181" i="3"/>
  <c r="AR181" i="3"/>
  <c r="AH181" i="3"/>
  <c r="AG181" i="3"/>
  <c r="U181" i="3"/>
  <c r="M181" i="3"/>
  <c r="L181" i="3"/>
  <c r="K181" i="3"/>
  <c r="E181" i="3"/>
  <c r="C181" i="3"/>
  <c r="AX180" i="3"/>
  <c r="AY180" i="3" s="1"/>
  <c r="AW180" i="3"/>
  <c r="AT180" i="3"/>
  <c r="AS180" i="3"/>
  <c r="AR180" i="3"/>
  <c r="AH180" i="3"/>
  <c r="AG180" i="3"/>
  <c r="U180" i="3"/>
  <c r="L180" i="3"/>
  <c r="E180" i="3"/>
  <c r="C180" i="3"/>
  <c r="AX179" i="3"/>
  <c r="AY179" i="3" s="1"/>
  <c r="AW179" i="3"/>
  <c r="AT179" i="3"/>
  <c r="AS179" i="3"/>
  <c r="AR179" i="3"/>
  <c r="AH179" i="3"/>
  <c r="AG179" i="3"/>
  <c r="U179" i="3"/>
  <c r="L179" i="3"/>
  <c r="E179" i="3"/>
  <c r="C179" i="3"/>
  <c r="AX178" i="3"/>
  <c r="AY178" i="3" s="1"/>
  <c r="AW178" i="3"/>
  <c r="AT178" i="3"/>
  <c r="AS178" i="3"/>
  <c r="AR178" i="3"/>
  <c r="AH178" i="3"/>
  <c r="AG178" i="3"/>
  <c r="U178" i="3"/>
  <c r="E178" i="3"/>
  <c r="C178" i="3"/>
  <c r="AX177" i="3"/>
  <c r="AY177" i="3" s="1"/>
  <c r="AW177" i="3"/>
  <c r="AT177" i="3"/>
  <c r="AS177" i="3"/>
  <c r="AR177" i="3"/>
  <c r="AH177" i="3"/>
  <c r="AG177" i="3"/>
  <c r="U177" i="3"/>
  <c r="E177" i="3"/>
  <c r="C177" i="3"/>
  <c r="B174" i="4" s="1"/>
  <c r="AX176" i="3"/>
  <c r="AY176" i="3" s="1"/>
  <c r="AW176" i="3"/>
  <c r="AT176" i="3"/>
  <c r="AS176" i="3"/>
  <c r="AR176" i="3"/>
  <c r="AH176" i="3"/>
  <c r="AG176" i="3"/>
  <c r="U176" i="3"/>
  <c r="E176" i="3"/>
  <c r="C176" i="3"/>
  <c r="AX175" i="3"/>
  <c r="AY175" i="3" s="1"/>
  <c r="AW175" i="3"/>
  <c r="AT175" i="3"/>
  <c r="AS175" i="3"/>
  <c r="AR175" i="3"/>
  <c r="AH175" i="3"/>
  <c r="AG175" i="3"/>
  <c r="U175" i="3"/>
  <c r="E175" i="3"/>
  <c r="C175" i="3"/>
  <c r="B173" i="4" s="1"/>
  <c r="AX174" i="3"/>
  <c r="AY174" i="3" s="1"/>
  <c r="AW174" i="3"/>
  <c r="AT174" i="3"/>
  <c r="AS174" i="3"/>
  <c r="AR174" i="3"/>
  <c r="AH174" i="3"/>
  <c r="AG174" i="3"/>
  <c r="U174" i="3"/>
  <c r="L174" i="3"/>
  <c r="E174" i="3"/>
  <c r="C174" i="3"/>
  <c r="B172" i="4" s="1"/>
  <c r="AX173" i="3"/>
  <c r="AY173" i="3" s="1"/>
  <c r="AW173" i="3"/>
  <c r="AT173" i="3"/>
  <c r="AS173" i="3"/>
  <c r="AR173" i="3"/>
  <c r="AH173" i="3"/>
  <c r="AG173" i="3"/>
  <c r="U173" i="3"/>
  <c r="L173" i="3"/>
  <c r="E173" i="3"/>
  <c r="C173" i="3"/>
  <c r="AX172" i="3"/>
  <c r="AY172" i="3" s="1"/>
  <c r="AW172" i="3"/>
  <c r="AT172" i="3"/>
  <c r="AS172" i="3"/>
  <c r="AR172" i="3"/>
  <c r="AH172" i="3"/>
  <c r="AG172" i="3"/>
  <c r="U172" i="3"/>
  <c r="L172" i="3"/>
  <c r="E172" i="3"/>
  <c r="C172" i="3"/>
  <c r="AX171" i="3"/>
  <c r="AY171" i="3" s="1"/>
  <c r="AW171" i="3"/>
  <c r="AT171" i="3"/>
  <c r="AS171" i="3"/>
  <c r="AR171" i="3"/>
  <c r="AH171" i="3"/>
  <c r="AG171" i="3"/>
  <c r="U171" i="3"/>
  <c r="E171" i="3"/>
  <c r="C171" i="3"/>
  <c r="AX170" i="3"/>
  <c r="AY170" i="3" s="1"/>
  <c r="AW170" i="3"/>
  <c r="AT170" i="3"/>
  <c r="AS170" i="3"/>
  <c r="AR170" i="3"/>
  <c r="AH170" i="3"/>
  <c r="AG170" i="3"/>
  <c r="U170" i="3"/>
  <c r="L170" i="3"/>
  <c r="E170" i="3"/>
  <c r="C170" i="3"/>
  <c r="B181" i="6" s="1"/>
  <c r="AX169" i="3"/>
  <c r="AY169" i="3" s="1"/>
  <c r="AW169" i="3"/>
  <c r="AT169" i="3"/>
  <c r="AS169" i="3"/>
  <c r="AR169" i="3"/>
  <c r="AH169" i="3"/>
  <c r="AG169" i="3"/>
  <c r="U169" i="3"/>
  <c r="E169" i="3"/>
  <c r="C169" i="3"/>
  <c r="B180" i="6" s="1"/>
  <c r="AX168" i="3"/>
  <c r="AY168" i="3" s="1"/>
  <c r="AW168" i="3"/>
  <c r="AT168" i="3"/>
  <c r="AS168" i="3"/>
  <c r="AR168" i="3"/>
  <c r="AH168" i="3"/>
  <c r="AG168" i="3"/>
  <c r="U168" i="3"/>
  <c r="E168" i="3"/>
  <c r="C168" i="3"/>
  <c r="AX167" i="3"/>
  <c r="AY167" i="3" s="1"/>
  <c r="AW167" i="3"/>
  <c r="AT167" i="3"/>
  <c r="AS167" i="3"/>
  <c r="AR167" i="3"/>
  <c r="AH167" i="3"/>
  <c r="AG167" i="3"/>
  <c r="U167" i="3"/>
  <c r="L167" i="3"/>
  <c r="E167" i="3"/>
  <c r="C167" i="3"/>
  <c r="AX166" i="3"/>
  <c r="AY166" i="3" s="1"/>
  <c r="AW166" i="3"/>
  <c r="AT166" i="3"/>
  <c r="AS166" i="3"/>
  <c r="AR166" i="3"/>
  <c r="AH166" i="3"/>
  <c r="AG166" i="3"/>
  <c r="U166" i="3"/>
  <c r="L166" i="3"/>
  <c r="E166" i="3"/>
  <c r="C166" i="3"/>
  <c r="B184" i="6" s="1"/>
  <c r="AX165" i="3"/>
  <c r="AY165" i="3" s="1"/>
  <c r="AW165" i="3"/>
  <c r="AT165" i="3"/>
  <c r="AS165" i="3"/>
  <c r="AR165" i="3"/>
  <c r="AH165" i="3"/>
  <c r="AG165" i="3"/>
  <c r="U165" i="3"/>
  <c r="L165" i="3"/>
  <c r="E165" i="3"/>
  <c r="C165" i="3"/>
  <c r="B183" i="6" s="1"/>
  <c r="AX164" i="3"/>
  <c r="AY164" i="3" s="1"/>
  <c r="AW164" i="3"/>
  <c r="AT164" i="3"/>
  <c r="M13" i="2" s="1"/>
  <c r="AS164" i="3"/>
  <c r="AR164" i="3"/>
  <c r="AH164" i="3"/>
  <c r="AG164" i="3"/>
  <c r="U164" i="3"/>
  <c r="L164" i="3"/>
  <c r="E164" i="3"/>
  <c r="C164" i="3"/>
  <c r="B182" i="6" s="1"/>
  <c r="AX163" i="3"/>
  <c r="AY163" i="3" s="1"/>
  <c r="AW163" i="3"/>
  <c r="AT163" i="3"/>
  <c r="AS163" i="3"/>
  <c r="AR163" i="3"/>
  <c r="AH163" i="3"/>
  <c r="AG163" i="3"/>
  <c r="U163" i="3"/>
  <c r="L163" i="3"/>
  <c r="E163" i="3"/>
  <c r="C163" i="3"/>
  <c r="AX162" i="3"/>
  <c r="AY162" i="3" s="1"/>
  <c r="AW162" i="3"/>
  <c r="AT162" i="3"/>
  <c r="AS162" i="3"/>
  <c r="AR162" i="3"/>
  <c r="AH162" i="3"/>
  <c r="AG162" i="3"/>
  <c r="U162" i="3"/>
  <c r="E162" i="3"/>
  <c r="C162" i="3"/>
  <c r="AX161" i="3"/>
  <c r="AY161" i="3" s="1"/>
  <c r="AW161" i="3"/>
  <c r="AT161" i="3"/>
  <c r="AS161" i="3"/>
  <c r="AR161" i="3"/>
  <c r="AH161" i="3"/>
  <c r="AG161" i="3"/>
  <c r="U161" i="3"/>
  <c r="E161" i="3"/>
  <c r="C161" i="3"/>
  <c r="AX160" i="3"/>
  <c r="AY160" i="3" s="1"/>
  <c r="AW160" i="3"/>
  <c r="AT160" i="3"/>
  <c r="AS160" i="3"/>
  <c r="AR160" i="3"/>
  <c r="AH160" i="3"/>
  <c r="AG160" i="3"/>
  <c r="U160" i="3"/>
  <c r="E160" i="3"/>
  <c r="C160" i="3"/>
  <c r="AX159" i="3"/>
  <c r="AY159" i="3" s="1"/>
  <c r="AW159" i="3"/>
  <c r="AT159" i="3"/>
  <c r="AS159" i="3"/>
  <c r="AR159" i="3"/>
  <c r="AH159" i="3"/>
  <c r="AG159" i="3"/>
  <c r="U159" i="3"/>
  <c r="L159" i="3"/>
  <c r="E159" i="3"/>
  <c r="C159" i="3"/>
  <c r="AX158" i="3"/>
  <c r="AY158" i="3" s="1"/>
  <c r="AW158" i="3"/>
  <c r="AT158" i="3"/>
  <c r="AS158" i="3"/>
  <c r="AR158" i="3"/>
  <c r="AH158" i="3"/>
  <c r="AG158" i="3"/>
  <c r="U158" i="3"/>
  <c r="L158" i="3"/>
  <c r="E158" i="3"/>
  <c r="C158" i="3"/>
  <c r="AX157" i="3"/>
  <c r="AY157" i="3" s="1"/>
  <c r="AW157" i="3"/>
  <c r="AT157" i="3"/>
  <c r="AS157" i="3"/>
  <c r="AR157" i="3"/>
  <c r="AH157" i="3"/>
  <c r="AG157" i="3"/>
  <c r="U157" i="3"/>
  <c r="E157" i="3"/>
  <c r="C157" i="3"/>
  <c r="B137" i="4" s="1"/>
  <c r="AX156" i="3"/>
  <c r="AY156" i="3" s="1"/>
  <c r="AW156" i="3"/>
  <c r="AT156" i="3"/>
  <c r="AS156" i="3"/>
  <c r="AR156" i="3"/>
  <c r="AH156" i="3"/>
  <c r="AG156" i="3"/>
  <c r="U156" i="3"/>
  <c r="E156" i="3"/>
  <c r="C156" i="3"/>
  <c r="AX155" i="3"/>
  <c r="AY155" i="3" s="1"/>
  <c r="AW155" i="3"/>
  <c r="AT155" i="3"/>
  <c r="AS155" i="3"/>
  <c r="AR155" i="3"/>
  <c r="AH155" i="3"/>
  <c r="AG155" i="3"/>
  <c r="U155" i="3"/>
  <c r="L155" i="3"/>
  <c r="E155" i="3"/>
  <c r="C155" i="3"/>
  <c r="B136" i="4" s="1"/>
  <c r="AX154" i="3"/>
  <c r="AY154" i="3" s="1"/>
  <c r="AW154" i="3"/>
  <c r="AT154" i="3"/>
  <c r="AS154" i="3"/>
  <c r="AR154" i="3"/>
  <c r="AH154" i="3"/>
  <c r="AG154" i="3"/>
  <c r="U154" i="3"/>
  <c r="E154" i="3"/>
  <c r="C154" i="3"/>
  <c r="B135" i="4" s="1"/>
  <c r="AX153" i="3"/>
  <c r="AY153" i="3" s="1"/>
  <c r="AW153" i="3"/>
  <c r="AT153" i="3"/>
  <c r="AS153" i="3"/>
  <c r="AR153" i="3"/>
  <c r="AH153" i="3"/>
  <c r="AG153" i="3"/>
  <c r="U153" i="3"/>
  <c r="L153" i="3"/>
  <c r="E153" i="3"/>
  <c r="C153" i="3"/>
  <c r="AX152" i="3"/>
  <c r="AY152" i="3" s="1"/>
  <c r="AW152" i="3"/>
  <c r="AT152" i="3"/>
  <c r="AS152" i="3"/>
  <c r="AR152" i="3"/>
  <c r="AH152" i="3"/>
  <c r="AG152" i="3"/>
  <c r="U152" i="3"/>
  <c r="L152" i="3"/>
  <c r="E152" i="3"/>
  <c r="C152" i="3"/>
  <c r="AX151" i="3"/>
  <c r="AY151" i="3" s="1"/>
  <c r="AW151" i="3"/>
  <c r="AT151" i="3"/>
  <c r="AS151" i="3"/>
  <c r="AR151" i="3"/>
  <c r="AH151" i="3"/>
  <c r="AG151" i="3"/>
  <c r="U151" i="3"/>
  <c r="E151" i="3"/>
  <c r="C151" i="3"/>
  <c r="AX150" i="3"/>
  <c r="AY150" i="3" s="1"/>
  <c r="AW150" i="3"/>
  <c r="AT150" i="3"/>
  <c r="AS150" i="3"/>
  <c r="AR150" i="3"/>
  <c r="AH150" i="3"/>
  <c r="AG150" i="3"/>
  <c r="U150" i="3"/>
  <c r="E150" i="3"/>
  <c r="C150" i="3"/>
  <c r="AX149" i="3"/>
  <c r="AY149" i="3" s="1"/>
  <c r="AW149" i="3"/>
  <c r="AT149" i="3"/>
  <c r="AS149" i="3"/>
  <c r="AR149" i="3"/>
  <c r="AH149" i="3"/>
  <c r="AG149" i="3"/>
  <c r="U149" i="3"/>
  <c r="E149" i="3"/>
  <c r="C149" i="3"/>
  <c r="B134" i="4" s="1"/>
  <c r="AX148" i="3"/>
  <c r="AY148" i="3" s="1"/>
  <c r="AW148" i="3"/>
  <c r="AT148" i="3"/>
  <c r="AS148" i="3"/>
  <c r="AR148" i="3"/>
  <c r="AH148" i="3"/>
  <c r="AG148" i="3"/>
  <c r="U148" i="3"/>
  <c r="E148" i="3"/>
  <c r="C148" i="3"/>
  <c r="AX147" i="3"/>
  <c r="AY147" i="3" s="1"/>
  <c r="AW147" i="3"/>
  <c r="AT147" i="3"/>
  <c r="AS147" i="3"/>
  <c r="AR147" i="3"/>
  <c r="AH147" i="3"/>
  <c r="AG147" i="3"/>
  <c r="U147" i="3"/>
  <c r="E147" i="3"/>
  <c r="C147" i="3"/>
  <c r="AX146" i="3"/>
  <c r="AY146" i="3" s="1"/>
  <c r="AW146" i="3"/>
  <c r="AT146" i="3"/>
  <c r="AS146" i="3"/>
  <c r="AR146" i="3"/>
  <c r="AH146" i="3"/>
  <c r="AG146" i="3"/>
  <c r="U146" i="3"/>
  <c r="L146" i="3"/>
  <c r="E146" i="3"/>
  <c r="C146" i="3"/>
  <c r="AX145" i="3"/>
  <c r="AY145" i="3" s="1"/>
  <c r="AW145" i="3"/>
  <c r="AT145" i="3"/>
  <c r="AS145" i="3"/>
  <c r="AR145" i="3"/>
  <c r="AH145" i="3"/>
  <c r="AG145" i="3"/>
  <c r="U145" i="3"/>
  <c r="E145" i="3"/>
  <c r="C145" i="3"/>
  <c r="AX144" i="3"/>
  <c r="AY144" i="3" s="1"/>
  <c r="AW144" i="3"/>
  <c r="AT144" i="3"/>
  <c r="AS144" i="3"/>
  <c r="AR144" i="3"/>
  <c r="AH144" i="3"/>
  <c r="AG144" i="3"/>
  <c r="U144" i="3"/>
  <c r="E144" i="3"/>
  <c r="C144" i="3"/>
  <c r="AX143" i="3"/>
  <c r="AY143" i="3" s="1"/>
  <c r="AW143" i="3"/>
  <c r="AT143" i="3"/>
  <c r="AS143" i="3"/>
  <c r="AR143" i="3"/>
  <c r="AH143" i="3"/>
  <c r="AG143" i="3"/>
  <c r="U143" i="3"/>
  <c r="E143" i="3"/>
  <c r="C143" i="3"/>
  <c r="AX142" i="3"/>
  <c r="AY142" i="3" s="1"/>
  <c r="AW142" i="3"/>
  <c r="AT142" i="3"/>
  <c r="AS142" i="3"/>
  <c r="AR142" i="3"/>
  <c r="AH142" i="3"/>
  <c r="AG142" i="3"/>
  <c r="U142" i="3"/>
  <c r="L142" i="3"/>
  <c r="E142" i="3"/>
  <c r="C142" i="3"/>
  <c r="AX141" i="3"/>
  <c r="AY141" i="3" s="1"/>
  <c r="AW141" i="3"/>
  <c r="AT141" i="3"/>
  <c r="AS141" i="3"/>
  <c r="AR141" i="3"/>
  <c r="AH141" i="3"/>
  <c r="AG141" i="3"/>
  <c r="U141" i="3"/>
  <c r="L141" i="3"/>
  <c r="E141" i="3"/>
  <c r="C141" i="3"/>
  <c r="AX140" i="3"/>
  <c r="AY140" i="3" s="1"/>
  <c r="AW140" i="3"/>
  <c r="AT140" i="3"/>
  <c r="AS140" i="3"/>
  <c r="AR140" i="3"/>
  <c r="AH140" i="3"/>
  <c r="AG140" i="3"/>
  <c r="U140" i="3"/>
  <c r="L140" i="3"/>
  <c r="E140" i="3"/>
  <c r="C140" i="3"/>
  <c r="AX139" i="3"/>
  <c r="AY139" i="3" s="1"/>
  <c r="AW139" i="3"/>
  <c r="AT139" i="3"/>
  <c r="AS139" i="3"/>
  <c r="AR139" i="3"/>
  <c r="AH139" i="3"/>
  <c r="AG139" i="3"/>
  <c r="U139" i="3"/>
  <c r="E139" i="3"/>
  <c r="C139" i="3"/>
  <c r="AX138" i="3"/>
  <c r="AY138" i="3" s="1"/>
  <c r="AW138" i="3"/>
  <c r="AT138" i="3"/>
  <c r="AS138" i="3"/>
  <c r="AR138" i="3"/>
  <c r="AH138" i="3"/>
  <c r="AG138" i="3"/>
  <c r="U138" i="3"/>
  <c r="L138" i="3"/>
  <c r="E138" i="3"/>
  <c r="C138" i="3"/>
  <c r="AX137" i="3"/>
  <c r="AY137" i="3" s="1"/>
  <c r="AW137" i="3"/>
  <c r="AT137" i="3"/>
  <c r="AS137" i="3"/>
  <c r="AR137" i="3"/>
  <c r="AH137" i="3"/>
  <c r="AG137" i="3"/>
  <c r="U137" i="3"/>
  <c r="L137" i="3"/>
  <c r="E137" i="3"/>
  <c r="C137" i="3"/>
  <c r="AX136" i="3"/>
  <c r="AY136" i="3" s="1"/>
  <c r="AW136" i="3"/>
  <c r="AT136" i="3"/>
  <c r="AS136" i="3"/>
  <c r="AR136" i="3"/>
  <c r="AH136" i="3"/>
  <c r="AG136" i="3"/>
  <c r="U136" i="3"/>
  <c r="L136" i="3"/>
  <c r="E136" i="3"/>
  <c r="C136" i="3"/>
  <c r="AX135" i="3"/>
  <c r="AY135" i="3" s="1"/>
  <c r="AW135" i="3"/>
  <c r="AT135" i="3"/>
  <c r="AS135" i="3"/>
  <c r="AR135" i="3"/>
  <c r="AH135" i="3"/>
  <c r="AG135" i="3"/>
  <c r="U135" i="3"/>
  <c r="E135" i="3"/>
  <c r="C135" i="3"/>
  <c r="AX134" i="3"/>
  <c r="AY134" i="3" s="1"/>
  <c r="AW134" i="3"/>
  <c r="AT134" i="3"/>
  <c r="AS134" i="3"/>
  <c r="AR134" i="3"/>
  <c r="AH134" i="3"/>
  <c r="AG134" i="3"/>
  <c r="U134" i="3"/>
  <c r="E134" i="3"/>
  <c r="C134" i="3"/>
  <c r="AX133" i="3"/>
  <c r="AY133" i="3" s="1"/>
  <c r="AW133" i="3"/>
  <c r="AT133" i="3"/>
  <c r="AS133" i="3"/>
  <c r="AR133" i="3"/>
  <c r="AH133" i="3"/>
  <c r="AG133" i="3"/>
  <c r="U133" i="3"/>
  <c r="L133" i="3"/>
  <c r="E133" i="3"/>
  <c r="C133" i="3"/>
  <c r="AX132" i="3"/>
  <c r="AY132" i="3" s="1"/>
  <c r="AW132" i="3"/>
  <c r="AT132" i="3"/>
  <c r="AS132" i="3"/>
  <c r="AR132" i="3"/>
  <c r="AH132" i="3"/>
  <c r="AG132" i="3"/>
  <c r="U132" i="3"/>
  <c r="L132" i="3"/>
  <c r="E132" i="3"/>
  <c r="C132" i="3"/>
  <c r="AX131" i="3"/>
  <c r="AY131" i="3" s="1"/>
  <c r="AW131" i="3"/>
  <c r="AT131" i="3"/>
  <c r="AS131" i="3"/>
  <c r="AR131" i="3"/>
  <c r="AH131" i="3"/>
  <c r="AG131" i="3"/>
  <c r="U131" i="3"/>
  <c r="L131" i="3"/>
  <c r="E131" i="3"/>
  <c r="C131" i="3"/>
  <c r="AX130" i="3"/>
  <c r="AY130" i="3" s="1"/>
  <c r="AW130" i="3"/>
  <c r="AT130" i="3"/>
  <c r="AS130" i="3"/>
  <c r="AR130" i="3"/>
  <c r="AH130" i="3"/>
  <c r="AG130" i="3"/>
  <c r="U130" i="3"/>
  <c r="L130" i="3"/>
  <c r="E130" i="3"/>
  <c r="C130" i="3"/>
  <c r="AX129" i="3"/>
  <c r="AY129" i="3" s="1"/>
  <c r="AW129" i="3"/>
  <c r="AT129" i="3"/>
  <c r="AS129" i="3"/>
  <c r="AR129" i="3"/>
  <c r="AH129" i="3"/>
  <c r="AG129" i="3"/>
  <c r="U129" i="3"/>
  <c r="L129" i="3"/>
  <c r="E129" i="3"/>
  <c r="C129" i="3"/>
  <c r="AX128" i="3"/>
  <c r="AY128" i="3" s="1"/>
  <c r="AW128" i="3"/>
  <c r="AT128" i="3"/>
  <c r="AS128" i="3"/>
  <c r="AR128" i="3"/>
  <c r="AH128" i="3"/>
  <c r="AG128" i="3"/>
  <c r="U128" i="3"/>
  <c r="E128" i="3"/>
  <c r="C128" i="3"/>
  <c r="AX127" i="3"/>
  <c r="AY127" i="3" s="1"/>
  <c r="AW127" i="3"/>
  <c r="AT127" i="3"/>
  <c r="AS127" i="3"/>
  <c r="AR127" i="3"/>
  <c r="AH127" i="3"/>
  <c r="AG127" i="3"/>
  <c r="U127" i="3"/>
  <c r="L127" i="3"/>
  <c r="E127" i="3"/>
  <c r="C127" i="3"/>
  <c r="AX126" i="3"/>
  <c r="AY126" i="3" s="1"/>
  <c r="AW126" i="3"/>
  <c r="AT126" i="3"/>
  <c r="AS126" i="3"/>
  <c r="AR126" i="3"/>
  <c r="AH126" i="3"/>
  <c r="AG126" i="3"/>
  <c r="U126" i="3"/>
  <c r="L126" i="3"/>
  <c r="E126" i="3"/>
  <c r="C126" i="3"/>
  <c r="AX125" i="3"/>
  <c r="AY125" i="3" s="1"/>
  <c r="AW125" i="3"/>
  <c r="AT125" i="3"/>
  <c r="AS125" i="3"/>
  <c r="AR125" i="3"/>
  <c r="AH125" i="3"/>
  <c r="AG125" i="3"/>
  <c r="U125" i="3"/>
  <c r="L125" i="3"/>
  <c r="E125" i="3"/>
  <c r="C125" i="3"/>
  <c r="AX124" i="3"/>
  <c r="AY124" i="3" s="1"/>
  <c r="AW124" i="3"/>
  <c r="AT124" i="3"/>
  <c r="AS124" i="3"/>
  <c r="AR124" i="3"/>
  <c r="AH124" i="3"/>
  <c r="AG124" i="3"/>
  <c r="U124" i="3"/>
  <c r="E124" i="3"/>
  <c r="C124" i="3"/>
  <c r="AX123" i="3"/>
  <c r="AY123" i="3" s="1"/>
  <c r="AW123" i="3"/>
  <c r="AT123" i="3"/>
  <c r="AS123" i="3"/>
  <c r="AR123" i="3"/>
  <c r="AH123" i="3"/>
  <c r="AG123" i="3"/>
  <c r="U123" i="3"/>
  <c r="L123" i="3"/>
  <c r="E123" i="3"/>
  <c r="C123" i="3"/>
  <c r="B125" i="11" s="1"/>
  <c r="AX122" i="3"/>
  <c r="AY122" i="3" s="1"/>
  <c r="AW122" i="3"/>
  <c r="AT122" i="3"/>
  <c r="AS122" i="3"/>
  <c r="AR122" i="3"/>
  <c r="AH122" i="3"/>
  <c r="AG122" i="3"/>
  <c r="U122" i="3"/>
  <c r="L122" i="3"/>
  <c r="E122" i="3"/>
  <c r="C122" i="3"/>
  <c r="B124" i="11" s="1"/>
  <c r="AX121" i="3"/>
  <c r="AY121" i="3" s="1"/>
  <c r="AW121" i="3"/>
  <c r="AT121" i="3"/>
  <c r="AS121" i="3"/>
  <c r="AR121" i="3"/>
  <c r="AH121" i="3"/>
  <c r="AG121" i="3"/>
  <c r="U121" i="3"/>
  <c r="L121" i="3"/>
  <c r="E121" i="3"/>
  <c r="C121" i="3"/>
  <c r="AX120" i="3"/>
  <c r="AY120" i="3" s="1"/>
  <c r="AW120" i="3"/>
  <c r="AT120" i="3"/>
  <c r="AS120" i="3"/>
  <c r="AR120" i="3"/>
  <c r="AH120" i="3"/>
  <c r="AG120" i="3"/>
  <c r="U120" i="3"/>
  <c r="L120" i="3"/>
  <c r="E120" i="3"/>
  <c r="C120" i="3"/>
  <c r="B103" i="4" s="1"/>
  <c r="AX119" i="3"/>
  <c r="AY119" i="3" s="1"/>
  <c r="AW119" i="3"/>
  <c r="AT119" i="3"/>
  <c r="AS119" i="3"/>
  <c r="AR119" i="3"/>
  <c r="AH119" i="3"/>
  <c r="AG119" i="3"/>
  <c r="U119" i="3"/>
  <c r="L119" i="3"/>
  <c r="E119" i="3"/>
  <c r="C119" i="3"/>
  <c r="AX118" i="3"/>
  <c r="AY118" i="3" s="1"/>
  <c r="AW118" i="3"/>
  <c r="AT118" i="3"/>
  <c r="AS118" i="3"/>
  <c r="AR118" i="3"/>
  <c r="AH118" i="3"/>
  <c r="AG118" i="3"/>
  <c r="U118" i="3"/>
  <c r="L118" i="3"/>
  <c r="E118" i="3"/>
  <c r="C118" i="3"/>
  <c r="AX117" i="3"/>
  <c r="AY117" i="3" s="1"/>
  <c r="AW117" i="3"/>
  <c r="AT117" i="3"/>
  <c r="AS117" i="3"/>
  <c r="AR117" i="3"/>
  <c r="AH117" i="3"/>
  <c r="AG117" i="3"/>
  <c r="U117" i="3"/>
  <c r="L117" i="3"/>
  <c r="E117" i="3"/>
  <c r="C117" i="3"/>
  <c r="B119" i="11" s="1"/>
  <c r="AX116" i="3"/>
  <c r="AY116" i="3" s="1"/>
  <c r="AW116" i="3"/>
  <c r="AT116" i="3"/>
  <c r="AS116" i="3"/>
  <c r="AR116" i="3"/>
  <c r="AH116" i="3"/>
  <c r="AG116" i="3"/>
  <c r="U116" i="3"/>
  <c r="E116" i="3"/>
  <c r="C116" i="3"/>
  <c r="B118" i="11" s="1"/>
  <c r="AX115" i="3"/>
  <c r="AY115" i="3" s="1"/>
  <c r="AW115" i="3"/>
  <c r="AT115" i="3"/>
  <c r="AS115" i="3"/>
  <c r="AR115" i="3"/>
  <c r="AH115" i="3"/>
  <c r="AG115" i="3"/>
  <c r="U115" i="3"/>
  <c r="L115" i="3"/>
  <c r="E115" i="3"/>
  <c r="C115" i="3"/>
  <c r="B117" i="11" s="1"/>
  <c r="AX114" i="3"/>
  <c r="AY114" i="3" s="1"/>
  <c r="AW114" i="3"/>
  <c r="AT114" i="3"/>
  <c r="AS114" i="3"/>
  <c r="AR114" i="3"/>
  <c r="AH114" i="3"/>
  <c r="AG114" i="3"/>
  <c r="U114" i="3"/>
  <c r="L114" i="3"/>
  <c r="E114" i="3"/>
  <c r="C114" i="3"/>
  <c r="B116" i="11" s="1"/>
  <c r="AX113" i="3"/>
  <c r="AY113" i="3" s="1"/>
  <c r="AW113" i="3"/>
  <c r="AT113" i="3"/>
  <c r="AS113" i="3"/>
  <c r="AR113" i="3"/>
  <c r="AH113" i="3"/>
  <c r="AG113" i="3"/>
  <c r="U113" i="3"/>
  <c r="L113" i="3"/>
  <c r="E113" i="3"/>
  <c r="C113" i="3"/>
  <c r="B115" i="11" s="1"/>
  <c r="AX112" i="3"/>
  <c r="AY112" i="3" s="1"/>
  <c r="AW112" i="3"/>
  <c r="AT112" i="3"/>
  <c r="AS112" i="3"/>
  <c r="AR112" i="3"/>
  <c r="AH112" i="3"/>
  <c r="AG112" i="3"/>
  <c r="U112" i="3"/>
  <c r="L112" i="3"/>
  <c r="E112" i="3"/>
  <c r="C112" i="3"/>
  <c r="B114" i="11" s="1"/>
  <c r="AX111" i="3"/>
  <c r="AY111" i="3" s="1"/>
  <c r="AW111" i="3"/>
  <c r="AT111" i="3"/>
  <c r="AS111" i="3"/>
  <c r="AR111" i="3"/>
  <c r="AH111" i="3"/>
  <c r="AG111" i="3"/>
  <c r="U111" i="3"/>
  <c r="L111" i="3"/>
  <c r="E111" i="3"/>
  <c r="C111" i="3"/>
  <c r="B113" i="11" s="1"/>
  <c r="AX110" i="3"/>
  <c r="AY110" i="3" s="1"/>
  <c r="AW110" i="3"/>
  <c r="AT110" i="3"/>
  <c r="AS110" i="3"/>
  <c r="AR110" i="3"/>
  <c r="AH110" i="3"/>
  <c r="AG110" i="3"/>
  <c r="U110" i="3"/>
  <c r="L110" i="3"/>
  <c r="E110" i="3"/>
  <c r="C110" i="3"/>
  <c r="AX109" i="3"/>
  <c r="AY109" i="3" s="1"/>
  <c r="AW109" i="3"/>
  <c r="AT109" i="3"/>
  <c r="AS109" i="3"/>
  <c r="AR109" i="3"/>
  <c r="AH109" i="3"/>
  <c r="AG109" i="3"/>
  <c r="U109" i="3"/>
  <c r="L109" i="3"/>
  <c r="E109" i="3"/>
  <c r="C109" i="3"/>
  <c r="AX108" i="3"/>
  <c r="AY108" i="3" s="1"/>
  <c r="AW108" i="3"/>
  <c r="AT108" i="3"/>
  <c r="AS108" i="3"/>
  <c r="AR108" i="3"/>
  <c r="AH108" i="3"/>
  <c r="AG108" i="3"/>
  <c r="U108" i="3"/>
  <c r="L108" i="3"/>
  <c r="E108" i="3"/>
  <c r="C108" i="3"/>
  <c r="AX107" i="3"/>
  <c r="AY107" i="3" s="1"/>
  <c r="AW107" i="3"/>
  <c r="AT107" i="3"/>
  <c r="AS107" i="3"/>
  <c r="AR107" i="3"/>
  <c r="AH107" i="3"/>
  <c r="AG107" i="3"/>
  <c r="U107" i="3"/>
  <c r="L107" i="3"/>
  <c r="E107" i="3"/>
  <c r="C107" i="3"/>
  <c r="B109" i="11" s="1"/>
  <c r="AX106" i="3"/>
  <c r="AY106" i="3" s="1"/>
  <c r="AW106" i="3"/>
  <c r="AT106" i="3"/>
  <c r="AS106" i="3"/>
  <c r="AR106" i="3"/>
  <c r="AH106" i="3"/>
  <c r="AG106" i="3"/>
  <c r="U106" i="3"/>
  <c r="L106" i="3"/>
  <c r="E106" i="3"/>
  <c r="C106" i="3"/>
  <c r="AX105" i="3"/>
  <c r="AY105" i="3" s="1"/>
  <c r="AW105" i="3"/>
  <c r="AT105" i="3"/>
  <c r="AS105" i="3"/>
  <c r="AR105" i="3"/>
  <c r="AH105" i="3"/>
  <c r="AG105" i="3"/>
  <c r="U105" i="3"/>
  <c r="L105" i="3"/>
  <c r="E105" i="3"/>
  <c r="C105" i="3"/>
  <c r="AX104" i="3"/>
  <c r="AY104" i="3" s="1"/>
  <c r="AW104" i="3"/>
  <c r="AT104" i="3"/>
  <c r="AS104" i="3"/>
  <c r="AR104" i="3"/>
  <c r="AH104" i="3"/>
  <c r="AG104" i="3"/>
  <c r="U104" i="3"/>
  <c r="E104" i="3"/>
  <c r="C104" i="3"/>
  <c r="AX103" i="3"/>
  <c r="AY103" i="3" s="1"/>
  <c r="AW103" i="3"/>
  <c r="AT103" i="3"/>
  <c r="AS103" i="3"/>
  <c r="AR103" i="3"/>
  <c r="AH103" i="3"/>
  <c r="AG103" i="3"/>
  <c r="U103" i="3"/>
  <c r="L103" i="3"/>
  <c r="E103" i="3"/>
  <c r="C103" i="3"/>
  <c r="B105" i="11" s="1"/>
  <c r="AX102" i="3"/>
  <c r="AY102" i="3" s="1"/>
  <c r="AW102" i="3"/>
  <c r="AT102" i="3"/>
  <c r="AS102" i="3"/>
  <c r="AR102" i="3"/>
  <c r="AH102" i="3"/>
  <c r="AG102" i="3"/>
  <c r="U102" i="3"/>
  <c r="L102" i="3"/>
  <c r="E102" i="3"/>
  <c r="C102" i="3"/>
  <c r="B104" i="11" s="1"/>
  <c r="AX101" i="3"/>
  <c r="AY101" i="3" s="1"/>
  <c r="AW101" i="3"/>
  <c r="AT101" i="3"/>
  <c r="AS101" i="3"/>
  <c r="AR101" i="3"/>
  <c r="AH101" i="3"/>
  <c r="AG101" i="3"/>
  <c r="U101" i="3"/>
  <c r="L101" i="3"/>
  <c r="E101" i="3"/>
  <c r="C101" i="3"/>
  <c r="AX100" i="3"/>
  <c r="AY100" i="3" s="1"/>
  <c r="AW100" i="3"/>
  <c r="AT100" i="3"/>
  <c r="AS100" i="3"/>
  <c r="AR100" i="3"/>
  <c r="AH100" i="3"/>
  <c r="AG100" i="3"/>
  <c r="U100" i="3"/>
  <c r="L100" i="3"/>
  <c r="E100" i="3"/>
  <c r="C100" i="3"/>
  <c r="AX99" i="3"/>
  <c r="AY99" i="3" s="1"/>
  <c r="AW99" i="3"/>
  <c r="AT99" i="3"/>
  <c r="AS99" i="3"/>
  <c r="AR99" i="3"/>
  <c r="AH99" i="3"/>
  <c r="AG99" i="3"/>
  <c r="U99" i="3"/>
  <c r="L99" i="3"/>
  <c r="E99" i="3"/>
  <c r="C99" i="3"/>
  <c r="AX98" i="3"/>
  <c r="AY98" i="3" s="1"/>
  <c r="AW98" i="3"/>
  <c r="AT98" i="3"/>
  <c r="AS98" i="3"/>
  <c r="AR98" i="3"/>
  <c r="AH98" i="3"/>
  <c r="AG98" i="3"/>
  <c r="U98" i="3"/>
  <c r="L98" i="3"/>
  <c r="E98" i="3"/>
  <c r="C98" i="3"/>
  <c r="AX97" i="3"/>
  <c r="AY97" i="3" s="1"/>
  <c r="AW97" i="3"/>
  <c r="AT97" i="3"/>
  <c r="AS97" i="3"/>
  <c r="AR97" i="3"/>
  <c r="AH97" i="3"/>
  <c r="AG97" i="3"/>
  <c r="U97" i="3"/>
  <c r="L97" i="3"/>
  <c r="E97" i="3"/>
  <c r="C97" i="3"/>
  <c r="B99" i="11" s="1"/>
  <c r="AX96" i="3"/>
  <c r="AY96" i="3" s="1"/>
  <c r="AW96" i="3"/>
  <c r="AT96" i="3"/>
  <c r="AS96" i="3"/>
  <c r="AR96" i="3"/>
  <c r="AH96" i="3"/>
  <c r="AG96" i="3"/>
  <c r="U96" i="3"/>
  <c r="L96" i="3"/>
  <c r="E96" i="3"/>
  <c r="C96" i="3"/>
  <c r="AX95" i="3"/>
  <c r="AY95" i="3" s="1"/>
  <c r="AW95" i="3"/>
  <c r="AT95" i="3"/>
  <c r="AS95" i="3"/>
  <c r="AR95" i="3"/>
  <c r="AH95" i="3"/>
  <c r="AG95" i="3"/>
  <c r="U95" i="3"/>
  <c r="L95" i="3"/>
  <c r="E95" i="3"/>
  <c r="C95" i="3"/>
  <c r="AX94" i="3"/>
  <c r="AY94" i="3" s="1"/>
  <c r="AW94" i="3"/>
  <c r="AT94" i="3"/>
  <c r="AS94" i="3"/>
  <c r="AR94" i="3"/>
  <c r="AH94" i="3"/>
  <c r="AG94" i="3"/>
  <c r="U94" i="3"/>
  <c r="L94" i="3"/>
  <c r="E94" i="3"/>
  <c r="C94" i="3"/>
  <c r="AX93" i="3"/>
  <c r="AY93" i="3" s="1"/>
  <c r="AW93" i="3"/>
  <c r="AT93" i="3"/>
  <c r="AS93" i="3"/>
  <c r="AR93" i="3"/>
  <c r="AH93" i="3"/>
  <c r="AG93" i="3"/>
  <c r="U93" i="3"/>
  <c r="L93" i="3"/>
  <c r="E93" i="3"/>
  <c r="C93" i="3"/>
  <c r="AX92" i="3"/>
  <c r="AY92" i="3" s="1"/>
  <c r="AW92" i="3"/>
  <c r="AT92" i="3"/>
  <c r="M10" i="2" s="1"/>
  <c r="AS92" i="3"/>
  <c r="AR92" i="3"/>
  <c r="AH92" i="3"/>
  <c r="AG92" i="3"/>
  <c r="U92" i="3"/>
  <c r="E92" i="3"/>
  <c r="C92" i="3"/>
  <c r="B83" i="6" s="1"/>
  <c r="AX91" i="3"/>
  <c r="AY91" i="3" s="1"/>
  <c r="AW91" i="3"/>
  <c r="AT91" i="3"/>
  <c r="AS91" i="3"/>
  <c r="AR91" i="3"/>
  <c r="AH91" i="3"/>
  <c r="AG91" i="3"/>
  <c r="U91" i="3"/>
  <c r="E91" i="3"/>
  <c r="C91" i="3"/>
  <c r="B82" i="6" s="1"/>
  <c r="AX90" i="3"/>
  <c r="AY90" i="3" s="1"/>
  <c r="AW90" i="3"/>
  <c r="AT90" i="3"/>
  <c r="AS90" i="3"/>
  <c r="AR90" i="3"/>
  <c r="AH90" i="3"/>
  <c r="AG90" i="3"/>
  <c r="U90" i="3"/>
  <c r="E90" i="3"/>
  <c r="C90" i="3"/>
  <c r="B81" i="6" s="1"/>
  <c r="AX89" i="3"/>
  <c r="AY89" i="3" s="1"/>
  <c r="AW89" i="3"/>
  <c r="AT89" i="3"/>
  <c r="AS89" i="3"/>
  <c r="AR89" i="3"/>
  <c r="AH89" i="3"/>
  <c r="AG89" i="3"/>
  <c r="U89" i="3"/>
  <c r="E89" i="3"/>
  <c r="C89" i="3"/>
  <c r="B80" i="6" s="1"/>
  <c r="AX88" i="3"/>
  <c r="AY88" i="3" s="1"/>
  <c r="AW88" i="3"/>
  <c r="AT88" i="3"/>
  <c r="AS88" i="3"/>
  <c r="AR88" i="3"/>
  <c r="AH88" i="3"/>
  <c r="AG88" i="3"/>
  <c r="U88" i="3"/>
  <c r="E88" i="3"/>
  <c r="C88" i="3"/>
  <c r="B79" i="6" s="1"/>
  <c r="AX87" i="3"/>
  <c r="AY87" i="3" s="1"/>
  <c r="AW87" i="3"/>
  <c r="AT87" i="3"/>
  <c r="AS87" i="3"/>
  <c r="AR87" i="3"/>
  <c r="AH87" i="3"/>
  <c r="AG87" i="3"/>
  <c r="U87" i="3"/>
  <c r="E87" i="3"/>
  <c r="C87" i="3"/>
  <c r="B78" i="6" s="1"/>
  <c r="AX86" i="3"/>
  <c r="AY86" i="3" s="1"/>
  <c r="AW86" i="3"/>
  <c r="AT86" i="3"/>
  <c r="AS86" i="3"/>
  <c r="AR86" i="3"/>
  <c r="AH86" i="3"/>
  <c r="AG86" i="3"/>
  <c r="U86" i="3"/>
  <c r="E86" i="3"/>
  <c r="C86" i="3"/>
  <c r="B75" i="4" s="1"/>
  <c r="AX85" i="3"/>
  <c r="AY85" i="3" s="1"/>
  <c r="AW85" i="3"/>
  <c r="AT85" i="3"/>
  <c r="AS85" i="3"/>
  <c r="AR85" i="3"/>
  <c r="AH85" i="3"/>
  <c r="AG85" i="3"/>
  <c r="U85" i="3"/>
  <c r="E85" i="3"/>
  <c r="C85" i="3"/>
  <c r="AX84" i="3"/>
  <c r="AY84" i="3" s="1"/>
  <c r="AW84" i="3"/>
  <c r="AT84" i="3"/>
  <c r="AS84" i="3"/>
  <c r="AR84" i="3"/>
  <c r="AH84" i="3"/>
  <c r="AG84" i="3"/>
  <c r="U84" i="3"/>
  <c r="E84" i="3"/>
  <c r="C84" i="3"/>
  <c r="B125" i="4" s="1"/>
  <c r="AX83" i="3"/>
  <c r="AY83" i="3" s="1"/>
  <c r="AW83" i="3"/>
  <c r="AT83" i="3"/>
  <c r="AS83" i="3"/>
  <c r="AR83" i="3"/>
  <c r="AH83" i="3"/>
  <c r="AG83" i="3"/>
  <c r="U83" i="3"/>
  <c r="E83" i="3"/>
  <c r="C83" i="3"/>
  <c r="AX82" i="3"/>
  <c r="AY82" i="3" s="1"/>
  <c r="AW82" i="3"/>
  <c r="AT82" i="3"/>
  <c r="AS82" i="3"/>
  <c r="AR82" i="3"/>
  <c r="AH82" i="3"/>
  <c r="AG82" i="3"/>
  <c r="U82" i="3"/>
  <c r="E82" i="3"/>
  <c r="C82" i="3"/>
  <c r="C15" i="9" s="1"/>
  <c r="AX81" i="3"/>
  <c r="AY81" i="3" s="1"/>
  <c r="AW81" i="3"/>
  <c r="AT81" i="3"/>
  <c r="AS81" i="3"/>
  <c r="AR81" i="3"/>
  <c r="AH81" i="3"/>
  <c r="AG81" i="3"/>
  <c r="U81" i="3"/>
  <c r="E81" i="3"/>
  <c r="C81" i="3"/>
  <c r="AX80" i="3"/>
  <c r="AY80" i="3" s="1"/>
  <c r="AW80" i="3"/>
  <c r="AT80" i="3"/>
  <c r="AS80" i="3"/>
  <c r="AR80" i="3"/>
  <c r="AH80" i="3"/>
  <c r="AG80" i="3"/>
  <c r="U80" i="3"/>
  <c r="E80" i="3"/>
  <c r="C80" i="3"/>
  <c r="AX79" i="3"/>
  <c r="AY79" i="3" s="1"/>
  <c r="AW79" i="3"/>
  <c r="AT79" i="3"/>
  <c r="AS79" i="3"/>
  <c r="AR79" i="3"/>
  <c r="AH79" i="3"/>
  <c r="AG79" i="3"/>
  <c r="U79" i="3"/>
  <c r="E79" i="3"/>
  <c r="C79" i="3"/>
  <c r="AX78" i="3"/>
  <c r="AY78" i="3" s="1"/>
  <c r="AW78" i="3"/>
  <c r="AT78" i="3"/>
  <c r="AS78" i="3"/>
  <c r="AR78" i="3"/>
  <c r="AH78" i="3"/>
  <c r="AG78" i="3"/>
  <c r="U78" i="3"/>
  <c r="E78" i="3"/>
  <c r="C78" i="3"/>
  <c r="AX77" i="3"/>
  <c r="AY77" i="3" s="1"/>
  <c r="AW77" i="3"/>
  <c r="AT77" i="3"/>
  <c r="AS77" i="3"/>
  <c r="AR77" i="3"/>
  <c r="AH77" i="3"/>
  <c r="AG77" i="3"/>
  <c r="U77" i="3"/>
  <c r="E77" i="3"/>
  <c r="C77" i="3"/>
  <c r="AX76" i="3"/>
  <c r="AY76" i="3" s="1"/>
  <c r="AW76" i="3"/>
  <c r="AT76" i="3"/>
  <c r="AS76" i="3"/>
  <c r="AR76" i="3"/>
  <c r="AH76" i="3"/>
  <c r="AG76" i="3"/>
  <c r="U76" i="3"/>
  <c r="E76" i="3"/>
  <c r="C76" i="3"/>
  <c r="AX75" i="3"/>
  <c r="AY75" i="3" s="1"/>
  <c r="AW75" i="3"/>
  <c r="AT75" i="3"/>
  <c r="AS75" i="3"/>
  <c r="AR75" i="3"/>
  <c r="AH75" i="3"/>
  <c r="AG75" i="3"/>
  <c r="U75" i="3"/>
  <c r="E75" i="3"/>
  <c r="C75" i="3"/>
  <c r="AX74" i="3"/>
  <c r="AY74" i="3" s="1"/>
  <c r="AW74" i="3"/>
  <c r="AT74" i="3"/>
  <c r="AS74" i="3"/>
  <c r="AR74" i="3"/>
  <c r="AH74" i="3"/>
  <c r="AG74" i="3"/>
  <c r="U74" i="3"/>
  <c r="E74" i="3"/>
  <c r="C74" i="3"/>
  <c r="AX73" i="3"/>
  <c r="AY73" i="3" s="1"/>
  <c r="AW73" i="3"/>
  <c r="AT73" i="3"/>
  <c r="AS73" i="3"/>
  <c r="AR73" i="3"/>
  <c r="AH73" i="3"/>
  <c r="AG73" i="3"/>
  <c r="U73" i="3"/>
  <c r="E73" i="3"/>
  <c r="C73" i="3"/>
  <c r="AX72" i="3"/>
  <c r="AY72" i="3" s="1"/>
  <c r="AW72" i="3"/>
  <c r="AT72" i="3"/>
  <c r="AS72" i="3"/>
  <c r="AR72" i="3"/>
  <c r="AH72" i="3"/>
  <c r="AG72" i="3"/>
  <c r="U72" i="3"/>
  <c r="E72" i="3"/>
  <c r="C72" i="3"/>
  <c r="AX71" i="3"/>
  <c r="AY71" i="3" s="1"/>
  <c r="AW71" i="3"/>
  <c r="AT71" i="3"/>
  <c r="AS71" i="3"/>
  <c r="AR71" i="3"/>
  <c r="AH71" i="3"/>
  <c r="AG71" i="3"/>
  <c r="U71" i="3"/>
  <c r="E71" i="3"/>
  <c r="C71" i="3"/>
  <c r="B71" i="6" s="1"/>
  <c r="AX70" i="3"/>
  <c r="AY70" i="3" s="1"/>
  <c r="AW70" i="3"/>
  <c r="AT70" i="3"/>
  <c r="AS70" i="3"/>
  <c r="AR70" i="3"/>
  <c r="AH70" i="3"/>
  <c r="AG70" i="3"/>
  <c r="U70" i="3"/>
  <c r="L70" i="3"/>
  <c r="E70" i="3"/>
  <c r="C70" i="3"/>
  <c r="B70" i="6" s="1"/>
  <c r="AX69" i="3"/>
  <c r="AY69" i="3" s="1"/>
  <c r="AW69" i="3"/>
  <c r="AT69" i="3"/>
  <c r="AS69" i="3"/>
  <c r="AR69" i="3"/>
  <c r="AH69" i="3"/>
  <c r="AG69" i="3"/>
  <c r="U69" i="3"/>
  <c r="E69" i="3"/>
  <c r="C69" i="3"/>
  <c r="B69" i="6" s="1"/>
  <c r="AX68" i="3"/>
  <c r="AY68" i="3" s="1"/>
  <c r="AW68" i="3"/>
  <c r="AT68" i="3"/>
  <c r="AS68" i="3"/>
  <c r="AR68" i="3"/>
  <c r="AH68" i="3"/>
  <c r="AG68" i="3"/>
  <c r="U68" i="3"/>
  <c r="E68" i="3"/>
  <c r="C68" i="3"/>
  <c r="B68" i="6" s="1"/>
  <c r="AX67" i="3"/>
  <c r="AY67" i="3" s="1"/>
  <c r="AW67" i="3"/>
  <c r="AT67" i="3"/>
  <c r="AS67" i="3"/>
  <c r="AR67" i="3"/>
  <c r="AH67" i="3"/>
  <c r="AG67" i="3"/>
  <c r="U67" i="3"/>
  <c r="E67" i="3"/>
  <c r="C67" i="3"/>
  <c r="B67" i="6" s="1"/>
  <c r="AX66" i="3"/>
  <c r="AY66" i="3" s="1"/>
  <c r="AW66" i="3"/>
  <c r="AT66" i="3"/>
  <c r="AS66" i="3"/>
  <c r="AR66" i="3"/>
  <c r="AH66" i="3"/>
  <c r="AG66" i="3"/>
  <c r="U66" i="3"/>
  <c r="E66" i="3"/>
  <c r="C66" i="3"/>
  <c r="B66" i="6" s="1"/>
  <c r="AX65" i="3"/>
  <c r="AY65" i="3" s="1"/>
  <c r="AW65" i="3"/>
  <c r="AT65" i="3"/>
  <c r="AS65" i="3"/>
  <c r="AR65" i="3"/>
  <c r="AH65" i="3"/>
  <c r="AG65" i="3"/>
  <c r="U65" i="3"/>
  <c r="E65" i="3"/>
  <c r="C65" i="3"/>
  <c r="AX64" i="3"/>
  <c r="AY64" i="3" s="1"/>
  <c r="AW64" i="3"/>
  <c r="AT64" i="3"/>
  <c r="AS64" i="3"/>
  <c r="AR64" i="3"/>
  <c r="AH64" i="3"/>
  <c r="AG64" i="3"/>
  <c r="U64" i="3"/>
  <c r="E64" i="3"/>
  <c r="C64" i="3"/>
  <c r="AX63" i="3"/>
  <c r="AY63" i="3" s="1"/>
  <c r="AW63" i="3"/>
  <c r="AT63" i="3"/>
  <c r="AS63" i="3"/>
  <c r="AR63" i="3"/>
  <c r="AH63" i="3"/>
  <c r="AG63" i="3"/>
  <c r="U63" i="3"/>
  <c r="E63" i="3"/>
  <c r="C63" i="3"/>
  <c r="B64" i="6" s="1"/>
  <c r="AX62" i="3"/>
  <c r="AY62" i="3" s="1"/>
  <c r="AW62" i="3"/>
  <c r="AT62" i="3"/>
  <c r="AS62" i="3"/>
  <c r="AR62" i="3"/>
  <c r="AH62" i="3"/>
  <c r="AG62" i="3"/>
  <c r="U62" i="3"/>
  <c r="E62" i="3"/>
  <c r="C62" i="3"/>
  <c r="AX61" i="3"/>
  <c r="AY61" i="3" s="1"/>
  <c r="AW61" i="3"/>
  <c r="AT61" i="3"/>
  <c r="AS61" i="3"/>
  <c r="AR61" i="3"/>
  <c r="AH61" i="3"/>
  <c r="AG61" i="3"/>
  <c r="U61" i="3"/>
  <c r="E61" i="3"/>
  <c r="C61" i="3"/>
  <c r="AX60" i="3"/>
  <c r="AY60" i="3" s="1"/>
  <c r="AW60" i="3"/>
  <c r="AT60" i="3"/>
  <c r="AS60" i="3"/>
  <c r="AR60" i="3"/>
  <c r="AH60" i="3"/>
  <c r="AG60" i="3"/>
  <c r="U60" i="3"/>
  <c r="E60" i="3"/>
  <c r="C60" i="3"/>
  <c r="B61" i="6" s="1"/>
  <c r="AX59" i="3"/>
  <c r="AY59" i="3" s="1"/>
  <c r="AW59" i="3"/>
  <c r="AT59" i="3"/>
  <c r="AS59" i="3"/>
  <c r="AR59" i="3"/>
  <c r="AH59" i="3"/>
  <c r="AG59" i="3"/>
  <c r="U59" i="3"/>
  <c r="E59" i="3"/>
  <c r="C59" i="3"/>
  <c r="AX58" i="3"/>
  <c r="AY58" i="3" s="1"/>
  <c r="AW58" i="3"/>
  <c r="AT58" i="3"/>
  <c r="AS58" i="3"/>
  <c r="AR58" i="3"/>
  <c r="AH58" i="3"/>
  <c r="AG58" i="3"/>
  <c r="U58" i="3"/>
  <c r="E58" i="3"/>
  <c r="C58" i="3"/>
  <c r="AX57" i="3"/>
  <c r="AY57" i="3" s="1"/>
  <c r="AW57" i="3"/>
  <c r="AT57" i="3"/>
  <c r="AS57" i="3"/>
  <c r="AR57" i="3"/>
  <c r="AH57" i="3"/>
  <c r="AG57" i="3"/>
  <c r="U57" i="3"/>
  <c r="L57" i="3"/>
  <c r="E57" i="3"/>
  <c r="C57" i="3"/>
  <c r="AX56" i="3"/>
  <c r="AY56" i="3" s="1"/>
  <c r="AW56" i="3"/>
  <c r="AT56" i="3"/>
  <c r="AS56" i="3"/>
  <c r="AR56" i="3"/>
  <c r="AH56" i="3"/>
  <c r="AG56" i="3"/>
  <c r="U56" i="3"/>
  <c r="L56" i="3"/>
  <c r="E56" i="3"/>
  <c r="C56" i="3"/>
  <c r="AX55" i="3"/>
  <c r="AY55" i="3" s="1"/>
  <c r="AW55" i="3"/>
  <c r="AT55" i="3"/>
  <c r="AS55" i="3"/>
  <c r="AR55" i="3"/>
  <c r="AH55" i="3"/>
  <c r="AG55" i="3"/>
  <c r="U55" i="3"/>
  <c r="L55" i="3"/>
  <c r="E55" i="3"/>
  <c r="C55" i="3"/>
  <c r="AX54" i="3"/>
  <c r="AY54" i="3" s="1"/>
  <c r="AW54" i="3"/>
  <c r="AT54" i="3"/>
  <c r="AS54" i="3"/>
  <c r="AR54" i="3"/>
  <c r="AH54" i="3"/>
  <c r="AG54" i="3"/>
  <c r="U54" i="3"/>
  <c r="E54" i="3"/>
  <c r="C54" i="3"/>
  <c r="AX53" i="3"/>
  <c r="AY53" i="3" s="1"/>
  <c r="AW53" i="3"/>
  <c r="AT53" i="3"/>
  <c r="AS53" i="3"/>
  <c r="AR53" i="3"/>
  <c r="AH53" i="3"/>
  <c r="AG53" i="3"/>
  <c r="U53" i="3"/>
  <c r="E53" i="3"/>
  <c r="C53" i="3"/>
  <c r="AX52" i="3"/>
  <c r="AY52" i="3" s="1"/>
  <c r="AW52" i="3"/>
  <c r="AT52" i="3"/>
  <c r="AS52" i="3"/>
  <c r="AR52" i="3"/>
  <c r="AH52" i="3"/>
  <c r="AG52" i="3"/>
  <c r="U52" i="3"/>
  <c r="E52" i="3"/>
  <c r="C52" i="3"/>
  <c r="AX51" i="3"/>
  <c r="AY51" i="3" s="1"/>
  <c r="AW51" i="3"/>
  <c r="AT51" i="3"/>
  <c r="AS51" i="3"/>
  <c r="AR51" i="3"/>
  <c r="AH51" i="3"/>
  <c r="AG51" i="3"/>
  <c r="U51" i="3"/>
  <c r="E51" i="3"/>
  <c r="C51" i="3"/>
  <c r="AX50" i="3"/>
  <c r="AY50" i="3" s="1"/>
  <c r="AW50" i="3"/>
  <c r="AT50" i="3"/>
  <c r="AS50" i="3"/>
  <c r="AR50" i="3"/>
  <c r="AH50" i="3"/>
  <c r="AG50" i="3"/>
  <c r="U50" i="3"/>
  <c r="E50" i="3"/>
  <c r="C50" i="3"/>
  <c r="AX49" i="3"/>
  <c r="AY49" i="3" s="1"/>
  <c r="AW49" i="3"/>
  <c r="AT49" i="3"/>
  <c r="AS49" i="3"/>
  <c r="AR49" i="3"/>
  <c r="AH49" i="3"/>
  <c r="AG49" i="3"/>
  <c r="U49" i="3"/>
  <c r="E49" i="3"/>
  <c r="C49" i="3"/>
  <c r="AX48" i="3"/>
  <c r="AY48" i="3" s="1"/>
  <c r="AW48" i="3"/>
  <c r="AT48" i="3"/>
  <c r="AS48" i="3"/>
  <c r="AR48" i="3"/>
  <c r="AH48" i="3"/>
  <c r="AG48" i="3"/>
  <c r="U48" i="3"/>
  <c r="E48" i="3"/>
  <c r="C48" i="3"/>
  <c r="AX47" i="3"/>
  <c r="AY47" i="3" s="1"/>
  <c r="AW47" i="3"/>
  <c r="AT47" i="3"/>
  <c r="AS47" i="3"/>
  <c r="AR47" i="3"/>
  <c r="AH47" i="3"/>
  <c r="AG47" i="3"/>
  <c r="U47" i="3"/>
  <c r="E47" i="3"/>
  <c r="C47" i="3"/>
  <c r="AX46" i="3"/>
  <c r="AY46" i="3" s="1"/>
  <c r="AW46" i="3"/>
  <c r="AT46" i="3"/>
  <c r="AS46" i="3"/>
  <c r="AR46" i="3"/>
  <c r="AH46" i="3"/>
  <c r="AG46" i="3"/>
  <c r="U46" i="3"/>
  <c r="E46" i="3"/>
  <c r="C46" i="3"/>
  <c r="AX45" i="3"/>
  <c r="AY45" i="3" s="1"/>
  <c r="AW45" i="3"/>
  <c r="AT45" i="3"/>
  <c r="AS45" i="3"/>
  <c r="AR45" i="3"/>
  <c r="AH45" i="3"/>
  <c r="AG45" i="3"/>
  <c r="U45" i="3"/>
  <c r="E45" i="3"/>
  <c r="C45" i="3"/>
  <c r="AX44" i="3"/>
  <c r="AY44" i="3" s="1"/>
  <c r="AW44" i="3"/>
  <c r="AT44" i="3"/>
  <c r="AS44" i="3"/>
  <c r="AR44" i="3"/>
  <c r="AH44" i="3"/>
  <c r="AG44" i="3"/>
  <c r="U44" i="3"/>
  <c r="E44" i="3"/>
  <c r="C44" i="3"/>
  <c r="AX43" i="3"/>
  <c r="AY43" i="3" s="1"/>
  <c r="AW43" i="3"/>
  <c r="AT43" i="3"/>
  <c r="AS43" i="3"/>
  <c r="AR43" i="3"/>
  <c r="AH43" i="3"/>
  <c r="AG43" i="3"/>
  <c r="U43" i="3"/>
  <c r="L43" i="3"/>
  <c r="E43" i="3"/>
  <c r="C43" i="3"/>
  <c r="C19" i="9" s="1"/>
  <c r="AX42" i="3"/>
  <c r="AY42" i="3" s="1"/>
  <c r="AW42" i="3"/>
  <c r="AT42" i="3"/>
  <c r="AS42" i="3"/>
  <c r="AR42" i="3"/>
  <c r="AH42" i="3"/>
  <c r="AG42" i="3"/>
  <c r="U42" i="3"/>
  <c r="E42" i="3"/>
  <c r="C42" i="3"/>
  <c r="AX41" i="3"/>
  <c r="AY41" i="3" s="1"/>
  <c r="AW41" i="3"/>
  <c r="AT41" i="3"/>
  <c r="AS41" i="3"/>
  <c r="AR41" i="3"/>
  <c r="AH41" i="3"/>
  <c r="AG41" i="3"/>
  <c r="U41" i="3"/>
  <c r="E41" i="3"/>
  <c r="C41" i="3"/>
  <c r="AX40" i="3"/>
  <c r="AY40" i="3" s="1"/>
  <c r="AW40" i="3"/>
  <c r="AT40" i="3"/>
  <c r="AS40" i="3"/>
  <c r="AR40" i="3"/>
  <c r="AH40" i="3"/>
  <c r="AG40" i="3"/>
  <c r="U40" i="3"/>
  <c r="E40" i="3"/>
  <c r="C40" i="3"/>
  <c r="AX39" i="3"/>
  <c r="AY39" i="3" s="1"/>
  <c r="AW39" i="3"/>
  <c r="AT39" i="3"/>
  <c r="AS39" i="3"/>
  <c r="AR39" i="3"/>
  <c r="AH39" i="3"/>
  <c r="AG39" i="3"/>
  <c r="U39" i="3"/>
  <c r="E39" i="3"/>
  <c r="C39" i="3"/>
  <c r="AX38" i="3"/>
  <c r="AY38" i="3" s="1"/>
  <c r="AW38" i="3"/>
  <c r="AT38" i="3"/>
  <c r="AS38" i="3"/>
  <c r="AR38" i="3"/>
  <c r="AH38" i="3"/>
  <c r="AG38" i="3"/>
  <c r="U38" i="3"/>
  <c r="E38" i="3"/>
  <c r="C38" i="3"/>
  <c r="B31" i="4" s="1"/>
  <c r="AX37" i="3"/>
  <c r="AY37" i="3" s="1"/>
  <c r="AW37" i="3"/>
  <c r="AT37" i="3"/>
  <c r="AS37" i="3"/>
  <c r="AR37" i="3"/>
  <c r="AH37" i="3"/>
  <c r="AG37" i="3"/>
  <c r="U37" i="3"/>
  <c r="E37" i="3"/>
  <c r="C37" i="3"/>
  <c r="B30" i="4" s="1"/>
  <c r="AX36" i="3"/>
  <c r="AY36" i="3" s="1"/>
  <c r="AW36" i="3"/>
  <c r="AT36" i="3"/>
  <c r="AS36" i="3"/>
  <c r="AR36" i="3"/>
  <c r="AH36" i="3"/>
  <c r="AG36" i="3"/>
  <c r="U36" i="3"/>
  <c r="E36" i="3"/>
  <c r="C36" i="3"/>
  <c r="B29" i="4" s="1"/>
  <c r="AX35" i="3"/>
  <c r="AY35" i="3" s="1"/>
  <c r="AW35" i="3"/>
  <c r="AT35" i="3"/>
  <c r="AS35" i="3"/>
  <c r="AR35" i="3"/>
  <c r="AH35" i="3"/>
  <c r="AG35" i="3"/>
  <c r="U35" i="3"/>
  <c r="E35" i="3"/>
  <c r="C35" i="3"/>
  <c r="B28" i="4" s="1"/>
  <c r="AX34" i="3"/>
  <c r="AY34" i="3" s="1"/>
  <c r="AW34" i="3"/>
  <c r="AT34" i="3"/>
  <c r="AS34" i="3"/>
  <c r="AR34" i="3"/>
  <c r="AH34" i="3"/>
  <c r="AG34" i="3"/>
  <c r="U34" i="3"/>
  <c r="E34" i="3"/>
  <c r="C34" i="3"/>
  <c r="B27" i="4" s="1"/>
  <c r="AX33" i="3"/>
  <c r="AY33" i="3" s="1"/>
  <c r="AW33" i="3"/>
  <c r="AT33" i="3"/>
  <c r="AS33" i="3"/>
  <c r="AR33" i="3"/>
  <c r="AH33" i="3"/>
  <c r="AG33" i="3"/>
  <c r="U33" i="3"/>
  <c r="E33" i="3"/>
  <c r="C33" i="3"/>
  <c r="B26" i="4" s="1"/>
  <c r="AX32" i="3"/>
  <c r="AY32" i="3" s="1"/>
  <c r="AW32" i="3"/>
  <c r="AT32" i="3"/>
  <c r="AS32" i="3"/>
  <c r="AR32" i="3"/>
  <c r="AH32" i="3"/>
  <c r="AG32" i="3"/>
  <c r="U32" i="3"/>
  <c r="L32" i="3"/>
  <c r="E32" i="3"/>
  <c r="C32" i="3"/>
  <c r="AX31" i="3"/>
  <c r="AY31" i="3" s="1"/>
  <c r="AW31" i="3"/>
  <c r="AT31" i="3"/>
  <c r="AS31" i="3"/>
  <c r="AR31" i="3"/>
  <c r="AH31" i="3"/>
  <c r="AG31" i="3"/>
  <c r="U31" i="3"/>
  <c r="E31" i="3"/>
  <c r="C31" i="3"/>
  <c r="AX30" i="3"/>
  <c r="AY30" i="3" s="1"/>
  <c r="AW30" i="3"/>
  <c r="AT30" i="3"/>
  <c r="AS30" i="3"/>
  <c r="AR30" i="3"/>
  <c r="AH30" i="3"/>
  <c r="AG30" i="3"/>
  <c r="U30" i="3"/>
  <c r="L30" i="3"/>
  <c r="E30" i="3"/>
  <c r="C30" i="3"/>
  <c r="AX29" i="3"/>
  <c r="AY29" i="3" s="1"/>
  <c r="AW29" i="3"/>
  <c r="AT29" i="3"/>
  <c r="AS29" i="3"/>
  <c r="AR29" i="3"/>
  <c r="AH29" i="3"/>
  <c r="AG29" i="3"/>
  <c r="U29" i="3"/>
  <c r="E29" i="3"/>
  <c r="C29" i="3"/>
  <c r="AX28" i="3"/>
  <c r="AY28" i="3" s="1"/>
  <c r="AW28" i="3"/>
  <c r="AT28" i="3"/>
  <c r="AS28" i="3"/>
  <c r="AR28" i="3"/>
  <c r="AH28" i="3"/>
  <c r="AG28" i="3"/>
  <c r="U28" i="3"/>
  <c r="E28" i="3"/>
  <c r="C28" i="3"/>
  <c r="B24" i="4" s="1"/>
  <c r="AX27" i="3"/>
  <c r="AY27" i="3" s="1"/>
  <c r="AW27" i="3"/>
  <c r="AT27" i="3"/>
  <c r="AS27" i="3"/>
  <c r="AR27" i="3"/>
  <c r="AH27" i="3"/>
  <c r="AG27" i="3"/>
  <c r="U27" i="3"/>
  <c r="E27" i="3"/>
  <c r="C27" i="3"/>
  <c r="B23" i="4" s="1"/>
  <c r="AX26" i="3"/>
  <c r="AY26" i="3" s="1"/>
  <c r="AW26" i="3"/>
  <c r="AT26" i="3"/>
  <c r="AS26" i="3"/>
  <c r="AR26" i="3"/>
  <c r="AH26" i="3"/>
  <c r="AG26" i="3"/>
  <c r="U26" i="3"/>
  <c r="E26" i="3"/>
  <c r="C26" i="3"/>
  <c r="B22" i="4" s="1"/>
  <c r="AX25" i="3"/>
  <c r="AY25" i="3" s="1"/>
  <c r="AW25" i="3"/>
  <c r="AT25" i="3"/>
  <c r="AS25" i="3"/>
  <c r="AR25" i="3"/>
  <c r="AH25" i="3"/>
  <c r="AG25" i="3"/>
  <c r="U25" i="3"/>
  <c r="E25" i="3"/>
  <c r="C25" i="3"/>
  <c r="AX24" i="3"/>
  <c r="AY24" i="3" s="1"/>
  <c r="AW24" i="3"/>
  <c r="AT24" i="3"/>
  <c r="AS24" i="3"/>
  <c r="AR24" i="3"/>
  <c r="AH24" i="3"/>
  <c r="AG24" i="3"/>
  <c r="U24" i="3"/>
  <c r="E24" i="3"/>
  <c r="C24" i="3"/>
  <c r="B20" i="4" s="1"/>
  <c r="AX23" i="3"/>
  <c r="AY23" i="3" s="1"/>
  <c r="AW23" i="3"/>
  <c r="AT23" i="3"/>
  <c r="AS23" i="3"/>
  <c r="AR23" i="3"/>
  <c r="AH23" i="3"/>
  <c r="AG23" i="3"/>
  <c r="U23" i="3"/>
  <c r="L23" i="3"/>
  <c r="E23" i="3"/>
  <c r="C23" i="3"/>
  <c r="B19" i="4" s="1"/>
  <c r="AX22" i="3"/>
  <c r="AY22" i="3" s="1"/>
  <c r="AW22" i="3"/>
  <c r="AT22" i="3"/>
  <c r="AS22" i="3"/>
  <c r="AR22" i="3"/>
  <c r="AH22" i="3"/>
  <c r="AG22" i="3"/>
  <c r="U22" i="3"/>
  <c r="E22" i="3"/>
  <c r="C22" i="3"/>
  <c r="B24" i="11" s="1"/>
  <c r="AX21" i="3"/>
  <c r="AY21" i="3" s="1"/>
  <c r="AW21" i="3"/>
  <c r="AT21" i="3"/>
  <c r="AS21" i="3"/>
  <c r="AR21" i="3"/>
  <c r="AH21" i="3"/>
  <c r="AG21" i="3"/>
  <c r="U21" i="3"/>
  <c r="E21" i="3"/>
  <c r="C21" i="3"/>
  <c r="B23" i="11" s="1"/>
  <c r="AX20" i="3"/>
  <c r="AY20" i="3" s="1"/>
  <c r="AW20" i="3"/>
  <c r="AT20" i="3"/>
  <c r="AS20" i="3"/>
  <c r="AR20" i="3"/>
  <c r="AH20" i="3"/>
  <c r="AG20" i="3"/>
  <c r="U20" i="3"/>
  <c r="E20" i="3"/>
  <c r="C20" i="3"/>
  <c r="B22" i="11" s="1"/>
  <c r="AX19" i="3"/>
  <c r="AY19" i="3" s="1"/>
  <c r="AW19" i="3"/>
  <c r="AT19" i="3"/>
  <c r="AS19" i="3"/>
  <c r="AR19" i="3"/>
  <c r="AH19" i="3"/>
  <c r="AG19" i="3"/>
  <c r="U19" i="3"/>
  <c r="E19" i="3"/>
  <c r="C19" i="3"/>
  <c r="B18" i="4" s="1"/>
  <c r="AX18" i="3"/>
  <c r="AY18" i="3" s="1"/>
  <c r="AW18" i="3"/>
  <c r="AT18" i="3"/>
  <c r="AS18" i="3"/>
  <c r="AR18" i="3"/>
  <c r="AH18" i="3"/>
  <c r="AG18" i="3"/>
  <c r="U18" i="3"/>
  <c r="E18" i="3"/>
  <c r="C18" i="3"/>
  <c r="B17" i="4" s="1"/>
  <c r="AX17" i="3"/>
  <c r="AY17" i="3" s="1"/>
  <c r="AW17" i="3"/>
  <c r="AT17" i="3"/>
  <c r="AS17" i="3"/>
  <c r="AR17" i="3"/>
  <c r="AH17" i="3"/>
  <c r="AG17" i="3"/>
  <c r="U17" i="3"/>
  <c r="E17" i="3"/>
  <c r="C17" i="3"/>
  <c r="B16" i="4" s="1"/>
  <c r="AX16" i="3"/>
  <c r="AY16" i="3" s="1"/>
  <c r="AW16" i="3"/>
  <c r="AT16" i="3"/>
  <c r="AS16" i="3"/>
  <c r="AR16" i="3"/>
  <c r="AH16" i="3"/>
  <c r="AG16" i="3"/>
  <c r="U16" i="3"/>
  <c r="E16" i="3"/>
  <c r="C16" i="3"/>
  <c r="B15" i="4" s="1"/>
  <c r="AX15" i="3"/>
  <c r="AY15" i="3" s="1"/>
  <c r="AW15" i="3"/>
  <c r="AT15" i="3"/>
  <c r="AS15" i="3"/>
  <c r="AR15" i="3"/>
  <c r="AH15" i="3"/>
  <c r="AG15" i="3"/>
  <c r="U15" i="3"/>
  <c r="E15" i="3"/>
  <c r="C15" i="3"/>
  <c r="B14" i="4" s="1"/>
  <c r="AX14" i="3"/>
  <c r="AY14" i="3" s="1"/>
  <c r="AW14" i="3"/>
  <c r="AT14" i="3"/>
  <c r="AS14" i="3"/>
  <c r="AR14" i="3"/>
  <c r="AH14" i="3"/>
  <c r="AG14" i="3"/>
  <c r="U14" i="3"/>
  <c r="E14" i="3"/>
  <c r="C14" i="3"/>
  <c r="B13" i="4" s="1"/>
  <c r="AX13" i="3"/>
  <c r="AY13" i="3" s="1"/>
  <c r="AW13" i="3"/>
  <c r="AT13" i="3"/>
  <c r="AS13" i="3"/>
  <c r="AR13" i="3"/>
  <c r="AH13" i="3"/>
  <c r="AG13" i="3"/>
  <c r="U13" i="3"/>
  <c r="E13" i="3"/>
  <c r="C13" i="3"/>
  <c r="B12" i="4" s="1"/>
  <c r="AX12" i="3"/>
  <c r="AY12" i="3" s="1"/>
  <c r="AW12" i="3"/>
  <c r="AT12" i="3"/>
  <c r="AS12" i="3"/>
  <c r="AR12" i="3"/>
  <c r="AH12" i="3"/>
  <c r="AG12" i="3"/>
  <c r="U12" i="3"/>
  <c r="E12" i="3"/>
  <c r="C12" i="3"/>
  <c r="B11" i="4" s="1"/>
  <c r="AX11" i="3"/>
  <c r="AY11" i="3" s="1"/>
  <c r="AW11" i="3"/>
  <c r="AT11" i="3"/>
  <c r="AS11" i="3"/>
  <c r="AR11" i="3"/>
  <c r="AH11" i="3"/>
  <c r="AG11" i="3"/>
  <c r="U11" i="3"/>
  <c r="E11" i="3"/>
  <c r="C11" i="3"/>
  <c r="B10" i="4" s="1"/>
  <c r="AX10" i="3"/>
  <c r="AY10" i="3" s="1"/>
  <c r="AW10" i="3"/>
  <c r="AT10" i="3"/>
  <c r="AS10" i="3"/>
  <c r="AR10" i="3"/>
  <c r="AH10" i="3"/>
  <c r="AG10" i="3"/>
  <c r="U10" i="3"/>
  <c r="E10" i="3"/>
  <c r="C10" i="3"/>
  <c r="AX9" i="3"/>
  <c r="AY9" i="3" s="1"/>
  <c r="AW9" i="3"/>
  <c r="AT9" i="3"/>
  <c r="AS9" i="3"/>
  <c r="AR9" i="3"/>
  <c r="AH9" i="3"/>
  <c r="AG9" i="3"/>
  <c r="U9" i="3"/>
  <c r="L9" i="3"/>
  <c r="E9" i="3"/>
  <c r="C9" i="3"/>
  <c r="AX8" i="3"/>
  <c r="AY8" i="3" s="1"/>
  <c r="AW8" i="3"/>
  <c r="AT8" i="3"/>
  <c r="AS8" i="3"/>
  <c r="AR8" i="3"/>
  <c r="AH8" i="3"/>
  <c r="AG8" i="3"/>
  <c r="U8" i="3"/>
  <c r="E8" i="3"/>
  <c r="C8" i="3"/>
  <c r="B10" i="11" s="1"/>
  <c r="AX7" i="3"/>
  <c r="AY7" i="3" s="1"/>
  <c r="AW7" i="3"/>
  <c r="AT7" i="3"/>
  <c r="AS7" i="3"/>
  <c r="AR7" i="3"/>
  <c r="AH7" i="3"/>
  <c r="AG7" i="3"/>
  <c r="U7" i="3"/>
  <c r="E7" i="3"/>
  <c r="C7" i="3"/>
  <c r="AX6" i="3"/>
  <c r="AY6" i="3" s="1"/>
  <c r="AW6" i="3"/>
  <c r="AT6" i="3"/>
  <c r="AS6" i="3"/>
  <c r="AR6" i="3"/>
  <c r="AH6" i="3"/>
  <c r="AG6" i="3"/>
  <c r="U6" i="3"/>
  <c r="E6" i="3"/>
  <c r="C6" i="3"/>
  <c r="B105" i="4" s="1"/>
  <c r="AX5" i="3"/>
  <c r="AY5" i="3" s="1"/>
  <c r="AW5" i="3"/>
  <c r="AT5" i="3"/>
  <c r="AS5" i="3"/>
  <c r="AR5" i="3"/>
  <c r="AH5" i="3"/>
  <c r="AG5" i="3"/>
  <c r="U5" i="3"/>
  <c r="E5" i="3"/>
  <c r="C5" i="3"/>
  <c r="AX4" i="3"/>
  <c r="AY4" i="3" s="1"/>
  <c r="AW4" i="3"/>
  <c r="AT4" i="3"/>
  <c r="AS4" i="3"/>
  <c r="AR4" i="3"/>
  <c r="AH4" i="3"/>
  <c r="AG4" i="3"/>
  <c r="U4" i="3"/>
  <c r="E4" i="3"/>
  <c r="C4" i="3"/>
  <c r="AX3" i="3"/>
  <c r="AY3" i="3" s="1"/>
  <c r="AW3" i="3"/>
  <c r="AT3" i="3"/>
  <c r="AS3" i="3"/>
  <c r="AR3" i="3"/>
  <c r="AH3" i="3"/>
  <c r="AG3" i="3"/>
  <c r="U3" i="3"/>
  <c r="E3" i="3"/>
  <c r="C3" i="3"/>
  <c r="AX2" i="3"/>
  <c r="AY2" i="3" s="1"/>
  <c r="AW2" i="3"/>
  <c r="AT2" i="3"/>
  <c r="AS2" i="3"/>
  <c r="AR2" i="3"/>
  <c r="AH2" i="3"/>
  <c r="AG2" i="3"/>
  <c r="U2" i="3"/>
  <c r="E2" i="3"/>
  <c r="C2" i="3"/>
  <c r="B4" i="11" s="1"/>
  <c r="C10" i="1"/>
  <c r="H43" i="2"/>
  <c r="H42" i="2"/>
  <c r="H41" i="2"/>
  <c r="H40" i="2"/>
  <c r="H39" i="2"/>
  <c r="H38" i="2"/>
  <c r="C30" i="2"/>
  <c r="C24" i="2"/>
  <c r="M22" i="2"/>
  <c r="I22" i="2"/>
  <c r="H22" i="2"/>
  <c r="M21" i="2"/>
  <c r="I21" i="2"/>
  <c r="H21" i="2"/>
  <c r="M20" i="2"/>
  <c r="I20" i="2"/>
  <c r="H20" i="2"/>
  <c r="M19" i="2"/>
  <c r="I19" i="2"/>
  <c r="H19" i="2"/>
  <c r="M18" i="2"/>
  <c r="I18" i="2"/>
  <c r="H18" i="2"/>
  <c r="C18" i="2"/>
  <c r="M17" i="2"/>
  <c r="I17" i="2"/>
  <c r="I23" i="2" s="1"/>
  <c r="H17" i="2"/>
  <c r="C17" i="2"/>
  <c r="C15" i="2"/>
  <c r="C14" i="2"/>
  <c r="J13" i="2"/>
  <c r="I13" i="2"/>
  <c r="H13" i="2"/>
  <c r="K13" i="2" s="1"/>
  <c r="C13" i="2"/>
  <c r="J12" i="2"/>
  <c r="I12" i="2"/>
  <c r="H12" i="2"/>
  <c r="K12" i="2" s="1"/>
  <c r="C12" i="2"/>
  <c r="C8" i="1" s="1"/>
  <c r="J11" i="2"/>
  <c r="I11" i="2"/>
  <c r="H11" i="2"/>
  <c r="K11" i="2" s="1"/>
  <c r="C11" i="2"/>
  <c r="J10" i="2"/>
  <c r="I10" i="2"/>
  <c r="H10" i="2"/>
  <c r="K10" i="2" s="1"/>
  <c r="C10" i="2"/>
  <c r="M9" i="2"/>
  <c r="J9" i="2"/>
  <c r="I9" i="2"/>
  <c r="H9" i="2"/>
  <c r="K9" i="2" s="1"/>
  <c r="C9" i="2"/>
  <c r="M8" i="2"/>
  <c r="J8" i="2"/>
  <c r="I8" i="2"/>
  <c r="H8" i="2"/>
  <c r="K8" i="2" s="1"/>
  <c r="C8" i="2"/>
  <c r="C7" i="1" s="1"/>
  <c r="J7" i="2"/>
  <c r="I7" i="2"/>
  <c r="H7" i="2"/>
  <c r="C7" i="2"/>
  <c r="M6" i="2"/>
  <c r="J6" i="2"/>
  <c r="I6" i="2"/>
  <c r="I14" i="2" s="1"/>
  <c r="H6" i="2"/>
  <c r="C6" i="2"/>
  <c r="C192" i="7"/>
  <c r="C37" i="7"/>
  <c r="D185" i="6"/>
  <c r="C185" i="6"/>
  <c r="D184" i="6"/>
  <c r="C184" i="6"/>
  <c r="D183" i="6"/>
  <c r="C183" i="6"/>
  <c r="D182" i="6"/>
  <c r="C182" i="6"/>
  <c r="D181" i="6"/>
  <c r="C181" i="6"/>
  <c r="D180" i="6"/>
  <c r="C180" i="6"/>
  <c r="D179" i="6"/>
  <c r="C179" i="6"/>
  <c r="B179" i="6"/>
  <c r="D178" i="6"/>
  <c r="C178" i="6"/>
  <c r="B178" i="6"/>
  <c r="D177" i="6"/>
  <c r="C177" i="6"/>
  <c r="B177" i="6"/>
  <c r="D176" i="6"/>
  <c r="C176" i="6"/>
  <c r="B176" i="6"/>
  <c r="D175" i="6"/>
  <c r="C175" i="6"/>
  <c r="B175" i="6"/>
  <c r="D174" i="6"/>
  <c r="C174" i="6"/>
  <c r="B174" i="6"/>
  <c r="D173" i="6"/>
  <c r="C173" i="6"/>
  <c r="B173" i="6"/>
  <c r="D172" i="6"/>
  <c r="C172" i="6"/>
  <c r="B172" i="6"/>
  <c r="D171" i="6"/>
  <c r="C171" i="6"/>
  <c r="B171" i="6"/>
  <c r="D170" i="6"/>
  <c r="C170" i="6"/>
  <c r="B170" i="6"/>
  <c r="D169" i="6"/>
  <c r="C169" i="6"/>
  <c r="B169" i="6"/>
  <c r="D168" i="6"/>
  <c r="C168" i="6"/>
  <c r="B168" i="6"/>
  <c r="D167" i="6"/>
  <c r="C167" i="6"/>
  <c r="B167" i="6"/>
  <c r="D166" i="6"/>
  <c r="C166" i="6"/>
  <c r="B166" i="6"/>
  <c r="D165" i="6"/>
  <c r="C165" i="6"/>
  <c r="B165" i="6"/>
  <c r="D164" i="6"/>
  <c r="C164" i="6"/>
  <c r="B164" i="6"/>
  <c r="D163" i="6"/>
  <c r="C163" i="6"/>
  <c r="B163" i="6"/>
  <c r="D162" i="6"/>
  <c r="C162" i="6"/>
  <c r="B162" i="6"/>
  <c r="D161" i="6"/>
  <c r="C161" i="6"/>
  <c r="B161" i="6"/>
  <c r="D160" i="6"/>
  <c r="C160" i="6"/>
  <c r="B160" i="6"/>
  <c r="D159" i="6"/>
  <c r="C159" i="6"/>
  <c r="B159" i="6"/>
  <c r="D158" i="6"/>
  <c r="C158" i="6"/>
  <c r="B158" i="6"/>
  <c r="D157" i="6"/>
  <c r="C157" i="6"/>
  <c r="B157" i="6"/>
  <c r="D156" i="6"/>
  <c r="C156" i="6"/>
  <c r="B156" i="6"/>
  <c r="D155" i="6"/>
  <c r="C155" i="6"/>
  <c r="B155" i="6"/>
  <c r="D154" i="6"/>
  <c r="C154" i="6"/>
  <c r="B154" i="6"/>
  <c r="D153" i="6"/>
  <c r="C153" i="6"/>
  <c r="B153" i="6"/>
  <c r="D152" i="6"/>
  <c r="C152" i="6"/>
  <c r="B152" i="6"/>
  <c r="D151" i="6"/>
  <c r="C151" i="6"/>
  <c r="B151" i="6"/>
  <c r="D150" i="6"/>
  <c r="C150" i="6"/>
  <c r="B150" i="6"/>
  <c r="D149" i="6"/>
  <c r="C149" i="6"/>
  <c r="B149" i="6"/>
  <c r="D148" i="6"/>
  <c r="C148" i="6"/>
  <c r="B148" i="6"/>
  <c r="D147" i="6"/>
  <c r="C147" i="6"/>
  <c r="B147" i="6"/>
  <c r="D146" i="6"/>
  <c r="C146" i="6"/>
  <c r="B146" i="6"/>
  <c r="D145" i="6"/>
  <c r="C145" i="6"/>
  <c r="B145" i="6"/>
  <c r="D144" i="6"/>
  <c r="C144" i="6"/>
  <c r="B144" i="6"/>
  <c r="D143" i="6"/>
  <c r="C143" i="6"/>
  <c r="B143" i="6"/>
  <c r="D142" i="6"/>
  <c r="C142" i="6"/>
  <c r="B142" i="6"/>
  <c r="D141" i="6"/>
  <c r="C141" i="6"/>
  <c r="B141" i="6"/>
  <c r="D140" i="6"/>
  <c r="C140" i="6"/>
  <c r="B140" i="6"/>
  <c r="D139" i="6"/>
  <c r="C139" i="6"/>
  <c r="B139" i="6"/>
  <c r="D138" i="6"/>
  <c r="C138" i="6"/>
  <c r="B138" i="6"/>
  <c r="D137" i="6"/>
  <c r="C137" i="6"/>
  <c r="B137" i="6"/>
  <c r="D136" i="6"/>
  <c r="C136" i="6"/>
  <c r="B136" i="6"/>
  <c r="D135" i="6"/>
  <c r="C135" i="6"/>
  <c r="B135" i="6"/>
  <c r="D134" i="6"/>
  <c r="C134" i="6"/>
  <c r="B134" i="6"/>
  <c r="D133" i="6"/>
  <c r="C133" i="6"/>
  <c r="B133" i="6"/>
  <c r="D132" i="6"/>
  <c r="C132" i="6"/>
  <c r="B132" i="6"/>
  <c r="D131" i="6"/>
  <c r="C131" i="6"/>
  <c r="B131" i="6"/>
  <c r="D130" i="6"/>
  <c r="C130" i="6"/>
  <c r="B130" i="6"/>
  <c r="D129" i="6"/>
  <c r="C129" i="6"/>
  <c r="B129" i="6"/>
  <c r="O180" i="3"/>
  <c r="O179" i="3"/>
  <c r="O178" i="3"/>
  <c r="L178" i="3" s="1"/>
  <c r="O177" i="3"/>
  <c r="L177" i="3" s="1"/>
  <c r="O176" i="3"/>
  <c r="O175" i="3"/>
  <c r="O174" i="3"/>
  <c r="O173" i="3"/>
  <c r="O172" i="3"/>
  <c r="O171" i="3"/>
  <c r="O170" i="3"/>
  <c r="O169" i="3"/>
  <c r="O168" i="3"/>
  <c r="O167" i="3"/>
  <c r="O166" i="3"/>
  <c r="O165" i="3"/>
  <c r="O164" i="3"/>
  <c r="O163" i="3"/>
  <c r="O162" i="3"/>
  <c r="O161" i="3"/>
  <c r="O160" i="3"/>
  <c r="O159" i="3"/>
  <c r="O158" i="3"/>
  <c r="O157" i="3"/>
  <c r="O156" i="3"/>
  <c r="O155" i="3"/>
  <c r="O154" i="3"/>
  <c r="O153" i="3"/>
  <c r="O152" i="3"/>
  <c r="O151" i="3"/>
  <c r="O150" i="3"/>
  <c r="O149" i="3"/>
  <c r="O148" i="3"/>
  <c r="O147" i="3"/>
  <c r="O146" i="3"/>
  <c r="O145" i="3"/>
  <c r="O144" i="3"/>
  <c r="L144" i="3" s="1"/>
  <c r="O143" i="3"/>
  <c r="L143" i="3" s="1"/>
  <c r="O142" i="3"/>
  <c r="O141" i="3"/>
  <c r="O140" i="3"/>
  <c r="O139" i="3"/>
  <c r="L139" i="3" s="1"/>
  <c r="O138" i="3"/>
  <c r="O137" i="3"/>
  <c r="O136" i="3"/>
  <c r="O135" i="3"/>
  <c r="L135" i="3" s="1"/>
  <c r="O134" i="3"/>
  <c r="L134" i="3" s="1"/>
  <c r="O133" i="3"/>
  <c r="O132" i="3"/>
  <c r="O131" i="3"/>
  <c r="O130" i="3"/>
  <c r="O129" i="3"/>
  <c r="O128" i="3"/>
  <c r="O127" i="3"/>
  <c r="O126" i="3"/>
  <c r="O125" i="3"/>
  <c r="O124" i="3"/>
  <c r="M7" i="2" l="1"/>
  <c r="K21" i="2"/>
  <c r="M12" i="2"/>
  <c r="K20" i="2"/>
  <c r="K19" i="2"/>
  <c r="K7" i="2"/>
  <c r="K17" i="2"/>
  <c r="B185" i="6"/>
  <c r="B183" i="4"/>
  <c r="B102" i="4"/>
  <c r="B121" i="11"/>
  <c r="B101" i="4"/>
  <c r="B120" i="11"/>
  <c r="B100" i="4"/>
  <c r="B112" i="11"/>
  <c r="B99" i="4"/>
  <c r="B111" i="11"/>
  <c r="B98" i="4"/>
  <c r="B110" i="11"/>
  <c r="B96" i="4"/>
  <c r="B108" i="11"/>
  <c r="B95" i="4"/>
  <c r="B107" i="11"/>
  <c r="B94" i="4"/>
  <c r="B106" i="11"/>
  <c r="B90" i="4"/>
  <c r="B103" i="11"/>
  <c r="B89" i="4"/>
  <c r="B102" i="11"/>
  <c r="B88" i="4"/>
  <c r="B101" i="11"/>
  <c r="B87" i="4"/>
  <c r="B100" i="11"/>
  <c r="B87" i="6"/>
  <c r="B98" i="11"/>
  <c r="B86" i="6"/>
  <c r="B97" i="11"/>
  <c r="B85" i="6"/>
  <c r="B96" i="11"/>
  <c r="B84" i="6"/>
  <c r="B95" i="11"/>
  <c r="C207" i="7"/>
  <c r="C214" i="7"/>
  <c r="C213" i="7"/>
  <c r="C210" i="7"/>
  <c r="C205" i="7"/>
  <c r="H205" i="7" s="1"/>
  <c r="C211" i="7"/>
  <c r="C208" i="7"/>
  <c r="C206" i="7"/>
  <c r="C212" i="7"/>
  <c r="C209" i="7"/>
  <c r="B76" i="6"/>
  <c r="B74" i="4"/>
  <c r="B75" i="6"/>
  <c r="B73" i="4"/>
  <c r="B74" i="6"/>
  <c r="B72" i="4"/>
  <c r="B73" i="6"/>
  <c r="B71" i="4"/>
  <c r="B72" i="6"/>
  <c r="B70" i="4"/>
  <c r="M167" i="3"/>
  <c r="BA167" i="3" s="1"/>
  <c r="M132" i="3"/>
  <c r="BA132" i="3" s="1"/>
  <c r="M155" i="3"/>
  <c r="BA155" i="3" s="1"/>
  <c r="M129" i="3"/>
  <c r="BA129" i="3" s="1"/>
  <c r="M173" i="3"/>
  <c r="BA173" i="3" s="1"/>
  <c r="M163" i="3"/>
  <c r="BA163" i="3" s="1"/>
  <c r="M152" i="3"/>
  <c r="BA152" i="3" s="1"/>
  <c r="M130" i="3"/>
  <c r="BA130" i="3" s="1"/>
  <c r="M166" i="3"/>
  <c r="BA166" i="3" s="1"/>
  <c r="M125" i="3"/>
  <c r="BA125" i="3" s="1"/>
  <c r="M172" i="3"/>
  <c r="BA172" i="3" s="1"/>
  <c r="M164" i="3"/>
  <c r="BA164" i="3" s="1"/>
  <c r="M153" i="3"/>
  <c r="BA153" i="3" s="1"/>
  <c r="M133" i="3"/>
  <c r="BA133" i="3" s="1"/>
  <c r="M165" i="3"/>
  <c r="BA165" i="3" s="1"/>
  <c r="M174" i="3"/>
  <c r="BA174" i="3" s="1"/>
  <c r="M159" i="3"/>
  <c r="BA159" i="3" s="1"/>
  <c r="M127" i="3"/>
  <c r="BA127" i="3" s="1"/>
  <c r="M158" i="3"/>
  <c r="BA158" i="3" s="1"/>
  <c r="M146" i="3"/>
  <c r="BA146" i="3" s="1"/>
  <c r="M126" i="3"/>
  <c r="BA126" i="3" s="1"/>
  <c r="M170" i="3"/>
  <c r="BA170" i="3" s="1"/>
  <c r="M131" i="3"/>
  <c r="BA131" i="3" s="1"/>
  <c r="K176" i="3"/>
  <c r="K171" i="3"/>
  <c r="K167" i="3"/>
  <c r="K163" i="3"/>
  <c r="K160" i="3"/>
  <c r="K156" i="3"/>
  <c r="K150" i="3"/>
  <c r="K133" i="3"/>
  <c r="K175" i="3"/>
  <c r="K170" i="3"/>
  <c r="K165" i="3"/>
  <c r="K161" i="3"/>
  <c r="K158" i="3"/>
  <c r="K153" i="3"/>
  <c r="K147" i="3"/>
  <c r="K130" i="3"/>
  <c r="K174" i="3"/>
  <c r="K172" i="3"/>
  <c r="K169" i="3"/>
  <c r="K164" i="3"/>
  <c r="K159" i="3"/>
  <c r="K157" i="3"/>
  <c r="K151" i="3"/>
  <c r="K145" i="3"/>
  <c r="K125" i="3"/>
  <c r="K173" i="3"/>
  <c r="K152" i="3"/>
  <c r="K131" i="3"/>
  <c r="K168" i="3"/>
  <c r="K148" i="3"/>
  <c r="K126" i="3"/>
  <c r="K166" i="3"/>
  <c r="K154" i="3"/>
  <c r="K146" i="3"/>
  <c r="K124" i="3"/>
  <c r="K162" i="3"/>
  <c r="K155" i="3"/>
  <c r="K149" i="3"/>
  <c r="K132" i="3"/>
  <c r="K129" i="3"/>
  <c r="K128" i="3"/>
  <c r="K127" i="3"/>
  <c r="E8" i="7"/>
  <c r="F37" i="7"/>
  <c r="K135" i="3"/>
  <c r="K178" i="3"/>
  <c r="M178" i="3"/>
  <c r="BA178" i="3" s="1"/>
  <c r="M135" i="3"/>
  <c r="BA135" i="3" s="1"/>
  <c r="K179" i="3"/>
  <c r="M141" i="3"/>
  <c r="BA141" i="3" s="1"/>
  <c r="M144" i="3"/>
  <c r="BA144" i="3" s="1"/>
  <c r="K180" i="3"/>
  <c r="M180" i="3"/>
  <c r="BA180" i="3" s="1"/>
  <c r="K136" i="3"/>
  <c r="K143" i="3"/>
  <c r="M142" i="3"/>
  <c r="BA142" i="3" s="1"/>
  <c r="K144" i="3"/>
  <c r="K142" i="3"/>
  <c r="M179" i="3"/>
  <c r="BA179" i="3" s="1"/>
  <c r="M139" i="3"/>
  <c r="BA139" i="3" s="1"/>
  <c r="K140" i="3"/>
  <c r="M140" i="3"/>
  <c r="BA140" i="3" s="1"/>
  <c r="K141" i="3"/>
  <c r="M143" i="3"/>
  <c r="BA143" i="3" s="1"/>
  <c r="M136" i="3"/>
  <c r="BA136" i="3" s="1"/>
  <c r="M137" i="3"/>
  <c r="BA137" i="3" s="1"/>
  <c r="K138" i="3"/>
  <c r="M138" i="3"/>
  <c r="BA138" i="3" s="1"/>
  <c r="K139" i="3"/>
  <c r="M134" i="3"/>
  <c r="BA134" i="3" s="1"/>
  <c r="K134" i="3"/>
  <c r="M177" i="3"/>
  <c r="BA177" i="3" s="1"/>
  <c r="K137" i="3"/>
  <c r="K177" i="3"/>
  <c r="F192" i="7"/>
  <c r="K159" i="7"/>
  <c r="E159" i="7"/>
  <c r="D159" i="7"/>
  <c r="G159" i="7"/>
  <c r="H159" i="7"/>
  <c r="J159" i="7"/>
  <c r="L159" i="7"/>
  <c r="C219" i="7"/>
  <c r="C223" i="7"/>
  <c r="C227" i="7"/>
  <c r="C231" i="7"/>
  <c r="C234" i="7"/>
  <c r="C216" i="7"/>
  <c r="C220" i="7"/>
  <c r="C224" i="7"/>
  <c r="C228" i="7"/>
  <c r="C232" i="7"/>
  <c r="C236" i="7"/>
  <c r="C215" i="7"/>
  <c r="C218" i="7"/>
  <c r="C222" i="7"/>
  <c r="C226" i="7"/>
  <c r="C230" i="7"/>
  <c r="C235" i="7"/>
  <c r="C132" i="7"/>
  <c r="F132" i="7" s="1"/>
  <c r="C217" i="7"/>
  <c r="C221" i="7"/>
  <c r="C225" i="7"/>
  <c r="C229" i="7"/>
  <c r="C233" i="7"/>
  <c r="B123" i="11"/>
  <c r="B104" i="4"/>
  <c r="E192" i="7"/>
  <c r="M11" i="2"/>
  <c r="M14" i="2" s="1"/>
  <c r="K22" i="2"/>
  <c r="C5" i="9"/>
  <c r="B77" i="6"/>
  <c r="C18" i="9"/>
  <c r="B65" i="6"/>
  <c r="C14" i="9"/>
  <c r="B63" i="6"/>
  <c r="C9" i="9"/>
  <c r="B62" i="6"/>
  <c r="B44" i="11"/>
  <c r="B35" i="4"/>
  <c r="B43" i="11"/>
  <c r="B34" i="4"/>
  <c r="B42" i="11"/>
  <c r="B33" i="4"/>
  <c r="B41" i="11"/>
  <c r="B32" i="4"/>
  <c r="C8" i="9"/>
  <c r="B25" i="4"/>
  <c r="B27" i="11"/>
  <c r="B21" i="4"/>
  <c r="E37" i="7"/>
  <c r="K18" i="2"/>
  <c r="C32" i="7"/>
  <c r="C68" i="7"/>
  <c r="C70" i="7"/>
  <c r="C98" i="7"/>
  <c r="C97" i="7"/>
  <c r="C96" i="7"/>
  <c r="C69" i="7"/>
  <c r="C203" i="7"/>
  <c r="C201" i="7"/>
  <c r="C200" i="7"/>
  <c r="C199" i="7"/>
  <c r="C198" i="7"/>
  <c r="C197" i="7"/>
  <c r="C196" i="7"/>
  <c r="C195" i="7"/>
  <c r="C194" i="7"/>
  <c r="C187" i="7"/>
  <c r="C186" i="7"/>
  <c r="C160" i="7"/>
  <c r="C158" i="7"/>
  <c r="C157" i="7"/>
  <c r="C156" i="7"/>
  <c r="C155" i="7"/>
  <c r="C133" i="7"/>
  <c r="C131" i="7"/>
  <c r="C130" i="7"/>
  <c r="C129" i="7"/>
  <c r="C128" i="7"/>
  <c r="C99" i="7"/>
  <c r="C202" i="7"/>
  <c r="C204" i="7"/>
  <c r="G214" i="7"/>
  <c r="E214" i="7"/>
  <c r="H214" i="7"/>
  <c r="F214" i="7"/>
  <c r="I214" i="7"/>
  <c r="L214" i="7"/>
  <c r="J214" i="7"/>
  <c r="K214" i="7"/>
  <c r="D214" i="7"/>
  <c r="H213" i="7"/>
  <c r="L213" i="7"/>
  <c r="K213" i="7"/>
  <c r="J213" i="7"/>
  <c r="G213" i="7"/>
  <c r="F213" i="7"/>
  <c r="E213" i="7"/>
  <c r="D213" i="7"/>
  <c r="E212" i="7"/>
  <c r="F212" i="7"/>
  <c r="G212" i="7"/>
  <c r="H212" i="7"/>
  <c r="K212" i="7"/>
  <c r="L212" i="7"/>
  <c r="J212" i="7"/>
  <c r="D212" i="7"/>
  <c r="D211" i="7"/>
  <c r="E211" i="7"/>
  <c r="L211" i="7"/>
  <c r="K211" i="7"/>
  <c r="J211" i="7"/>
  <c r="H211" i="7"/>
  <c r="G211" i="7"/>
  <c r="F211" i="7"/>
  <c r="F210" i="7"/>
  <c r="E210" i="7"/>
  <c r="D210" i="7"/>
  <c r="K210" i="7"/>
  <c r="L210" i="7"/>
  <c r="J210" i="7"/>
  <c r="I210" i="7"/>
  <c r="H210" i="7"/>
  <c r="G210" i="7"/>
  <c r="L209" i="7"/>
  <c r="K209" i="7"/>
  <c r="H209" i="7"/>
  <c r="G209" i="7"/>
  <c r="F209" i="7"/>
  <c r="D209" i="7"/>
  <c r="E209" i="7"/>
  <c r="J209" i="7"/>
  <c r="J208" i="7"/>
  <c r="K208" i="7"/>
  <c r="F208" i="7"/>
  <c r="D208" i="7"/>
  <c r="E208" i="7"/>
  <c r="L208" i="7"/>
  <c r="H208" i="7"/>
  <c r="G208" i="7"/>
  <c r="H207" i="7"/>
  <c r="J207" i="7"/>
  <c r="D207" i="7"/>
  <c r="K207" i="7"/>
  <c r="L207" i="7"/>
  <c r="E207" i="7"/>
  <c r="F207" i="7"/>
  <c r="G207" i="7"/>
  <c r="L206" i="7"/>
  <c r="H206" i="7"/>
  <c r="G206" i="7"/>
  <c r="F206" i="7"/>
  <c r="E206" i="7"/>
  <c r="K206" i="7"/>
  <c r="J206" i="7"/>
  <c r="D206" i="7"/>
  <c r="F205" i="7"/>
  <c r="E205" i="7"/>
  <c r="D205" i="7"/>
  <c r="G205" i="7"/>
  <c r="L205" i="7"/>
  <c r="K205" i="7"/>
  <c r="J205" i="7"/>
  <c r="M176" i="3"/>
  <c r="BA176" i="3" s="1"/>
  <c r="L176" i="3"/>
  <c r="M175" i="3"/>
  <c r="BA175" i="3" s="1"/>
  <c r="L175" i="3"/>
  <c r="M171" i="3"/>
  <c r="BA171" i="3" s="1"/>
  <c r="L171" i="3"/>
  <c r="M169" i="3"/>
  <c r="BA169" i="3" s="1"/>
  <c r="L169" i="3"/>
  <c r="L168" i="3"/>
  <c r="M168" i="3"/>
  <c r="BA168" i="3" s="1"/>
  <c r="M162" i="3"/>
  <c r="BA162" i="3" s="1"/>
  <c r="L162" i="3"/>
  <c r="L161" i="3"/>
  <c r="M161" i="3"/>
  <c r="BA161" i="3" s="1"/>
  <c r="M160" i="3"/>
  <c r="BA160" i="3" s="1"/>
  <c r="L160" i="3"/>
  <c r="L157" i="3"/>
  <c r="M157" i="3"/>
  <c r="BA157" i="3" s="1"/>
  <c r="M156" i="3"/>
  <c r="BA156" i="3" s="1"/>
  <c r="L156" i="3"/>
  <c r="L154" i="3"/>
  <c r="M154" i="3"/>
  <c r="BA154" i="3" s="1"/>
  <c r="M151" i="3"/>
  <c r="BA151" i="3" s="1"/>
  <c r="L151" i="3"/>
  <c r="L150" i="3"/>
  <c r="M150" i="3"/>
  <c r="BA150" i="3" s="1"/>
  <c r="M149" i="3"/>
  <c r="BA149" i="3" s="1"/>
  <c r="L149" i="3"/>
  <c r="L148" i="3"/>
  <c r="M148" i="3"/>
  <c r="BA148" i="3" s="1"/>
  <c r="L147" i="3"/>
  <c r="M147" i="3"/>
  <c r="BA147" i="3" s="1"/>
  <c r="L145" i="3"/>
  <c r="M145" i="3"/>
  <c r="BA145" i="3" s="1"/>
  <c r="M128" i="3"/>
  <c r="BA128" i="3" s="1"/>
  <c r="L128" i="3"/>
  <c r="M124" i="3"/>
  <c r="BA124" i="3" s="1"/>
  <c r="L124" i="3"/>
  <c r="I43" i="2"/>
  <c r="I40" i="2"/>
  <c r="J22" i="2"/>
  <c r="O22" i="2" s="1"/>
  <c r="J21" i="2"/>
  <c r="O21" i="2" s="1"/>
  <c r="J20" i="2"/>
  <c r="O20" i="2" s="1"/>
  <c r="J19" i="2"/>
  <c r="O19" i="2" s="1"/>
  <c r="J18" i="2"/>
  <c r="O18" i="2" s="1"/>
  <c r="L12" i="2"/>
  <c r="L11" i="2"/>
  <c r="C6" i="1"/>
  <c r="I38" i="2"/>
  <c r="L13" i="2"/>
  <c r="L10" i="2"/>
  <c r="L8" i="2"/>
  <c r="I41" i="2"/>
  <c r="C19" i="2"/>
  <c r="L9" i="2"/>
  <c r="I42" i="2"/>
  <c r="I39" i="2"/>
  <c r="L7" i="2"/>
  <c r="B126" i="4"/>
  <c r="C16" i="9"/>
  <c r="B124" i="4"/>
  <c r="C20" i="9"/>
  <c r="B26" i="11"/>
  <c r="C6" i="9"/>
  <c r="B25" i="11"/>
  <c r="B21" i="6"/>
  <c r="B21" i="11"/>
  <c r="B20" i="6"/>
  <c r="B20" i="11"/>
  <c r="B19" i="6"/>
  <c r="B19" i="11"/>
  <c r="B18" i="6"/>
  <c r="B18" i="11"/>
  <c r="B17" i="6"/>
  <c r="B17" i="11"/>
  <c r="B16" i="6"/>
  <c r="B16" i="11"/>
  <c r="B15" i="6"/>
  <c r="B15" i="11"/>
  <c r="B14" i="6"/>
  <c r="B14" i="11"/>
  <c r="C7" i="9"/>
  <c r="B13" i="6"/>
  <c r="B12" i="6"/>
  <c r="B13" i="11"/>
  <c r="B9" i="4"/>
  <c r="B11" i="6"/>
  <c r="B12" i="11"/>
  <c r="B8" i="4"/>
  <c r="C12" i="9"/>
  <c r="C11" i="9"/>
  <c r="B10" i="6"/>
  <c r="B11" i="11"/>
  <c r="C21" i="9"/>
  <c r="B9" i="11"/>
  <c r="C10" i="9"/>
  <c r="B8" i="11"/>
  <c r="C23" i="9"/>
  <c r="C22" i="9"/>
  <c r="B7" i="11"/>
  <c r="B92" i="4"/>
  <c r="B7" i="4"/>
  <c r="B6" i="11"/>
  <c r="B9" i="6"/>
  <c r="B6" i="4"/>
  <c r="B8" i="6"/>
  <c r="B5" i="11"/>
  <c r="N13" i="8"/>
  <c r="N12" i="8"/>
  <c r="N10" i="8"/>
  <c r="N8" i="8"/>
  <c r="N6" i="8"/>
  <c r="N4" i="8"/>
  <c r="N14" i="8"/>
  <c r="N11" i="8"/>
  <c r="N9" i="8"/>
  <c r="N7" i="8"/>
  <c r="N5" i="8"/>
  <c r="C23" i="2"/>
  <c r="C32" i="2" s="1"/>
  <c r="C22" i="2"/>
  <c r="L4" i="3"/>
  <c r="M2" i="3"/>
  <c r="BA2" i="3" s="1"/>
  <c r="K3" i="3"/>
  <c r="K4" i="3"/>
  <c r="K9" i="3"/>
  <c r="K10" i="3"/>
  <c r="M13" i="3"/>
  <c r="BA13" i="3" s="1"/>
  <c r="K14" i="3"/>
  <c r="K17" i="3"/>
  <c r="M18" i="3"/>
  <c r="BA18" i="3" s="1"/>
  <c r="K19" i="3"/>
  <c r="K20" i="3"/>
  <c r="K21" i="3"/>
  <c r="K23" i="3"/>
  <c r="K24" i="3"/>
  <c r="K25" i="3"/>
  <c r="M26" i="3"/>
  <c r="BA26" i="3" s="1"/>
  <c r="K27" i="3"/>
  <c r="M30" i="3"/>
  <c r="BA30" i="3" s="1"/>
  <c r="K34" i="3"/>
  <c r="M35" i="3"/>
  <c r="BA35" i="3" s="1"/>
  <c r="K36" i="3"/>
  <c r="M37" i="3"/>
  <c r="BA37" i="3" s="1"/>
  <c r="K38" i="3"/>
  <c r="K40" i="3"/>
  <c r="M41" i="3"/>
  <c r="BA41" i="3" s="1"/>
  <c r="K42" i="3"/>
  <c r="K44" i="3"/>
  <c r="M48" i="3"/>
  <c r="BA48" i="3" s="1"/>
  <c r="K50" i="3"/>
  <c r="M52" i="3"/>
  <c r="BA52" i="3" s="1"/>
  <c r="M53" i="3"/>
  <c r="BA53" i="3" s="1"/>
  <c r="K55" i="3"/>
  <c r="K57" i="3"/>
  <c r="K59" i="3"/>
  <c r="K60" i="3"/>
  <c r="K68" i="3"/>
  <c r="K69" i="3"/>
  <c r="M71" i="3"/>
  <c r="BA71" i="3" s="1"/>
  <c r="K73" i="3"/>
  <c r="K75" i="3"/>
  <c r="M4" i="3"/>
  <c r="BA4" i="3" s="1"/>
  <c r="M7" i="3"/>
  <c r="BA7" i="3" s="1"/>
  <c r="M8" i="3"/>
  <c r="BA8" i="3" s="1"/>
  <c r="M9" i="3"/>
  <c r="BA9" i="3" s="1"/>
  <c r="K11" i="3"/>
  <c r="K22" i="3"/>
  <c r="K28" i="3"/>
  <c r="K31" i="3"/>
  <c r="K33" i="3"/>
  <c r="M36" i="3"/>
  <c r="BA36" i="3" s="1"/>
  <c r="M39" i="3"/>
  <c r="BA39" i="3" s="1"/>
  <c r="M42" i="3"/>
  <c r="BA42" i="3" s="1"/>
  <c r="K45" i="3"/>
  <c r="K46" i="3"/>
  <c r="M47" i="3"/>
  <c r="BA47" i="3" s="1"/>
  <c r="K48" i="3"/>
  <c r="K49" i="3"/>
  <c r="M51" i="3"/>
  <c r="BA51" i="3" s="1"/>
  <c r="K52" i="3"/>
  <c r="M54" i="3"/>
  <c r="BA54" i="3" s="1"/>
  <c r="K56" i="3"/>
  <c r="M57" i="3"/>
  <c r="BA57" i="3" s="1"/>
  <c r="M58" i="3"/>
  <c r="BA58" i="3" s="1"/>
  <c r="M59" i="3"/>
  <c r="BA59" i="3" s="1"/>
  <c r="M60" i="3"/>
  <c r="BA60" i="3" s="1"/>
  <c r="K61" i="3"/>
  <c r="K62" i="3"/>
  <c r="K64" i="3"/>
  <c r="K65" i="3"/>
  <c r="K66" i="3"/>
  <c r="K70" i="3"/>
  <c r="M79" i="3"/>
  <c r="BA79" i="3" s="1"/>
  <c r="M80" i="3"/>
  <c r="BA80" i="3" s="1"/>
  <c r="M87" i="3"/>
  <c r="BA87" i="3" s="1"/>
  <c r="M88" i="3"/>
  <c r="BA88" i="3" s="1"/>
  <c r="M89" i="3"/>
  <c r="BA89" i="3" s="1"/>
  <c r="K90" i="3"/>
  <c r="M91" i="3"/>
  <c r="BA91" i="3" s="1"/>
  <c r="M92" i="3"/>
  <c r="BA92" i="3" s="1"/>
  <c r="M98" i="3"/>
  <c r="BA98" i="3" s="1"/>
  <c r="M100" i="3"/>
  <c r="BA100" i="3" s="1"/>
  <c r="M102" i="3"/>
  <c r="BA102" i="3" s="1"/>
  <c r="K108" i="3"/>
  <c r="K109" i="3"/>
  <c r="M109" i="3"/>
  <c r="BA109" i="3" s="1"/>
  <c r="K110" i="3"/>
  <c r="M110" i="3"/>
  <c r="BA110" i="3" s="1"/>
  <c r="K111" i="3"/>
  <c r="M111" i="3"/>
  <c r="BA111" i="3" s="1"/>
  <c r="K112" i="3"/>
  <c r="M112" i="3"/>
  <c r="BA112" i="3" s="1"/>
  <c r="K113" i="3"/>
  <c r="M113" i="3"/>
  <c r="BA113" i="3" s="1"/>
  <c r="K114" i="3"/>
  <c r="M114" i="3"/>
  <c r="BA114" i="3" s="1"/>
  <c r="K115" i="3"/>
  <c r="M115" i="3"/>
  <c r="BA115" i="3" s="1"/>
  <c r="K116" i="3"/>
  <c r="M116" i="3"/>
  <c r="BA116" i="3" s="1"/>
  <c r="K117" i="3"/>
  <c r="M117" i="3"/>
  <c r="BA117" i="3" s="1"/>
  <c r="K118" i="3"/>
  <c r="M118" i="3"/>
  <c r="BA118" i="3" s="1"/>
  <c r="C27" i="2"/>
  <c r="C28" i="2"/>
  <c r="K2" i="3"/>
  <c r="M3" i="3"/>
  <c r="BA3" i="3" s="1"/>
  <c r="K5" i="3"/>
  <c r="K6" i="3"/>
  <c r="K8" i="3"/>
  <c r="M12" i="3"/>
  <c r="BA12" i="3" s="1"/>
  <c r="K13" i="3"/>
  <c r="K15" i="3"/>
  <c r="M16" i="3"/>
  <c r="BA16" i="3" s="1"/>
  <c r="M17" i="3"/>
  <c r="BA17" i="3" s="1"/>
  <c r="K18" i="3"/>
  <c r="M19" i="3"/>
  <c r="BA19" i="3" s="1"/>
  <c r="M20" i="3"/>
  <c r="BA20" i="3" s="1"/>
  <c r="M21" i="3"/>
  <c r="BA21" i="3" s="1"/>
  <c r="M25" i="3"/>
  <c r="BA25" i="3" s="1"/>
  <c r="K26" i="3"/>
  <c r="M27" i="3"/>
  <c r="BA27" i="3" s="1"/>
  <c r="M28" i="3"/>
  <c r="BA28" i="3" s="1"/>
  <c r="K29" i="3"/>
  <c r="M31" i="3"/>
  <c r="BA31" i="3" s="1"/>
  <c r="M32" i="3"/>
  <c r="BA32" i="3" s="1"/>
  <c r="M33" i="3"/>
  <c r="BA33" i="3" s="1"/>
  <c r="M38" i="3"/>
  <c r="BA38" i="3" s="1"/>
  <c r="K39" i="3"/>
  <c r="M40" i="3"/>
  <c r="BA40" i="3" s="1"/>
  <c r="K43" i="3"/>
  <c r="M44" i="3"/>
  <c r="BA44" i="3" s="1"/>
  <c r="K47" i="3"/>
  <c r="K58" i="3"/>
  <c r="M62" i="3"/>
  <c r="BA62" i="3" s="1"/>
  <c r="K63" i="3"/>
  <c r="M64" i="3"/>
  <c r="BA64" i="3" s="1"/>
  <c r="M65" i="3"/>
  <c r="BA65" i="3" s="1"/>
  <c r="K67" i="3"/>
  <c r="M68" i="3"/>
  <c r="BA68" i="3" s="1"/>
  <c r="K72" i="3"/>
  <c r="M73" i="3"/>
  <c r="BA73" i="3" s="1"/>
  <c r="K74" i="3"/>
  <c r="M74" i="3"/>
  <c r="BA74" i="3" s="1"/>
  <c r="M75" i="3"/>
  <c r="BA75" i="3" s="1"/>
  <c r="K76" i="3"/>
  <c r="K77" i="3"/>
  <c r="K81" i="3"/>
  <c r="M82" i="3"/>
  <c r="BA82" i="3" s="1"/>
  <c r="K83" i="3"/>
  <c r="M84" i="3"/>
  <c r="BA84" i="3" s="1"/>
  <c r="K85" i="3"/>
  <c r="M85" i="3"/>
  <c r="BA85" i="3" s="1"/>
  <c r="K86" i="3"/>
  <c r="K87" i="3"/>
  <c r="K88" i="3"/>
  <c r="K89" i="3"/>
  <c r="M90" i="3"/>
  <c r="BA90" i="3" s="1"/>
  <c r="K91" i="3"/>
  <c r="K92" i="3"/>
  <c r="K93" i="3"/>
  <c r="K94" i="3"/>
  <c r="M95" i="3"/>
  <c r="BA95" i="3" s="1"/>
  <c r="K96" i="3"/>
  <c r="K97" i="3"/>
  <c r="M99" i="3"/>
  <c r="BA99" i="3" s="1"/>
  <c r="K100" i="3"/>
  <c r="K104" i="3"/>
  <c r="K105" i="3"/>
  <c r="K106" i="3"/>
  <c r="K107" i="3"/>
  <c r="M108" i="3"/>
  <c r="BA108" i="3" s="1"/>
  <c r="K119" i="3"/>
  <c r="M119" i="3"/>
  <c r="BA119" i="3" s="1"/>
  <c r="K121" i="3"/>
  <c r="M121" i="3"/>
  <c r="BA121" i="3" s="1"/>
  <c r="K122" i="3"/>
  <c r="M122" i="3"/>
  <c r="BA122" i="3" s="1"/>
  <c r="M5" i="3"/>
  <c r="BA5" i="3" s="1"/>
  <c r="M6" i="3"/>
  <c r="BA6" i="3" s="1"/>
  <c r="K7" i="3"/>
  <c r="M10" i="3"/>
  <c r="BA10" i="3" s="1"/>
  <c r="M11" i="3"/>
  <c r="BA11" i="3" s="1"/>
  <c r="K12" i="3"/>
  <c r="M14" i="3"/>
  <c r="BA14" i="3" s="1"/>
  <c r="M15" i="3"/>
  <c r="BA15" i="3" s="1"/>
  <c r="K16" i="3"/>
  <c r="M22" i="3"/>
  <c r="BA22" i="3" s="1"/>
  <c r="M23" i="3"/>
  <c r="BA23" i="3" s="1"/>
  <c r="M24" i="3"/>
  <c r="BA24" i="3" s="1"/>
  <c r="M29" i="3"/>
  <c r="BA29" i="3" s="1"/>
  <c r="K30" i="3"/>
  <c r="K32" i="3"/>
  <c r="M34" i="3"/>
  <c r="BA34" i="3" s="1"/>
  <c r="K35" i="3"/>
  <c r="K37" i="3"/>
  <c r="K41" i="3"/>
  <c r="M43" i="3"/>
  <c r="BA43" i="3" s="1"/>
  <c r="M45" i="3"/>
  <c r="BA45" i="3" s="1"/>
  <c r="M46" i="3"/>
  <c r="BA46" i="3" s="1"/>
  <c r="M49" i="3"/>
  <c r="BA49" i="3" s="1"/>
  <c r="M50" i="3"/>
  <c r="BA50" i="3" s="1"/>
  <c r="K51" i="3"/>
  <c r="K53" i="3"/>
  <c r="K54" i="3"/>
  <c r="M55" i="3"/>
  <c r="BA55" i="3" s="1"/>
  <c r="M56" i="3"/>
  <c r="BA56" i="3" s="1"/>
  <c r="M61" i="3"/>
  <c r="BA61" i="3" s="1"/>
  <c r="M63" i="3"/>
  <c r="BA63" i="3" s="1"/>
  <c r="M66" i="3"/>
  <c r="BA66" i="3" s="1"/>
  <c r="M67" i="3"/>
  <c r="BA67" i="3" s="1"/>
  <c r="M69" i="3"/>
  <c r="BA69" i="3" s="1"/>
  <c r="M70" i="3"/>
  <c r="BA70" i="3" s="1"/>
  <c r="K71" i="3"/>
  <c r="M72" i="3"/>
  <c r="BA72" i="3" s="1"/>
  <c r="M76" i="3"/>
  <c r="BA76" i="3" s="1"/>
  <c r="M77" i="3"/>
  <c r="BA77" i="3" s="1"/>
  <c r="K78" i="3"/>
  <c r="M78" i="3"/>
  <c r="BA78" i="3" s="1"/>
  <c r="K79" i="3"/>
  <c r="K80" i="3"/>
  <c r="M81" i="3"/>
  <c r="BA81" i="3" s="1"/>
  <c r="K82" i="3"/>
  <c r="M83" i="3"/>
  <c r="BA83" i="3" s="1"/>
  <c r="K84" i="3"/>
  <c r="M86" i="3"/>
  <c r="BA86" i="3" s="1"/>
  <c r="M93" i="3"/>
  <c r="BA93" i="3" s="1"/>
  <c r="M94" i="3"/>
  <c r="BA94" i="3" s="1"/>
  <c r="K95" i="3"/>
  <c r="M96" i="3"/>
  <c r="BA96" i="3" s="1"/>
  <c r="M97" i="3"/>
  <c r="BA97" i="3" s="1"/>
  <c r="K98" i="3"/>
  <c r="K99" i="3"/>
  <c r="K101" i="3"/>
  <c r="I159" i="7" s="1"/>
  <c r="M101" i="3"/>
  <c r="BA101" i="3" s="1"/>
  <c r="K102" i="3"/>
  <c r="K103" i="3"/>
  <c r="M103" i="3"/>
  <c r="BA103" i="3" s="1"/>
  <c r="M104" i="3"/>
  <c r="BA104" i="3" s="1"/>
  <c r="M105" i="3"/>
  <c r="BA105" i="3" s="1"/>
  <c r="M106" i="3"/>
  <c r="BA106" i="3" s="1"/>
  <c r="M107" i="3"/>
  <c r="BA107" i="3" s="1"/>
  <c r="K120" i="3"/>
  <c r="M120" i="3"/>
  <c r="BA120" i="3" s="1"/>
  <c r="K123" i="3"/>
  <c r="M123" i="3"/>
  <c r="BA123" i="3" s="1"/>
  <c r="F8" i="7"/>
  <c r="F159" i="7"/>
  <c r="E10" i="5"/>
  <c r="D10" i="5"/>
  <c r="C10" i="5"/>
  <c r="J8" i="5"/>
  <c r="I8" i="5"/>
  <c r="H8" i="5"/>
  <c r="G8" i="5"/>
  <c r="F8" i="5"/>
  <c r="E8" i="5"/>
  <c r="D8" i="5"/>
  <c r="C8" i="5"/>
  <c r="J51" i="5"/>
  <c r="I51" i="5"/>
  <c r="H51" i="5"/>
  <c r="G51" i="5"/>
  <c r="F51" i="5"/>
  <c r="E51" i="5"/>
  <c r="D51" i="5"/>
  <c r="C51" i="5"/>
  <c r="J50" i="5"/>
  <c r="I50" i="5"/>
  <c r="H50" i="5"/>
  <c r="G50" i="5"/>
  <c r="F50" i="5"/>
  <c r="E50" i="5"/>
  <c r="D50" i="5"/>
  <c r="C50" i="5"/>
  <c r="J49" i="5"/>
  <c r="I49" i="5"/>
  <c r="H49" i="5"/>
  <c r="G49" i="5"/>
  <c r="F49" i="5"/>
  <c r="E49" i="5"/>
  <c r="D49" i="5"/>
  <c r="C49" i="5"/>
  <c r="J47" i="5"/>
  <c r="I47" i="5"/>
  <c r="H47" i="5"/>
  <c r="G47" i="5"/>
  <c r="F47" i="5"/>
  <c r="E47" i="5"/>
  <c r="D47" i="5"/>
  <c r="C47" i="5"/>
  <c r="J46" i="5"/>
  <c r="I46" i="5"/>
  <c r="H46" i="5"/>
  <c r="G46" i="5"/>
  <c r="F46" i="5"/>
  <c r="E46" i="5"/>
  <c r="D46" i="5"/>
  <c r="C46" i="5"/>
  <c r="J45" i="5"/>
  <c r="I45" i="5"/>
  <c r="H45" i="5"/>
  <c r="G45" i="5"/>
  <c r="F45" i="5"/>
  <c r="E45" i="5"/>
  <c r="D45" i="5"/>
  <c r="C45" i="5"/>
  <c r="J44" i="5"/>
  <c r="I44" i="5"/>
  <c r="H44" i="5"/>
  <c r="G44" i="5"/>
  <c r="F44" i="5"/>
  <c r="E44" i="5"/>
  <c r="D44" i="5"/>
  <c r="C44" i="5"/>
  <c r="J43" i="5"/>
  <c r="I43" i="5"/>
  <c r="H43" i="5"/>
  <c r="G43" i="5"/>
  <c r="F43" i="5"/>
  <c r="E43" i="5"/>
  <c r="D43" i="5"/>
  <c r="C43" i="5"/>
  <c r="J42" i="5"/>
  <c r="I42" i="5"/>
  <c r="H42" i="5"/>
  <c r="G42" i="5"/>
  <c r="F42" i="5"/>
  <c r="E42" i="5"/>
  <c r="D42" i="5"/>
  <c r="C42" i="5"/>
  <c r="J41" i="5"/>
  <c r="I41" i="5"/>
  <c r="H41" i="5"/>
  <c r="G41" i="5"/>
  <c r="F41" i="5"/>
  <c r="E41" i="5"/>
  <c r="D41" i="5"/>
  <c r="C41" i="5"/>
  <c r="J40" i="5"/>
  <c r="I40" i="5"/>
  <c r="H40" i="5"/>
  <c r="G40" i="5"/>
  <c r="F40" i="5"/>
  <c r="E40" i="5"/>
  <c r="D40" i="5"/>
  <c r="C40" i="5"/>
  <c r="J39" i="5"/>
  <c r="I39" i="5"/>
  <c r="H39" i="5"/>
  <c r="G39" i="5"/>
  <c r="F39" i="5"/>
  <c r="E39" i="5"/>
  <c r="D39" i="5"/>
  <c r="C39" i="5"/>
  <c r="J37" i="5"/>
  <c r="I37" i="5"/>
  <c r="H37" i="5"/>
  <c r="G37" i="5"/>
  <c r="F37" i="5"/>
  <c r="E37" i="5"/>
  <c r="D37" i="5"/>
  <c r="C37" i="5"/>
  <c r="J36" i="5"/>
  <c r="I36" i="5"/>
  <c r="H36" i="5"/>
  <c r="G36" i="5"/>
  <c r="F36" i="5"/>
  <c r="E36" i="5"/>
  <c r="D36" i="5"/>
  <c r="C36" i="5"/>
  <c r="J35" i="5"/>
  <c r="I35" i="5"/>
  <c r="H35" i="5"/>
  <c r="G35" i="5"/>
  <c r="F35" i="5"/>
  <c r="E35" i="5"/>
  <c r="D35" i="5"/>
  <c r="C35" i="5"/>
  <c r="J34" i="5"/>
  <c r="I34" i="5"/>
  <c r="H34" i="5"/>
  <c r="G34" i="5"/>
  <c r="F34" i="5"/>
  <c r="E34" i="5"/>
  <c r="D34" i="5"/>
  <c r="C34" i="5"/>
  <c r="J32" i="5"/>
  <c r="I32" i="5"/>
  <c r="H32" i="5"/>
  <c r="G32" i="5"/>
  <c r="F32" i="5"/>
  <c r="E32" i="5"/>
  <c r="D32" i="5"/>
  <c r="C32" i="5"/>
  <c r="J31" i="5"/>
  <c r="I31" i="5"/>
  <c r="H31" i="5"/>
  <c r="G31" i="5"/>
  <c r="F31" i="5"/>
  <c r="E31" i="5"/>
  <c r="D31" i="5"/>
  <c r="C31" i="5"/>
  <c r="J30" i="5"/>
  <c r="I30" i="5"/>
  <c r="H30" i="5"/>
  <c r="G30" i="5"/>
  <c r="F30" i="5"/>
  <c r="E30" i="5"/>
  <c r="D30" i="5"/>
  <c r="C30" i="5"/>
  <c r="J29" i="5"/>
  <c r="I29" i="5"/>
  <c r="H29" i="5"/>
  <c r="G29" i="5"/>
  <c r="F29" i="5"/>
  <c r="E29" i="5"/>
  <c r="D29" i="5"/>
  <c r="C29" i="5"/>
  <c r="J28" i="5"/>
  <c r="I28" i="5"/>
  <c r="H28" i="5"/>
  <c r="G28" i="5"/>
  <c r="F28" i="5"/>
  <c r="E28" i="5"/>
  <c r="D28" i="5"/>
  <c r="C28" i="5"/>
  <c r="J27" i="5"/>
  <c r="I27" i="5"/>
  <c r="H27" i="5"/>
  <c r="G27" i="5"/>
  <c r="F27" i="5"/>
  <c r="E27" i="5"/>
  <c r="D27" i="5"/>
  <c r="C27" i="5"/>
  <c r="J26" i="5"/>
  <c r="I26" i="5"/>
  <c r="H26" i="5"/>
  <c r="G26" i="5"/>
  <c r="F26" i="5"/>
  <c r="E26" i="5"/>
  <c r="D26" i="5"/>
  <c r="C26" i="5"/>
  <c r="J25" i="5"/>
  <c r="I25" i="5"/>
  <c r="H25" i="5"/>
  <c r="G25" i="5"/>
  <c r="F25" i="5"/>
  <c r="E25" i="5"/>
  <c r="D25" i="5"/>
  <c r="C25" i="5"/>
  <c r="J24" i="5"/>
  <c r="I24" i="5"/>
  <c r="H24" i="5"/>
  <c r="G24" i="5"/>
  <c r="F24" i="5"/>
  <c r="E24" i="5"/>
  <c r="D24" i="5"/>
  <c r="C24" i="5"/>
  <c r="J22" i="5"/>
  <c r="I22" i="5"/>
  <c r="H22" i="5"/>
  <c r="G22" i="5"/>
  <c r="F22" i="5"/>
  <c r="E22" i="5"/>
  <c r="D22" i="5"/>
  <c r="C22" i="5"/>
  <c r="J21" i="5"/>
  <c r="I21" i="5"/>
  <c r="H21" i="5"/>
  <c r="G21" i="5"/>
  <c r="F21" i="5"/>
  <c r="E21" i="5"/>
  <c r="D21" i="5"/>
  <c r="C21" i="5"/>
  <c r="J20" i="5"/>
  <c r="I20" i="5"/>
  <c r="H20" i="5"/>
  <c r="G20" i="5"/>
  <c r="F20" i="5"/>
  <c r="E20" i="5"/>
  <c r="D20" i="5"/>
  <c r="C20" i="5"/>
  <c r="J19" i="5"/>
  <c r="I19" i="5"/>
  <c r="H19" i="5"/>
  <c r="G19" i="5"/>
  <c r="F19" i="5"/>
  <c r="E19" i="5"/>
  <c r="D19" i="5"/>
  <c r="C19" i="5"/>
  <c r="J17" i="5"/>
  <c r="I17" i="5"/>
  <c r="H17" i="5"/>
  <c r="G17" i="5"/>
  <c r="F17" i="5"/>
  <c r="E17" i="5"/>
  <c r="D17" i="5"/>
  <c r="C17" i="5"/>
  <c r="J16" i="5"/>
  <c r="I16" i="5"/>
  <c r="H16" i="5"/>
  <c r="G16" i="5"/>
  <c r="F16" i="5"/>
  <c r="E16" i="5"/>
  <c r="D16" i="5"/>
  <c r="C16" i="5"/>
  <c r="J15" i="5"/>
  <c r="I15" i="5"/>
  <c r="H15" i="5"/>
  <c r="G15" i="5"/>
  <c r="F15" i="5"/>
  <c r="E15" i="5"/>
  <c r="D15" i="5"/>
  <c r="C15" i="5"/>
  <c r="J14" i="5"/>
  <c r="I14" i="5"/>
  <c r="H14" i="5"/>
  <c r="G14" i="5"/>
  <c r="F14" i="5"/>
  <c r="E14" i="5"/>
  <c r="D14" i="5"/>
  <c r="C14" i="5"/>
  <c r="J12" i="5"/>
  <c r="I12" i="5"/>
  <c r="H12" i="5"/>
  <c r="G12" i="5"/>
  <c r="F12" i="5"/>
  <c r="E12" i="5"/>
  <c r="D12" i="5"/>
  <c r="C12" i="5"/>
  <c r="J11" i="5"/>
  <c r="I11" i="5"/>
  <c r="H11" i="5"/>
  <c r="G11" i="5"/>
  <c r="F11" i="5"/>
  <c r="E11" i="5"/>
  <c r="D11" i="5"/>
  <c r="C11" i="5"/>
  <c r="J10" i="5"/>
  <c r="I10" i="5"/>
  <c r="H10" i="5"/>
  <c r="G10" i="5"/>
  <c r="F10" i="5"/>
  <c r="C10" i="7"/>
  <c r="L10" i="7" s="1"/>
  <c r="C11" i="7"/>
  <c r="L11" i="7" s="1"/>
  <c r="C12" i="7"/>
  <c r="L12" i="7" s="1"/>
  <c r="C13" i="7"/>
  <c r="L13" i="7" s="1"/>
  <c r="C14" i="7"/>
  <c r="L14" i="7" s="1"/>
  <c r="C15" i="7"/>
  <c r="L15" i="7" s="1"/>
  <c r="C16" i="7"/>
  <c r="L16" i="7" s="1"/>
  <c r="C17" i="7"/>
  <c r="L17" i="7" s="1"/>
  <c r="C18" i="7"/>
  <c r="L18" i="7" s="1"/>
  <c r="C19" i="7"/>
  <c r="L19" i="7" s="1"/>
  <c r="C20" i="7"/>
  <c r="L20" i="7" s="1"/>
  <c r="C21" i="7"/>
  <c r="L21" i="7" s="1"/>
  <c r="C22" i="7"/>
  <c r="L22" i="7" s="1"/>
  <c r="C23" i="7"/>
  <c r="L23" i="7" s="1"/>
  <c r="C24" i="7"/>
  <c r="L24" i="7" s="1"/>
  <c r="C25" i="7"/>
  <c r="L25" i="7" s="1"/>
  <c r="C26" i="7"/>
  <c r="L26" i="7" s="1"/>
  <c r="C27" i="7"/>
  <c r="L27" i="7" s="1"/>
  <c r="C28" i="7"/>
  <c r="L28" i="7" s="1"/>
  <c r="C29" i="7"/>
  <c r="L29" i="7" s="1"/>
  <c r="C30" i="7"/>
  <c r="L30" i="7" s="1"/>
  <c r="C31" i="7"/>
  <c r="L31" i="7" s="1"/>
  <c r="C39" i="7"/>
  <c r="L39" i="7" s="1"/>
  <c r="C40" i="7"/>
  <c r="L40" i="7" s="1"/>
  <c r="C41" i="7"/>
  <c r="L41" i="7" s="1"/>
  <c r="C42" i="7"/>
  <c r="L42" i="7" s="1"/>
  <c r="C43" i="7"/>
  <c r="L43" i="7" s="1"/>
  <c r="C44" i="7"/>
  <c r="L44" i="7" s="1"/>
  <c r="C45" i="7"/>
  <c r="L45" i="7" s="1"/>
  <c r="C46" i="7"/>
  <c r="L46" i="7" s="1"/>
  <c r="C47" i="7"/>
  <c r="L47" i="7" s="1"/>
  <c r="C48" i="7"/>
  <c r="L48" i="7" s="1"/>
  <c r="C49" i="7"/>
  <c r="L49" i="7" s="1"/>
  <c r="C50" i="7"/>
  <c r="L50" i="7" s="1"/>
  <c r="C51" i="7"/>
  <c r="C52" i="7"/>
  <c r="L52" i="7" s="1"/>
  <c r="C53" i="7"/>
  <c r="L53" i="7" s="1"/>
  <c r="C54" i="7"/>
  <c r="L54" i="7" s="1"/>
  <c r="C55" i="7"/>
  <c r="L55" i="7" s="1"/>
  <c r="C56" i="7"/>
  <c r="L56" i="7" s="1"/>
  <c r="C57" i="7"/>
  <c r="C58" i="7"/>
  <c r="L58" i="7" s="1"/>
  <c r="C59" i="7"/>
  <c r="L59" i="7" s="1"/>
  <c r="C60" i="7"/>
  <c r="L60" i="7" s="1"/>
  <c r="C61" i="7"/>
  <c r="L61" i="7" s="1"/>
  <c r="C62" i="7"/>
  <c r="L62" i="7" s="1"/>
  <c r="C63" i="7"/>
  <c r="L63" i="7" s="1"/>
  <c r="C64" i="7"/>
  <c r="L64" i="7" s="1"/>
  <c r="C65" i="7"/>
  <c r="L65" i="7" s="1"/>
  <c r="C66" i="7"/>
  <c r="L66" i="7" s="1"/>
  <c r="C67" i="7"/>
  <c r="L67" i="7" s="1"/>
  <c r="C75" i="7"/>
  <c r="C77" i="7"/>
  <c r="L77" i="7" s="1"/>
  <c r="C78" i="7"/>
  <c r="L78" i="7" s="1"/>
  <c r="C79" i="7"/>
  <c r="L79" i="7" s="1"/>
  <c r="C80" i="7"/>
  <c r="L80" i="7" s="1"/>
  <c r="C81" i="7"/>
  <c r="L81" i="7" s="1"/>
  <c r="C82" i="7"/>
  <c r="L82" i="7" s="1"/>
  <c r="C83" i="7"/>
  <c r="L83" i="7" s="1"/>
  <c r="C84" i="7"/>
  <c r="L84" i="7" s="1"/>
  <c r="C85" i="7"/>
  <c r="L85" i="7" s="1"/>
  <c r="C86" i="7"/>
  <c r="L86" i="7" s="1"/>
  <c r="C87" i="7"/>
  <c r="L87" i="7" s="1"/>
  <c r="C88" i="7"/>
  <c r="L88" i="7" s="1"/>
  <c r="C89" i="7"/>
  <c r="L89" i="7" s="1"/>
  <c r="C90" i="7"/>
  <c r="L90" i="7" s="1"/>
  <c r="C91" i="7"/>
  <c r="L91" i="7" s="1"/>
  <c r="C92" i="7"/>
  <c r="L92" i="7" s="1"/>
  <c r="C93" i="7"/>
  <c r="L93" i="7" s="1"/>
  <c r="C94" i="7"/>
  <c r="L94" i="7" s="1"/>
  <c r="C95" i="7"/>
  <c r="L95" i="7" s="1"/>
  <c r="C104" i="7"/>
  <c r="C106" i="7"/>
  <c r="L106" i="7" s="1"/>
  <c r="C107" i="7"/>
  <c r="L107" i="7" s="1"/>
  <c r="C108" i="7"/>
  <c r="L108" i="7" s="1"/>
  <c r="C109" i="7"/>
  <c r="L109" i="7" s="1"/>
  <c r="C110" i="7"/>
  <c r="L110" i="7" s="1"/>
  <c r="C111" i="7"/>
  <c r="L111" i="7" s="1"/>
  <c r="C112" i="7"/>
  <c r="L112" i="7" s="1"/>
  <c r="C113" i="7"/>
  <c r="L113" i="7" s="1"/>
  <c r="C114" i="7"/>
  <c r="L114" i="7" s="1"/>
  <c r="C115" i="7"/>
  <c r="L115" i="7" s="1"/>
  <c r="C116" i="7"/>
  <c r="L116" i="7" s="1"/>
  <c r="C117" i="7"/>
  <c r="L117" i="7" s="1"/>
  <c r="C118" i="7"/>
  <c r="L118" i="7" s="1"/>
  <c r="C119" i="7"/>
  <c r="L119" i="7" s="1"/>
  <c r="C120" i="7"/>
  <c r="L120" i="7" s="1"/>
  <c r="C121" i="7"/>
  <c r="L121" i="7" s="1"/>
  <c r="C122" i="7"/>
  <c r="L122" i="7" s="1"/>
  <c r="C123" i="7"/>
  <c r="L123" i="7" s="1"/>
  <c r="C124" i="7"/>
  <c r="L124" i="7" s="1"/>
  <c r="C125" i="7"/>
  <c r="L125" i="7" s="1"/>
  <c r="C126" i="7"/>
  <c r="L126" i="7" s="1"/>
  <c r="C127" i="7"/>
  <c r="L127" i="7" s="1"/>
  <c r="C134" i="7"/>
  <c r="L134" i="7" s="1"/>
  <c r="C135" i="7"/>
  <c r="L135" i="7" s="1"/>
  <c r="C136" i="7"/>
  <c r="L136" i="7" s="1"/>
  <c r="C137" i="7"/>
  <c r="L137" i="7" s="1"/>
  <c r="C142" i="7"/>
  <c r="C144" i="7"/>
  <c r="L144" i="7" s="1"/>
  <c r="C145" i="7"/>
  <c r="L145" i="7" s="1"/>
  <c r="C146" i="7"/>
  <c r="L146" i="7" s="1"/>
  <c r="C147" i="7"/>
  <c r="L147" i="7" s="1"/>
  <c r="C148" i="7"/>
  <c r="L148" i="7" s="1"/>
  <c r="C149" i="7"/>
  <c r="L149" i="7" s="1"/>
  <c r="C150" i="7"/>
  <c r="L150" i="7" s="1"/>
  <c r="C151" i="7"/>
  <c r="L151" i="7" s="1"/>
  <c r="C152" i="7"/>
  <c r="L152" i="7" s="1"/>
  <c r="C153" i="7"/>
  <c r="L153" i="7" s="1"/>
  <c r="C154" i="7"/>
  <c r="L154" i="7" s="1"/>
  <c r="C161" i="7"/>
  <c r="L161" i="7" s="1"/>
  <c r="C162" i="7"/>
  <c r="L162" i="7" s="1"/>
  <c r="C163" i="7"/>
  <c r="L163" i="7" s="1"/>
  <c r="C164" i="7"/>
  <c r="L164" i="7" s="1"/>
  <c r="C165" i="7"/>
  <c r="L165" i="7" s="1"/>
  <c r="C166" i="7"/>
  <c r="L166" i="7" s="1"/>
  <c r="C167" i="7"/>
  <c r="L167" i="7" s="1"/>
  <c r="C168" i="7"/>
  <c r="L168" i="7" s="1"/>
  <c r="C169" i="7"/>
  <c r="L169" i="7" s="1"/>
  <c r="C170" i="7"/>
  <c r="L170" i="7" s="1"/>
  <c r="C171" i="7"/>
  <c r="L171" i="7" s="1"/>
  <c r="C172" i="7"/>
  <c r="L172" i="7" s="1"/>
  <c r="C173" i="7"/>
  <c r="L173" i="7" s="1"/>
  <c r="C174" i="7"/>
  <c r="L174" i="7" s="1"/>
  <c r="C175" i="7"/>
  <c r="L175" i="7" s="1"/>
  <c r="C176" i="7"/>
  <c r="L176" i="7" s="1"/>
  <c r="C177" i="7"/>
  <c r="L177" i="7" s="1"/>
  <c r="C178" i="7"/>
  <c r="L178" i="7" s="1"/>
  <c r="C179" i="7"/>
  <c r="L179" i="7" s="1"/>
  <c r="C180" i="7"/>
  <c r="L180" i="7" s="1"/>
  <c r="C181" i="7"/>
  <c r="L181" i="7" s="1"/>
  <c r="C182" i="7"/>
  <c r="L182" i="7" s="1"/>
  <c r="C183" i="7"/>
  <c r="L183" i="7" s="1"/>
  <c r="C184" i="7"/>
  <c r="L184" i="7" s="1"/>
  <c r="C185" i="7"/>
  <c r="L185" i="7" s="1"/>
  <c r="B5" i="4"/>
  <c r="B7" i="6"/>
  <c r="L21" i="2"/>
  <c r="N21" i="2"/>
  <c r="N20" i="2"/>
  <c r="L20" i="2"/>
  <c r="L19" i="2"/>
  <c r="N19" i="2"/>
  <c r="L17" i="2"/>
  <c r="N17" i="2"/>
  <c r="H23" i="2"/>
  <c r="J17" i="2"/>
  <c r="L6" i="2"/>
  <c r="J14" i="2"/>
  <c r="H14" i="2"/>
  <c r="K6" i="2"/>
  <c r="K14" i="2" s="1"/>
  <c r="I205" i="7" l="1"/>
  <c r="I206" i="7"/>
  <c r="I207" i="7"/>
  <c r="I208" i="7"/>
  <c r="I209" i="7"/>
  <c r="I212" i="7"/>
  <c r="I213" i="7"/>
  <c r="I211" i="7"/>
  <c r="D219" i="7"/>
  <c r="E219" i="7"/>
  <c r="F219" i="7"/>
  <c r="G219" i="7"/>
  <c r="H219" i="7"/>
  <c r="I219" i="7"/>
  <c r="J219" i="7"/>
  <c r="K219" i="7"/>
  <c r="L219" i="7"/>
  <c r="D223" i="7"/>
  <c r="E223" i="7"/>
  <c r="F223" i="7"/>
  <c r="G223" i="7"/>
  <c r="H223" i="7"/>
  <c r="I223" i="7"/>
  <c r="J223" i="7"/>
  <c r="K223" i="7"/>
  <c r="L223" i="7"/>
  <c r="D227" i="7"/>
  <c r="E227" i="7"/>
  <c r="F227" i="7"/>
  <c r="G227" i="7"/>
  <c r="H227" i="7"/>
  <c r="I227" i="7"/>
  <c r="J227" i="7"/>
  <c r="K227" i="7"/>
  <c r="L227" i="7"/>
  <c r="D231" i="7"/>
  <c r="E231" i="7"/>
  <c r="F231" i="7"/>
  <c r="G231" i="7"/>
  <c r="H231" i="7"/>
  <c r="I231" i="7"/>
  <c r="J231" i="7"/>
  <c r="K231" i="7"/>
  <c r="L231" i="7"/>
  <c r="D234" i="7"/>
  <c r="E234" i="7"/>
  <c r="F234" i="7"/>
  <c r="G234" i="7"/>
  <c r="H234" i="7"/>
  <c r="I234" i="7"/>
  <c r="J234" i="7"/>
  <c r="K234" i="7"/>
  <c r="L234" i="7"/>
  <c r="E216" i="7"/>
  <c r="F216" i="7"/>
  <c r="G216" i="7"/>
  <c r="H216" i="7"/>
  <c r="I216" i="7"/>
  <c r="J216" i="7"/>
  <c r="K216" i="7"/>
  <c r="L216" i="7"/>
  <c r="D216" i="7"/>
  <c r="D220" i="7"/>
  <c r="E220" i="7"/>
  <c r="F220" i="7"/>
  <c r="G220" i="7"/>
  <c r="H220" i="7"/>
  <c r="I220" i="7"/>
  <c r="J220" i="7"/>
  <c r="K220" i="7"/>
  <c r="L220" i="7"/>
  <c r="D224" i="7"/>
  <c r="E224" i="7"/>
  <c r="F224" i="7"/>
  <c r="G224" i="7"/>
  <c r="H224" i="7"/>
  <c r="I224" i="7"/>
  <c r="J224" i="7"/>
  <c r="K224" i="7"/>
  <c r="L224" i="7"/>
  <c r="D228" i="7"/>
  <c r="E228" i="7"/>
  <c r="F228" i="7"/>
  <c r="G228" i="7"/>
  <c r="H228" i="7"/>
  <c r="I228" i="7"/>
  <c r="J228" i="7"/>
  <c r="K228" i="7"/>
  <c r="L228" i="7"/>
  <c r="D232" i="7"/>
  <c r="E232" i="7"/>
  <c r="F232" i="7"/>
  <c r="G232" i="7"/>
  <c r="H232" i="7"/>
  <c r="I232" i="7"/>
  <c r="J232" i="7"/>
  <c r="K232" i="7"/>
  <c r="L232" i="7"/>
  <c r="D236" i="7"/>
  <c r="E236" i="7"/>
  <c r="F236" i="7"/>
  <c r="G236" i="7"/>
  <c r="H236" i="7"/>
  <c r="I236" i="7"/>
  <c r="J236" i="7"/>
  <c r="K236" i="7"/>
  <c r="L236" i="7"/>
  <c r="D215" i="7"/>
  <c r="E215" i="7"/>
  <c r="F215" i="7"/>
  <c r="G215" i="7"/>
  <c r="H215" i="7"/>
  <c r="I215" i="7"/>
  <c r="J215" i="7"/>
  <c r="K215" i="7"/>
  <c r="L215" i="7"/>
  <c r="D218" i="7"/>
  <c r="E218" i="7"/>
  <c r="F218" i="7"/>
  <c r="G218" i="7"/>
  <c r="H218" i="7"/>
  <c r="I218" i="7"/>
  <c r="J218" i="7"/>
  <c r="K218" i="7"/>
  <c r="L218" i="7"/>
  <c r="D222" i="7"/>
  <c r="E222" i="7"/>
  <c r="F222" i="7"/>
  <c r="G222" i="7"/>
  <c r="H222" i="7"/>
  <c r="I222" i="7"/>
  <c r="J222" i="7"/>
  <c r="K222" i="7"/>
  <c r="L222" i="7"/>
  <c r="D226" i="7"/>
  <c r="E226" i="7"/>
  <c r="F226" i="7"/>
  <c r="G226" i="7"/>
  <c r="H226" i="7"/>
  <c r="I226" i="7"/>
  <c r="J226" i="7"/>
  <c r="K226" i="7"/>
  <c r="L226" i="7"/>
  <c r="D230" i="7"/>
  <c r="E230" i="7"/>
  <c r="F230" i="7"/>
  <c r="G230" i="7"/>
  <c r="H230" i="7"/>
  <c r="I230" i="7"/>
  <c r="J230" i="7"/>
  <c r="K230" i="7"/>
  <c r="L230" i="7"/>
  <c r="E235" i="7"/>
  <c r="G235" i="7"/>
  <c r="H235" i="7"/>
  <c r="I235" i="7"/>
  <c r="K235" i="7"/>
  <c r="L235" i="7"/>
  <c r="D235" i="7"/>
  <c r="F235" i="7"/>
  <c r="J235" i="7"/>
  <c r="D132" i="7"/>
  <c r="G132" i="7"/>
  <c r="H132" i="7"/>
  <c r="I132" i="7"/>
  <c r="J132" i="7"/>
  <c r="K132" i="7"/>
  <c r="L132" i="7"/>
  <c r="E132" i="7"/>
  <c r="D217" i="7"/>
  <c r="E217" i="7"/>
  <c r="F217" i="7"/>
  <c r="G217" i="7"/>
  <c r="H217" i="7"/>
  <c r="I217" i="7"/>
  <c r="J217" i="7"/>
  <c r="K217" i="7"/>
  <c r="L217" i="7"/>
  <c r="D221" i="7"/>
  <c r="E221" i="7"/>
  <c r="F221" i="7"/>
  <c r="G221" i="7"/>
  <c r="H221" i="7"/>
  <c r="I221" i="7"/>
  <c r="J221" i="7"/>
  <c r="K221" i="7"/>
  <c r="L221" i="7"/>
  <c r="D225" i="7"/>
  <c r="E225" i="7"/>
  <c r="F225" i="7"/>
  <c r="G225" i="7"/>
  <c r="H225" i="7"/>
  <c r="I225" i="7"/>
  <c r="J225" i="7"/>
  <c r="K225" i="7"/>
  <c r="L225" i="7"/>
  <c r="D229" i="7"/>
  <c r="E229" i="7"/>
  <c r="F229" i="7"/>
  <c r="G229" i="7"/>
  <c r="H229" i="7"/>
  <c r="I229" i="7"/>
  <c r="J229" i="7"/>
  <c r="K229" i="7"/>
  <c r="L229" i="7"/>
  <c r="D233" i="7"/>
  <c r="E233" i="7"/>
  <c r="F233" i="7"/>
  <c r="G233" i="7"/>
  <c r="H233" i="7"/>
  <c r="I233" i="7"/>
  <c r="J233" i="7"/>
  <c r="K233" i="7"/>
  <c r="L233" i="7"/>
  <c r="D32" i="7"/>
  <c r="E32" i="7"/>
  <c r="F32" i="7"/>
  <c r="G32" i="7"/>
  <c r="H32" i="7"/>
  <c r="I32" i="7"/>
  <c r="J32" i="7"/>
  <c r="K32" i="7"/>
  <c r="L32" i="7"/>
  <c r="D68" i="7"/>
  <c r="E68" i="7"/>
  <c r="F68" i="7"/>
  <c r="G68" i="7"/>
  <c r="H68" i="7"/>
  <c r="I68" i="7"/>
  <c r="J68" i="7"/>
  <c r="K68" i="7"/>
  <c r="L68" i="7"/>
  <c r="D70" i="7"/>
  <c r="E70" i="7"/>
  <c r="F70" i="7"/>
  <c r="G70" i="7"/>
  <c r="H70" i="7"/>
  <c r="I70" i="7"/>
  <c r="J70" i="7"/>
  <c r="K70" i="7"/>
  <c r="L70" i="7"/>
  <c r="D98" i="7"/>
  <c r="E98" i="7"/>
  <c r="F98" i="7"/>
  <c r="G98" i="7"/>
  <c r="H98" i="7"/>
  <c r="I98" i="7"/>
  <c r="J98" i="7"/>
  <c r="K98" i="7"/>
  <c r="L98" i="7"/>
  <c r="D97" i="7"/>
  <c r="E97" i="7"/>
  <c r="F97" i="7"/>
  <c r="G97" i="7"/>
  <c r="H97" i="7"/>
  <c r="I97" i="7"/>
  <c r="J97" i="7"/>
  <c r="K97" i="7"/>
  <c r="L97" i="7"/>
  <c r="D96" i="7"/>
  <c r="E96" i="7"/>
  <c r="F96" i="7"/>
  <c r="G96" i="7"/>
  <c r="H96" i="7"/>
  <c r="I96" i="7"/>
  <c r="J96" i="7"/>
  <c r="K96" i="7"/>
  <c r="L96" i="7"/>
  <c r="D69" i="7"/>
  <c r="E69" i="7"/>
  <c r="F69" i="7"/>
  <c r="G69" i="7"/>
  <c r="H69" i="7"/>
  <c r="I69" i="7"/>
  <c r="J69" i="7"/>
  <c r="K69" i="7"/>
  <c r="L69" i="7"/>
  <c r="D203" i="7"/>
  <c r="E203" i="7"/>
  <c r="F203" i="7"/>
  <c r="G203" i="7"/>
  <c r="H203" i="7"/>
  <c r="I203" i="7"/>
  <c r="J203" i="7"/>
  <c r="K203" i="7"/>
  <c r="L203" i="7"/>
  <c r="D201" i="7"/>
  <c r="E201" i="7"/>
  <c r="F201" i="7"/>
  <c r="G201" i="7"/>
  <c r="H201" i="7"/>
  <c r="I201" i="7"/>
  <c r="J201" i="7"/>
  <c r="K201" i="7"/>
  <c r="L201" i="7"/>
  <c r="D200" i="7"/>
  <c r="E200" i="7"/>
  <c r="F200" i="7"/>
  <c r="G200" i="7"/>
  <c r="H200" i="7"/>
  <c r="I200" i="7"/>
  <c r="J200" i="7"/>
  <c r="K200" i="7"/>
  <c r="L200" i="7"/>
  <c r="D199" i="7"/>
  <c r="E199" i="7"/>
  <c r="F199" i="7"/>
  <c r="G199" i="7"/>
  <c r="H199" i="7"/>
  <c r="I199" i="7"/>
  <c r="J199" i="7"/>
  <c r="K199" i="7"/>
  <c r="L199" i="7"/>
  <c r="D198" i="7"/>
  <c r="E198" i="7"/>
  <c r="F198" i="7"/>
  <c r="G198" i="7"/>
  <c r="H198" i="7"/>
  <c r="I198" i="7"/>
  <c r="J198" i="7"/>
  <c r="K198" i="7"/>
  <c r="L198" i="7"/>
  <c r="D197" i="7"/>
  <c r="E197" i="7"/>
  <c r="F197" i="7"/>
  <c r="G197" i="7"/>
  <c r="H197" i="7"/>
  <c r="I197" i="7"/>
  <c r="J197" i="7"/>
  <c r="K197" i="7"/>
  <c r="L197" i="7"/>
  <c r="D196" i="7"/>
  <c r="E196" i="7"/>
  <c r="F196" i="7"/>
  <c r="G196" i="7"/>
  <c r="H196" i="7"/>
  <c r="I196" i="7"/>
  <c r="J196" i="7"/>
  <c r="K196" i="7"/>
  <c r="L196" i="7"/>
  <c r="D195" i="7"/>
  <c r="E195" i="7"/>
  <c r="F195" i="7"/>
  <c r="G195" i="7"/>
  <c r="H195" i="7"/>
  <c r="I195" i="7"/>
  <c r="J195" i="7"/>
  <c r="K195" i="7"/>
  <c r="L195" i="7"/>
  <c r="D194" i="7"/>
  <c r="E194" i="7"/>
  <c r="F194" i="7"/>
  <c r="G194" i="7"/>
  <c r="H194" i="7"/>
  <c r="I194" i="7"/>
  <c r="J194" i="7"/>
  <c r="K194" i="7"/>
  <c r="L194" i="7"/>
  <c r="D187" i="7"/>
  <c r="E187" i="7"/>
  <c r="F187" i="7"/>
  <c r="G187" i="7"/>
  <c r="H187" i="7"/>
  <c r="I187" i="7"/>
  <c r="J187" i="7"/>
  <c r="K187" i="7"/>
  <c r="L187" i="7"/>
  <c r="D186" i="7"/>
  <c r="E186" i="7"/>
  <c r="F186" i="7"/>
  <c r="G186" i="7"/>
  <c r="H186" i="7"/>
  <c r="I186" i="7"/>
  <c r="J186" i="7"/>
  <c r="K186" i="7"/>
  <c r="L186" i="7"/>
  <c r="D160" i="7"/>
  <c r="E160" i="7"/>
  <c r="F160" i="7"/>
  <c r="G160" i="7"/>
  <c r="H160" i="7"/>
  <c r="I160" i="7"/>
  <c r="J160" i="7"/>
  <c r="K160" i="7"/>
  <c r="L160" i="7"/>
  <c r="D158" i="7"/>
  <c r="E158" i="7"/>
  <c r="F158" i="7"/>
  <c r="G158" i="7"/>
  <c r="H158" i="7"/>
  <c r="I158" i="7"/>
  <c r="J158" i="7"/>
  <c r="K158" i="7"/>
  <c r="L158" i="7"/>
  <c r="D157" i="7"/>
  <c r="E157" i="7"/>
  <c r="F157" i="7"/>
  <c r="G157" i="7"/>
  <c r="H157" i="7"/>
  <c r="I157" i="7"/>
  <c r="J157" i="7"/>
  <c r="K157" i="7"/>
  <c r="L157" i="7"/>
  <c r="D156" i="7"/>
  <c r="E156" i="7"/>
  <c r="F156" i="7"/>
  <c r="G156" i="7"/>
  <c r="H156" i="7"/>
  <c r="I156" i="7"/>
  <c r="J156" i="7"/>
  <c r="K156" i="7"/>
  <c r="L156" i="7"/>
  <c r="D155" i="7"/>
  <c r="E155" i="7"/>
  <c r="F155" i="7"/>
  <c r="G155" i="7"/>
  <c r="H155" i="7"/>
  <c r="I155" i="7"/>
  <c r="J155" i="7"/>
  <c r="K155" i="7"/>
  <c r="L155" i="7"/>
  <c r="D133" i="7"/>
  <c r="E133" i="7"/>
  <c r="F133" i="7"/>
  <c r="G133" i="7"/>
  <c r="H133" i="7"/>
  <c r="I133" i="7"/>
  <c r="J133" i="7"/>
  <c r="K133" i="7"/>
  <c r="L133" i="7"/>
  <c r="D131" i="7"/>
  <c r="E131" i="7"/>
  <c r="F131" i="7"/>
  <c r="G131" i="7"/>
  <c r="H131" i="7"/>
  <c r="I131" i="7"/>
  <c r="J131" i="7"/>
  <c r="K131" i="7"/>
  <c r="L131" i="7"/>
  <c r="D130" i="7"/>
  <c r="E130" i="7"/>
  <c r="F130" i="7"/>
  <c r="G130" i="7"/>
  <c r="H130" i="7"/>
  <c r="I130" i="7"/>
  <c r="J130" i="7"/>
  <c r="K130" i="7"/>
  <c r="L130" i="7"/>
  <c r="D129" i="7"/>
  <c r="E129" i="7"/>
  <c r="F129" i="7"/>
  <c r="G129" i="7"/>
  <c r="H129" i="7"/>
  <c r="I129" i="7"/>
  <c r="J129" i="7"/>
  <c r="K129" i="7"/>
  <c r="L129" i="7"/>
  <c r="D128" i="7"/>
  <c r="E128" i="7"/>
  <c r="F128" i="7"/>
  <c r="G128" i="7"/>
  <c r="H128" i="7"/>
  <c r="I128" i="7"/>
  <c r="J128" i="7"/>
  <c r="K128" i="7"/>
  <c r="L128" i="7"/>
  <c r="D99" i="7"/>
  <c r="E99" i="7"/>
  <c r="F99" i="7"/>
  <c r="G99" i="7"/>
  <c r="H99" i="7"/>
  <c r="I99" i="7"/>
  <c r="J99" i="7"/>
  <c r="K99" i="7"/>
  <c r="L99" i="7"/>
  <c r="D202" i="7"/>
  <c r="E202" i="7"/>
  <c r="F202" i="7"/>
  <c r="G202" i="7"/>
  <c r="H202" i="7"/>
  <c r="I202" i="7"/>
  <c r="J202" i="7"/>
  <c r="K202" i="7"/>
  <c r="L202" i="7"/>
  <c r="D204" i="7"/>
  <c r="E204" i="7"/>
  <c r="F204" i="7"/>
  <c r="G204" i="7"/>
  <c r="H204" i="7"/>
  <c r="I204" i="7"/>
  <c r="J204" i="7"/>
  <c r="K204" i="7"/>
  <c r="L204" i="7"/>
  <c r="L22" i="2"/>
  <c r="N22" i="2"/>
  <c r="L18" i="2"/>
  <c r="N18" i="2"/>
  <c r="K23" i="2"/>
  <c r="K8" i="5"/>
  <c r="L23" i="2"/>
  <c r="J30" i="2"/>
  <c r="J34" i="2"/>
  <c r="J32" i="2"/>
  <c r="J27" i="2"/>
  <c r="J28" i="2"/>
  <c r="J29" i="2"/>
  <c r="J33" i="2"/>
  <c r="J31" i="2"/>
  <c r="C20" i="2"/>
  <c r="C9" i="1" s="1"/>
  <c r="C29" i="2"/>
  <c r="C31" i="2" s="1"/>
  <c r="C21" i="2"/>
  <c r="D10" i="7"/>
  <c r="E10" i="7"/>
  <c r="F10" i="7"/>
  <c r="G10" i="7"/>
  <c r="H10" i="7"/>
  <c r="I10" i="7"/>
  <c r="J10" i="7"/>
  <c r="K10" i="7"/>
  <c r="D11" i="7"/>
  <c r="E11" i="7"/>
  <c r="F11" i="7"/>
  <c r="G11" i="7"/>
  <c r="H11" i="7"/>
  <c r="I11" i="7"/>
  <c r="J11" i="7"/>
  <c r="K11" i="7"/>
  <c r="D12" i="7"/>
  <c r="E12" i="7"/>
  <c r="F12" i="7"/>
  <c r="G12" i="7"/>
  <c r="H12" i="7"/>
  <c r="I12" i="7"/>
  <c r="J12" i="7"/>
  <c r="K12" i="7"/>
  <c r="D13" i="7"/>
  <c r="E13" i="7"/>
  <c r="F13" i="7"/>
  <c r="G13" i="7"/>
  <c r="H13" i="7"/>
  <c r="I13" i="7"/>
  <c r="J13" i="7"/>
  <c r="K13" i="7"/>
  <c r="D14" i="7"/>
  <c r="E14" i="7"/>
  <c r="F14" i="7"/>
  <c r="G14" i="7"/>
  <c r="H14" i="7"/>
  <c r="I14" i="7"/>
  <c r="J14" i="7"/>
  <c r="K14" i="7"/>
  <c r="D15" i="7"/>
  <c r="E15" i="7"/>
  <c r="F15" i="7"/>
  <c r="G15" i="7"/>
  <c r="H15" i="7"/>
  <c r="I15" i="7"/>
  <c r="J15" i="7"/>
  <c r="K15" i="7"/>
  <c r="D16" i="7"/>
  <c r="E16" i="7"/>
  <c r="F16" i="7"/>
  <c r="G16" i="7"/>
  <c r="H16" i="7"/>
  <c r="I16" i="7"/>
  <c r="J16" i="7"/>
  <c r="K16" i="7"/>
  <c r="D17" i="7"/>
  <c r="E17" i="7"/>
  <c r="F17" i="7"/>
  <c r="G17" i="7"/>
  <c r="H17" i="7"/>
  <c r="I17" i="7"/>
  <c r="J17" i="7"/>
  <c r="K17" i="7"/>
  <c r="D18" i="7"/>
  <c r="E18" i="7"/>
  <c r="F18" i="7"/>
  <c r="G18" i="7"/>
  <c r="H18" i="7"/>
  <c r="I18" i="7"/>
  <c r="J18" i="7"/>
  <c r="K18" i="7"/>
  <c r="D19" i="7"/>
  <c r="E19" i="7"/>
  <c r="F19" i="7"/>
  <c r="G19" i="7"/>
  <c r="H19" i="7"/>
  <c r="I19" i="7"/>
  <c r="J19" i="7"/>
  <c r="K19" i="7"/>
  <c r="D20" i="7"/>
  <c r="E20" i="7"/>
  <c r="F20" i="7"/>
  <c r="G20" i="7"/>
  <c r="H20" i="7"/>
  <c r="I20" i="7"/>
  <c r="J20" i="7"/>
  <c r="K20" i="7"/>
  <c r="D21" i="7"/>
  <c r="E21" i="7"/>
  <c r="F21" i="7"/>
  <c r="G21" i="7"/>
  <c r="H21" i="7"/>
  <c r="I21" i="7"/>
  <c r="J21" i="7"/>
  <c r="K21" i="7"/>
  <c r="D22" i="7"/>
  <c r="E22" i="7"/>
  <c r="F22" i="7"/>
  <c r="G22" i="7"/>
  <c r="H22" i="7"/>
  <c r="I22" i="7"/>
  <c r="J22" i="7"/>
  <c r="K22" i="7"/>
  <c r="D23" i="7"/>
  <c r="E23" i="7"/>
  <c r="F23" i="7"/>
  <c r="G23" i="7"/>
  <c r="H23" i="7"/>
  <c r="I23" i="7"/>
  <c r="J23" i="7"/>
  <c r="K23" i="7"/>
  <c r="D24" i="7"/>
  <c r="E24" i="7"/>
  <c r="F24" i="7"/>
  <c r="G24" i="7"/>
  <c r="H24" i="7"/>
  <c r="I24" i="7"/>
  <c r="J24" i="7"/>
  <c r="K24" i="7"/>
  <c r="D25" i="7"/>
  <c r="E25" i="7"/>
  <c r="F25" i="7"/>
  <c r="G25" i="7"/>
  <c r="H25" i="7"/>
  <c r="I25" i="7"/>
  <c r="J25" i="7"/>
  <c r="K25" i="7"/>
  <c r="D26" i="7"/>
  <c r="E26" i="7"/>
  <c r="F26" i="7"/>
  <c r="G26" i="7"/>
  <c r="H26" i="7"/>
  <c r="I26" i="7"/>
  <c r="J26" i="7"/>
  <c r="K26" i="7"/>
  <c r="D27" i="7"/>
  <c r="E27" i="7"/>
  <c r="F27" i="7"/>
  <c r="G27" i="7"/>
  <c r="H27" i="7"/>
  <c r="I27" i="7"/>
  <c r="J27" i="7"/>
  <c r="K27" i="7"/>
  <c r="D28" i="7"/>
  <c r="E28" i="7"/>
  <c r="F28" i="7"/>
  <c r="G28" i="7"/>
  <c r="H28" i="7"/>
  <c r="I28" i="7"/>
  <c r="J28" i="7"/>
  <c r="K28" i="7"/>
  <c r="D29" i="7"/>
  <c r="E29" i="7"/>
  <c r="F29" i="7"/>
  <c r="G29" i="7"/>
  <c r="H29" i="7"/>
  <c r="I29" i="7"/>
  <c r="J29" i="7"/>
  <c r="K29" i="7"/>
  <c r="D30" i="7"/>
  <c r="E30" i="7"/>
  <c r="F30" i="7"/>
  <c r="G30" i="7"/>
  <c r="H30" i="7"/>
  <c r="I30" i="7"/>
  <c r="J30" i="7"/>
  <c r="K30" i="7"/>
  <c r="D31" i="7"/>
  <c r="E31" i="7"/>
  <c r="F31" i="7"/>
  <c r="G31" i="7"/>
  <c r="H31" i="7"/>
  <c r="I31" i="7"/>
  <c r="J31" i="7"/>
  <c r="K31" i="7"/>
  <c r="D39" i="7"/>
  <c r="E39" i="7"/>
  <c r="F39" i="7"/>
  <c r="G39" i="7"/>
  <c r="H39" i="7"/>
  <c r="I39" i="7"/>
  <c r="J39" i="7"/>
  <c r="K39" i="7"/>
  <c r="D40" i="7"/>
  <c r="E40" i="7"/>
  <c r="F40" i="7"/>
  <c r="G40" i="7"/>
  <c r="H40" i="7"/>
  <c r="I40" i="7"/>
  <c r="J40" i="7"/>
  <c r="K40" i="7"/>
  <c r="D41" i="7"/>
  <c r="E41" i="7"/>
  <c r="F41" i="7"/>
  <c r="G41" i="7"/>
  <c r="H41" i="7"/>
  <c r="I41" i="7"/>
  <c r="J41" i="7"/>
  <c r="K41" i="7"/>
  <c r="D42" i="7"/>
  <c r="E42" i="7"/>
  <c r="F42" i="7"/>
  <c r="G42" i="7"/>
  <c r="H42" i="7"/>
  <c r="I42" i="7"/>
  <c r="J42" i="7"/>
  <c r="K42" i="7"/>
  <c r="D43" i="7"/>
  <c r="E43" i="7"/>
  <c r="F43" i="7"/>
  <c r="G43" i="7"/>
  <c r="H43" i="7"/>
  <c r="I43" i="7"/>
  <c r="J43" i="7"/>
  <c r="K43" i="7"/>
  <c r="D44" i="7"/>
  <c r="E44" i="7"/>
  <c r="F44" i="7"/>
  <c r="G44" i="7"/>
  <c r="H44" i="7"/>
  <c r="I44" i="7"/>
  <c r="J44" i="7"/>
  <c r="K44" i="7"/>
  <c r="D45" i="7"/>
  <c r="E45" i="7"/>
  <c r="F45" i="7"/>
  <c r="G45" i="7"/>
  <c r="H45" i="7"/>
  <c r="I45" i="7"/>
  <c r="J45" i="7"/>
  <c r="K45" i="7"/>
  <c r="D46" i="7"/>
  <c r="E46" i="7"/>
  <c r="F46" i="7"/>
  <c r="G46" i="7"/>
  <c r="H46" i="7"/>
  <c r="I46" i="7"/>
  <c r="J46" i="7"/>
  <c r="K46" i="7"/>
  <c r="D47" i="7"/>
  <c r="E47" i="7"/>
  <c r="F47" i="7"/>
  <c r="G47" i="7"/>
  <c r="H47" i="7"/>
  <c r="I47" i="7"/>
  <c r="J47" i="7"/>
  <c r="K47" i="7"/>
  <c r="D48" i="7"/>
  <c r="E48" i="7"/>
  <c r="F48" i="7"/>
  <c r="G48" i="7"/>
  <c r="H48" i="7"/>
  <c r="I48" i="7"/>
  <c r="J48" i="7"/>
  <c r="K48" i="7"/>
  <c r="D49" i="7"/>
  <c r="E49" i="7"/>
  <c r="F49" i="7"/>
  <c r="G49" i="7"/>
  <c r="H49" i="7"/>
  <c r="I49" i="7"/>
  <c r="J49" i="7"/>
  <c r="K49" i="7"/>
  <c r="D50" i="7"/>
  <c r="E50" i="7"/>
  <c r="F50" i="7"/>
  <c r="G50" i="7"/>
  <c r="H50" i="7"/>
  <c r="I50" i="7"/>
  <c r="J50" i="7"/>
  <c r="K50" i="7"/>
  <c r="D51" i="7"/>
  <c r="E51" i="7"/>
  <c r="F51" i="7"/>
  <c r="G51" i="7"/>
  <c r="H51" i="7"/>
  <c r="I51" i="7"/>
  <c r="J51" i="7"/>
  <c r="K51" i="7"/>
  <c r="D52" i="7"/>
  <c r="E52" i="7"/>
  <c r="F52" i="7"/>
  <c r="G52" i="7"/>
  <c r="H52" i="7"/>
  <c r="I52" i="7"/>
  <c r="J52" i="7"/>
  <c r="K52" i="7"/>
  <c r="D53" i="7"/>
  <c r="E53" i="7"/>
  <c r="F53" i="7"/>
  <c r="G53" i="7"/>
  <c r="H53" i="7"/>
  <c r="I53" i="7"/>
  <c r="J53" i="7"/>
  <c r="K53" i="7"/>
  <c r="D54" i="7"/>
  <c r="E54" i="7"/>
  <c r="F54" i="7"/>
  <c r="G54" i="7"/>
  <c r="H54" i="7"/>
  <c r="I54" i="7"/>
  <c r="J54" i="7"/>
  <c r="K54" i="7"/>
  <c r="D55" i="7"/>
  <c r="E55" i="7"/>
  <c r="F55" i="7"/>
  <c r="G55" i="7"/>
  <c r="H55" i="7"/>
  <c r="I55" i="7"/>
  <c r="J55" i="7"/>
  <c r="K55" i="7"/>
  <c r="D56" i="7"/>
  <c r="E56" i="7"/>
  <c r="F56" i="7"/>
  <c r="G56" i="7"/>
  <c r="H56" i="7"/>
  <c r="I56" i="7"/>
  <c r="J56" i="7"/>
  <c r="K56" i="7"/>
  <c r="D57" i="7"/>
  <c r="E57" i="7"/>
  <c r="F57" i="7"/>
  <c r="G57" i="7"/>
  <c r="H57" i="7"/>
  <c r="I57" i="7"/>
  <c r="J57" i="7"/>
  <c r="K57" i="7"/>
  <c r="D58" i="7"/>
  <c r="E58" i="7"/>
  <c r="F58" i="7"/>
  <c r="G58" i="7"/>
  <c r="H58" i="7"/>
  <c r="I58" i="7"/>
  <c r="J58" i="7"/>
  <c r="K58" i="7"/>
  <c r="D59" i="7"/>
  <c r="E59" i="7"/>
  <c r="F59" i="7"/>
  <c r="G59" i="7"/>
  <c r="H59" i="7"/>
  <c r="I59" i="7"/>
  <c r="J59" i="7"/>
  <c r="K59" i="7"/>
  <c r="D60" i="7"/>
  <c r="E60" i="7"/>
  <c r="F60" i="7"/>
  <c r="G60" i="7"/>
  <c r="H60" i="7"/>
  <c r="I60" i="7"/>
  <c r="J60" i="7"/>
  <c r="K60" i="7"/>
  <c r="D61" i="7"/>
  <c r="E61" i="7"/>
  <c r="F61" i="7"/>
  <c r="G61" i="7"/>
  <c r="H61" i="7"/>
  <c r="I61" i="7"/>
  <c r="J61" i="7"/>
  <c r="K61" i="7"/>
  <c r="D62" i="7"/>
  <c r="E62" i="7"/>
  <c r="F62" i="7"/>
  <c r="G62" i="7"/>
  <c r="H62" i="7"/>
  <c r="I62" i="7"/>
  <c r="J62" i="7"/>
  <c r="K62" i="7"/>
  <c r="D63" i="7"/>
  <c r="E63" i="7"/>
  <c r="F63" i="7"/>
  <c r="G63" i="7"/>
  <c r="H63" i="7"/>
  <c r="I63" i="7"/>
  <c r="J63" i="7"/>
  <c r="K63" i="7"/>
  <c r="D64" i="7"/>
  <c r="E64" i="7"/>
  <c r="F64" i="7"/>
  <c r="G64" i="7"/>
  <c r="H64" i="7"/>
  <c r="I64" i="7"/>
  <c r="J64" i="7"/>
  <c r="K64" i="7"/>
  <c r="D65" i="7"/>
  <c r="E65" i="7"/>
  <c r="F65" i="7"/>
  <c r="G65" i="7"/>
  <c r="H65" i="7"/>
  <c r="I65" i="7"/>
  <c r="J65" i="7"/>
  <c r="K65" i="7"/>
  <c r="D66" i="7"/>
  <c r="E66" i="7"/>
  <c r="F66" i="7"/>
  <c r="G66" i="7"/>
  <c r="H66" i="7"/>
  <c r="I66" i="7"/>
  <c r="J66" i="7"/>
  <c r="K66" i="7"/>
  <c r="D67" i="7"/>
  <c r="E67" i="7"/>
  <c r="F67" i="7"/>
  <c r="G67" i="7"/>
  <c r="H67" i="7"/>
  <c r="I67" i="7"/>
  <c r="J67" i="7"/>
  <c r="K67" i="7"/>
  <c r="E75" i="7"/>
  <c r="F75" i="7"/>
  <c r="D77" i="7"/>
  <c r="E77" i="7"/>
  <c r="F77" i="7"/>
  <c r="G77" i="7"/>
  <c r="H77" i="7"/>
  <c r="I77" i="7"/>
  <c r="J77" i="7"/>
  <c r="K77" i="7"/>
  <c r="D78" i="7"/>
  <c r="E78" i="7"/>
  <c r="F78" i="7"/>
  <c r="G78" i="7"/>
  <c r="H78" i="7"/>
  <c r="I78" i="7"/>
  <c r="J78" i="7"/>
  <c r="K78" i="7"/>
  <c r="D79" i="7"/>
  <c r="E79" i="7"/>
  <c r="F79" i="7"/>
  <c r="G79" i="7"/>
  <c r="H79" i="7"/>
  <c r="I79" i="7"/>
  <c r="J79" i="7"/>
  <c r="K79" i="7"/>
  <c r="D80" i="7"/>
  <c r="E80" i="7"/>
  <c r="F80" i="7"/>
  <c r="G80" i="7"/>
  <c r="H80" i="7"/>
  <c r="I80" i="7"/>
  <c r="J80" i="7"/>
  <c r="K80" i="7"/>
  <c r="D81" i="7"/>
  <c r="E81" i="7"/>
  <c r="F81" i="7"/>
  <c r="G81" i="7"/>
  <c r="H81" i="7"/>
  <c r="I81" i="7"/>
  <c r="J81" i="7"/>
  <c r="K81" i="7"/>
  <c r="D82" i="7"/>
  <c r="E82" i="7"/>
  <c r="F82" i="7"/>
  <c r="G82" i="7"/>
  <c r="H82" i="7"/>
  <c r="I82" i="7"/>
  <c r="J82" i="7"/>
  <c r="K82" i="7"/>
  <c r="D83" i="7"/>
  <c r="E83" i="7"/>
  <c r="F83" i="7"/>
  <c r="G83" i="7"/>
  <c r="H83" i="7"/>
  <c r="I83" i="7"/>
  <c r="J83" i="7"/>
  <c r="K83" i="7"/>
  <c r="D84" i="7"/>
  <c r="E84" i="7"/>
  <c r="F84" i="7"/>
  <c r="G84" i="7"/>
  <c r="H84" i="7"/>
  <c r="I84" i="7"/>
  <c r="J84" i="7"/>
  <c r="K84" i="7"/>
  <c r="D85" i="7"/>
  <c r="E85" i="7"/>
  <c r="F85" i="7"/>
  <c r="G85" i="7"/>
  <c r="H85" i="7"/>
  <c r="I85" i="7"/>
  <c r="J85" i="7"/>
  <c r="K85" i="7"/>
  <c r="D86" i="7"/>
  <c r="E86" i="7"/>
  <c r="F86" i="7"/>
  <c r="G86" i="7"/>
  <c r="H86" i="7"/>
  <c r="I86" i="7"/>
  <c r="J86" i="7"/>
  <c r="K86" i="7"/>
  <c r="D87" i="7"/>
  <c r="E87" i="7"/>
  <c r="F87" i="7"/>
  <c r="G87" i="7"/>
  <c r="H87" i="7"/>
  <c r="I87" i="7"/>
  <c r="J87" i="7"/>
  <c r="K87" i="7"/>
  <c r="D88" i="7"/>
  <c r="E88" i="7"/>
  <c r="F88" i="7"/>
  <c r="G88" i="7"/>
  <c r="H88" i="7"/>
  <c r="I88" i="7"/>
  <c r="J88" i="7"/>
  <c r="K88" i="7"/>
  <c r="D89" i="7"/>
  <c r="E89" i="7"/>
  <c r="F89" i="7"/>
  <c r="G89" i="7"/>
  <c r="H89" i="7"/>
  <c r="I89" i="7"/>
  <c r="J89" i="7"/>
  <c r="K89" i="7"/>
  <c r="D90" i="7"/>
  <c r="E90" i="7"/>
  <c r="F90" i="7"/>
  <c r="G90" i="7"/>
  <c r="H90" i="7"/>
  <c r="I90" i="7"/>
  <c r="J90" i="7"/>
  <c r="K90" i="7"/>
  <c r="D91" i="7"/>
  <c r="E91" i="7"/>
  <c r="F91" i="7"/>
  <c r="G91" i="7"/>
  <c r="H91" i="7"/>
  <c r="I91" i="7"/>
  <c r="J91" i="7"/>
  <c r="K91" i="7"/>
  <c r="D92" i="7"/>
  <c r="E92" i="7"/>
  <c r="F92" i="7"/>
  <c r="G92" i="7"/>
  <c r="H92" i="7"/>
  <c r="I92" i="7"/>
  <c r="J92" i="7"/>
  <c r="K92" i="7"/>
  <c r="D93" i="7"/>
  <c r="E93" i="7"/>
  <c r="F93" i="7"/>
  <c r="G93" i="7"/>
  <c r="H93" i="7"/>
  <c r="I93" i="7"/>
  <c r="J93" i="7"/>
  <c r="K93" i="7"/>
  <c r="D94" i="7"/>
  <c r="E94" i="7"/>
  <c r="F94" i="7"/>
  <c r="G94" i="7"/>
  <c r="H94" i="7"/>
  <c r="I94" i="7"/>
  <c r="J94" i="7"/>
  <c r="K94" i="7"/>
  <c r="D95" i="7"/>
  <c r="E95" i="7"/>
  <c r="F95" i="7"/>
  <c r="G95" i="7"/>
  <c r="H95" i="7"/>
  <c r="I95" i="7"/>
  <c r="J95" i="7"/>
  <c r="K95" i="7"/>
  <c r="E104" i="7"/>
  <c r="F104" i="7"/>
  <c r="D106" i="7"/>
  <c r="E106" i="7"/>
  <c r="F106" i="7"/>
  <c r="G106" i="7"/>
  <c r="H106" i="7"/>
  <c r="I106" i="7"/>
  <c r="J106" i="7"/>
  <c r="K106" i="7"/>
  <c r="D107" i="7"/>
  <c r="E107" i="7"/>
  <c r="F107" i="7"/>
  <c r="G107" i="7"/>
  <c r="H107" i="7"/>
  <c r="I107" i="7"/>
  <c r="J107" i="7"/>
  <c r="K107" i="7"/>
  <c r="D108" i="7"/>
  <c r="E108" i="7"/>
  <c r="F108" i="7"/>
  <c r="G108" i="7"/>
  <c r="H108" i="7"/>
  <c r="I108" i="7"/>
  <c r="J108" i="7"/>
  <c r="K108" i="7"/>
  <c r="D109" i="7"/>
  <c r="E109" i="7"/>
  <c r="F109" i="7"/>
  <c r="G109" i="7"/>
  <c r="H109" i="7"/>
  <c r="I109" i="7"/>
  <c r="J109" i="7"/>
  <c r="K109" i="7"/>
  <c r="D110" i="7"/>
  <c r="E110" i="7"/>
  <c r="F110" i="7"/>
  <c r="G110" i="7"/>
  <c r="H110" i="7"/>
  <c r="I110" i="7"/>
  <c r="J110" i="7"/>
  <c r="K110" i="7"/>
  <c r="D111" i="7"/>
  <c r="E111" i="7"/>
  <c r="F111" i="7"/>
  <c r="G111" i="7"/>
  <c r="H111" i="7"/>
  <c r="I111" i="7"/>
  <c r="J111" i="7"/>
  <c r="K111" i="7"/>
  <c r="D112" i="7"/>
  <c r="E112" i="7"/>
  <c r="F112" i="7"/>
  <c r="G112" i="7"/>
  <c r="H112" i="7"/>
  <c r="I112" i="7"/>
  <c r="J112" i="7"/>
  <c r="K112" i="7"/>
  <c r="D113" i="7"/>
  <c r="E113" i="7"/>
  <c r="F113" i="7"/>
  <c r="G113" i="7"/>
  <c r="H113" i="7"/>
  <c r="I113" i="7"/>
  <c r="J113" i="7"/>
  <c r="K113" i="7"/>
  <c r="D114" i="7"/>
  <c r="E114" i="7"/>
  <c r="F114" i="7"/>
  <c r="G114" i="7"/>
  <c r="H114" i="7"/>
  <c r="I114" i="7"/>
  <c r="J114" i="7"/>
  <c r="K114" i="7"/>
  <c r="D115" i="7"/>
  <c r="E115" i="7"/>
  <c r="F115" i="7"/>
  <c r="G115" i="7"/>
  <c r="H115" i="7"/>
  <c r="I115" i="7"/>
  <c r="J115" i="7"/>
  <c r="K115" i="7"/>
  <c r="D116" i="7"/>
  <c r="E116" i="7"/>
  <c r="F116" i="7"/>
  <c r="G116" i="7"/>
  <c r="H116" i="7"/>
  <c r="I116" i="7"/>
  <c r="J116" i="7"/>
  <c r="K116" i="7"/>
  <c r="D117" i="7"/>
  <c r="E117" i="7"/>
  <c r="F117" i="7"/>
  <c r="G117" i="7"/>
  <c r="H117" i="7"/>
  <c r="I117" i="7"/>
  <c r="J117" i="7"/>
  <c r="K117" i="7"/>
  <c r="D118" i="7"/>
  <c r="E118" i="7"/>
  <c r="F118" i="7"/>
  <c r="G118" i="7"/>
  <c r="H118" i="7"/>
  <c r="I118" i="7"/>
  <c r="J118" i="7"/>
  <c r="K118" i="7"/>
  <c r="D119" i="7"/>
  <c r="E119" i="7"/>
  <c r="F119" i="7"/>
  <c r="G119" i="7"/>
  <c r="H119" i="7"/>
  <c r="I119" i="7"/>
  <c r="J119" i="7"/>
  <c r="K119" i="7"/>
  <c r="D120" i="7"/>
  <c r="E120" i="7"/>
  <c r="F120" i="7"/>
  <c r="G120" i="7"/>
  <c r="H120" i="7"/>
  <c r="I120" i="7"/>
  <c r="J120" i="7"/>
  <c r="K120" i="7"/>
  <c r="D121" i="7"/>
  <c r="E121" i="7"/>
  <c r="F121" i="7"/>
  <c r="G121" i="7"/>
  <c r="H121" i="7"/>
  <c r="I121" i="7"/>
  <c r="J121" i="7"/>
  <c r="K121" i="7"/>
  <c r="D122" i="7"/>
  <c r="E122" i="7"/>
  <c r="F122" i="7"/>
  <c r="G122" i="7"/>
  <c r="H122" i="7"/>
  <c r="I122" i="7"/>
  <c r="J122" i="7"/>
  <c r="K122" i="7"/>
  <c r="D123" i="7"/>
  <c r="E123" i="7"/>
  <c r="F123" i="7"/>
  <c r="G123" i="7"/>
  <c r="H123" i="7"/>
  <c r="I123" i="7"/>
  <c r="J123" i="7"/>
  <c r="K123" i="7"/>
  <c r="D124" i="7"/>
  <c r="E124" i="7"/>
  <c r="F124" i="7"/>
  <c r="G124" i="7"/>
  <c r="H124" i="7"/>
  <c r="I124" i="7"/>
  <c r="J124" i="7"/>
  <c r="K124" i="7"/>
  <c r="D125" i="7"/>
  <c r="E125" i="7"/>
  <c r="F125" i="7"/>
  <c r="G125" i="7"/>
  <c r="H125" i="7"/>
  <c r="I125" i="7"/>
  <c r="J125" i="7"/>
  <c r="K125" i="7"/>
  <c r="D126" i="7"/>
  <c r="E126" i="7"/>
  <c r="F126" i="7"/>
  <c r="G126" i="7"/>
  <c r="H126" i="7"/>
  <c r="I126" i="7"/>
  <c r="J126" i="7"/>
  <c r="K126" i="7"/>
  <c r="D127" i="7"/>
  <c r="E127" i="7"/>
  <c r="F127" i="7"/>
  <c r="G127" i="7"/>
  <c r="H127" i="7"/>
  <c r="I127" i="7"/>
  <c r="J127" i="7"/>
  <c r="K127" i="7"/>
  <c r="D134" i="7"/>
  <c r="E134" i="7"/>
  <c r="F134" i="7"/>
  <c r="G134" i="7"/>
  <c r="H134" i="7"/>
  <c r="I134" i="7"/>
  <c r="J134" i="7"/>
  <c r="K134" i="7"/>
  <c r="D135" i="7"/>
  <c r="E135" i="7"/>
  <c r="F135" i="7"/>
  <c r="G135" i="7"/>
  <c r="H135" i="7"/>
  <c r="I135" i="7"/>
  <c r="J135" i="7"/>
  <c r="K135" i="7"/>
  <c r="D136" i="7"/>
  <c r="E136" i="7"/>
  <c r="F136" i="7"/>
  <c r="G136" i="7"/>
  <c r="H136" i="7"/>
  <c r="I136" i="7"/>
  <c r="J136" i="7"/>
  <c r="K136" i="7"/>
  <c r="D137" i="7"/>
  <c r="E137" i="7"/>
  <c r="F137" i="7"/>
  <c r="G137" i="7"/>
  <c r="H137" i="7"/>
  <c r="I137" i="7"/>
  <c r="J137" i="7"/>
  <c r="K137" i="7"/>
  <c r="E142" i="7"/>
  <c r="F142" i="7"/>
  <c r="D144" i="7"/>
  <c r="E144" i="7"/>
  <c r="F144" i="7"/>
  <c r="G144" i="7"/>
  <c r="H144" i="7"/>
  <c r="I144" i="7"/>
  <c r="J144" i="7"/>
  <c r="K144" i="7"/>
  <c r="D145" i="7"/>
  <c r="E145" i="7"/>
  <c r="F145" i="7"/>
  <c r="G145" i="7"/>
  <c r="H145" i="7"/>
  <c r="I145" i="7"/>
  <c r="J145" i="7"/>
  <c r="K145" i="7"/>
  <c r="D146" i="7"/>
  <c r="E146" i="7"/>
  <c r="F146" i="7"/>
  <c r="G146" i="7"/>
  <c r="H146" i="7"/>
  <c r="I146" i="7"/>
  <c r="J146" i="7"/>
  <c r="K146" i="7"/>
  <c r="D147" i="7"/>
  <c r="E147" i="7"/>
  <c r="F147" i="7"/>
  <c r="G147" i="7"/>
  <c r="H147" i="7"/>
  <c r="I147" i="7"/>
  <c r="J147" i="7"/>
  <c r="K147" i="7"/>
  <c r="D148" i="7"/>
  <c r="E148" i="7"/>
  <c r="F148" i="7"/>
  <c r="G148" i="7"/>
  <c r="H148" i="7"/>
  <c r="I148" i="7"/>
  <c r="J148" i="7"/>
  <c r="K148" i="7"/>
  <c r="D149" i="7"/>
  <c r="E149" i="7"/>
  <c r="F149" i="7"/>
  <c r="G149" i="7"/>
  <c r="H149" i="7"/>
  <c r="I149" i="7"/>
  <c r="J149" i="7"/>
  <c r="K149" i="7"/>
  <c r="D150" i="7"/>
  <c r="E150" i="7"/>
  <c r="F150" i="7"/>
  <c r="G150" i="7"/>
  <c r="H150" i="7"/>
  <c r="I150" i="7"/>
  <c r="J150" i="7"/>
  <c r="K150" i="7"/>
  <c r="D151" i="7"/>
  <c r="E151" i="7"/>
  <c r="F151" i="7"/>
  <c r="G151" i="7"/>
  <c r="H151" i="7"/>
  <c r="I151" i="7"/>
  <c r="J151" i="7"/>
  <c r="K151" i="7"/>
  <c r="D152" i="7"/>
  <c r="E152" i="7"/>
  <c r="F152" i="7"/>
  <c r="G152" i="7"/>
  <c r="H152" i="7"/>
  <c r="I152" i="7"/>
  <c r="J152" i="7"/>
  <c r="K152" i="7"/>
  <c r="D153" i="7"/>
  <c r="E153" i="7"/>
  <c r="F153" i="7"/>
  <c r="G153" i="7"/>
  <c r="H153" i="7"/>
  <c r="I153" i="7"/>
  <c r="J153" i="7"/>
  <c r="K153" i="7"/>
  <c r="D154" i="7"/>
  <c r="E154" i="7"/>
  <c r="F154" i="7"/>
  <c r="G154" i="7"/>
  <c r="H154" i="7"/>
  <c r="I154" i="7"/>
  <c r="J154" i="7"/>
  <c r="K154" i="7"/>
  <c r="D161" i="7"/>
  <c r="E161" i="7"/>
  <c r="F161" i="7"/>
  <c r="G161" i="7"/>
  <c r="H161" i="7"/>
  <c r="I161" i="7"/>
  <c r="J161" i="7"/>
  <c r="K161" i="7"/>
  <c r="D162" i="7"/>
  <c r="E162" i="7"/>
  <c r="F162" i="7"/>
  <c r="G162" i="7"/>
  <c r="H162" i="7"/>
  <c r="I162" i="7"/>
  <c r="J162" i="7"/>
  <c r="K162" i="7"/>
  <c r="D163" i="7"/>
  <c r="E163" i="7"/>
  <c r="F163" i="7"/>
  <c r="G163" i="7"/>
  <c r="H163" i="7"/>
  <c r="I163" i="7"/>
  <c r="J163" i="7"/>
  <c r="K163" i="7"/>
  <c r="D164" i="7"/>
  <c r="E164" i="7"/>
  <c r="F164" i="7"/>
  <c r="G164" i="7"/>
  <c r="H164" i="7"/>
  <c r="I164" i="7"/>
  <c r="J164" i="7"/>
  <c r="K164" i="7"/>
  <c r="D165" i="7"/>
  <c r="E165" i="7"/>
  <c r="F165" i="7"/>
  <c r="G165" i="7"/>
  <c r="H165" i="7"/>
  <c r="I165" i="7"/>
  <c r="J165" i="7"/>
  <c r="K165" i="7"/>
  <c r="D166" i="7"/>
  <c r="E166" i="7"/>
  <c r="F166" i="7"/>
  <c r="G166" i="7"/>
  <c r="H166" i="7"/>
  <c r="I166" i="7"/>
  <c r="J166" i="7"/>
  <c r="K166" i="7"/>
  <c r="D167" i="7"/>
  <c r="E167" i="7"/>
  <c r="F167" i="7"/>
  <c r="G167" i="7"/>
  <c r="H167" i="7"/>
  <c r="I167" i="7"/>
  <c r="J167" i="7"/>
  <c r="K167" i="7"/>
  <c r="D168" i="7"/>
  <c r="E168" i="7"/>
  <c r="F168" i="7"/>
  <c r="G168" i="7"/>
  <c r="H168" i="7"/>
  <c r="I168" i="7"/>
  <c r="J168" i="7"/>
  <c r="K168" i="7"/>
  <c r="D169" i="7"/>
  <c r="E169" i="7"/>
  <c r="F169" i="7"/>
  <c r="G169" i="7"/>
  <c r="H169" i="7"/>
  <c r="I169" i="7"/>
  <c r="J169" i="7"/>
  <c r="K169" i="7"/>
  <c r="D170" i="7"/>
  <c r="E170" i="7"/>
  <c r="F170" i="7"/>
  <c r="G170" i="7"/>
  <c r="H170" i="7"/>
  <c r="I170" i="7"/>
  <c r="J170" i="7"/>
  <c r="K170" i="7"/>
  <c r="D171" i="7"/>
  <c r="E171" i="7"/>
  <c r="F171" i="7"/>
  <c r="G171" i="7"/>
  <c r="H171" i="7"/>
  <c r="I171" i="7"/>
  <c r="J171" i="7"/>
  <c r="K171" i="7"/>
  <c r="D172" i="7"/>
  <c r="E172" i="7"/>
  <c r="F172" i="7"/>
  <c r="G172" i="7"/>
  <c r="H172" i="7"/>
  <c r="I172" i="7"/>
  <c r="J172" i="7"/>
  <c r="K172" i="7"/>
  <c r="D173" i="7"/>
  <c r="E173" i="7"/>
  <c r="F173" i="7"/>
  <c r="G173" i="7"/>
  <c r="H173" i="7"/>
  <c r="I173" i="7"/>
  <c r="J173" i="7"/>
  <c r="K173" i="7"/>
  <c r="D174" i="7"/>
  <c r="E174" i="7"/>
  <c r="F174" i="7"/>
  <c r="G174" i="7"/>
  <c r="H174" i="7"/>
  <c r="I174" i="7"/>
  <c r="J174" i="7"/>
  <c r="K174" i="7"/>
  <c r="D175" i="7"/>
  <c r="E175" i="7"/>
  <c r="F175" i="7"/>
  <c r="G175" i="7"/>
  <c r="H175" i="7"/>
  <c r="I175" i="7"/>
  <c r="J175" i="7"/>
  <c r="K175" i="7"/>
  <c r="D176" i="7"/>
  <c r="E176" i="7"/>
  <c r="F176" i="7"/>
  <c r="G176" i="7"/>
  <c r="H176" i="7"/>
  <c r="I176" i="7"/>
  <c r="J176" i="7"/>
  <c r="K176" i="7"/>
  <c r="D177" i="7"/>
  <c r="E177" i="7"/>
  <c r="F177" i="7"/>
  <c r="G177" i="7"/>
  <c r="H177" i="7"/>
  <c r="I177" i="7"/>
  <c r="J177" i="7"/>
  <c r="K177" i="7"/>
  <c r="D178" i="7"/>
  <c r="E178" i="7"/>
  <c r="F178" i="7"/>
  <c r="G178" i="7"/>
  <c r="H178" i="7"/>
  <c r="I178" i="7"/>
  <c r="J178" i="7"/>
  <c r="K178" i="7"/>
  <c r="D179" i="7"/>
  <c r="E179" i="7"/>
  <c r="F179" i="7"/>
  <c r="G179" i="7"/>
  <c r="H179" i="7"/>
  <c r="I179" i="7"/>
  <c r="J179" i="7"/>
  <c r="K179" i="7"/>
  <c r="D180" i="7"/>
  <c r="E180" i="7"/>
  <c r="F180" i="7"/>
  <c r="G180" i="7"/>
  <c r="H180" i="7"/>
  <c r="I180" i="7"/>
  <c r="J180" i="7"/>
  <c r="K180" i="7"/>
  <c r="D181" i="7"/>
  <c r="E181" i="7"/>
  <c r="F181" i="7"/>
  <c r="G181" i="7"/>
  <c r="H181" i="7"/>
  <c r="I181" i="7"/>
  <c r="J181" i="7"/>
  <c r="K181" i="7"/>
  <c r="D182" i="7"/>
  <c r="E182" i="7"/>
  <c r="F182" i="7"/>
  <c r="G182" i="7"/>
  <c r="H182" i="7"/>
  <c r="I182" i="7"/>
  <c r="J182" i="7"/>
  <c r="K182" i="7"/>
  <c r="D183" i="7"/>
  <c r="E183" i="7"/>
  <c r="F183" i="7"/>
  <c r="G183" i="7"/>
  <c r="H183" i="7"/>
  <c r="I183" i="7"/>
  <c r="J183" i="7"/>
  <c r="K183" i="7"/>
  <c r="D184" i="7"/>
  <c r="E184" i="7"/>
  <c r="F184" i="7"/>
  <c r="G184" i="7"/>
  <c r="H184" i="7"/>
  <c r="I184" i="7"/>
  <c r="J184" i="7"/>
  <c r="K184" i="7"/>
  <c r="D185" i="7"/>
  <c r="E185" i="7"/>
  <c r="F185" i="7"/>
  <c r="G185" i="7"/>
  <c r="H185" i="7"/>
  <c r="I185" i="7"/>
  <c r="J185" i="7"/>
  <c r="K185" i="7"/>
  <c r="O17" i="2"/>
  <c r="J23" i="2"/>
  <c r="K30" i="2" l="1"/>
  <c r="L30" i="2"/>
  <c r="G30" i="2"/>
  <c r="H30" i="2"/>
  <c r="I30" i="2"/>
  <c r="K34" i="2"/>
  <c r="L34" i="2"/>
  <c r="G34" i="2"/>
  <c r="H34" i="2"/>
  <c r="I34" i="2"/>
  <c r="K32" i="2"/>
  <c r="L32" i="2"/>
  <c r="G32" i="2"/>
  <c r="H32" i="2"/>
  <c r="I32" i="2"/>
  <c r="K27" i="2"/>
  <c r="L27" i="2"/>
  <c r="I27" i="2"/>
  <c r="G27" i="2"/>
  <c r="H27" i="2"/>
  <c r="K28" i="2"/>
  <c r="L28" i="2"/>
  <c r="G28" i="2"/>
  <c r="H28" i="2"/>
  <c r="I28" i="2"/>
  <c r="L29" i="2"/>
  <c r="G29" i="2"/>
  <c r="H29" i="2"/>
  <c r="I29" i="2"/>
  <c r="K29" i="2"/>
  <c r="K33" i="2"/>
  <c r="L33" i="2"/>
  <c r="G33" i="2"/>
  <c r="H33" i="2"/>
  <c r="I33" i="2"/>
  <c r="K31" i="2"/>
  <c r="L31" i="2"/>
  <c r="G31" i="2"/>
  <c r="H31" i="2"/>
  <c r="I3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 authorId="0" shapeId="0" xr:uid="{00000000-0006-0000-0200-000001000000}">
      <text>
        <r>
          <rPr>
            <sz val="10"/>
            <rFont val="Arial"/>
            <family val="2"/>
          </rPr>
          <t>Lien le plus direct : PDF libre, sinon page éditeur (DOI), sinon notice officielle, sinon recherche.</t>
        </r>
      </text>
    </comment>
    <comment ref="J1" authorId="0" shapeId="0" xr:uid="{00000000-0006-0000-0200-000002000000}">
      <text>
        <r>
          <rPr>
            <sz val="10"/>
            <rFont val="Arial"/>
            <family val="2"/>
          </rPr>
          <t>À remplir : À lire, En cours, Lu ou Écarté. Pilote l'État, le Score et le tableau de bord.</t>
        </r>
      </text>
    </comment>
    <comment ref="K1" authorId="0" shapeId="0" xr:uid="{00000000-0006-0000-0200-000003000000}">
      <text>
        <r>
          <rPr>
            <sz val="10"/>
            <rFont val="Arial"/>
            <family val="2"/>
          </rPr>
          <t>Calculé à partir du mois prévu et du mois du plan en cours (Paramètres).</t>
        </r>
      </text>
    </comment>
    <comment ref="M1" authorId="0" shapeId="0" xr:uid="{00000000-0006-0000-0200-000004000000}">
      <text>
        <r>
          <rPr>
            <sz val="10"/>
            <rFont val="Arial"/>
            <family val="2"/>
          </rPr>
          <t>Calculé : priorité + proximité du mois + retard + TFE + vérification incomplète + PDF libre à récupérer. 0 si lu.</t>
        </r>
      </text>
    </comment>
    <comment ref="AF1" authorId="0" shapeId="0" xr:uid="{00000000-0006-0000-0200-000005000000}">
      <text>
        <r>
          <rPr>
            <sz val="10"/>
            <rFont val="Arial"/>
            <family val="2"/>
          </rPr>
          <t>Lien le plus direct vers le document, en texte (utilisé par les macros).</t>
        </r>
      </text>
    </comment>
    <comment ref="AO1" authorId="0" shapeId="0" xr:uid="{00000000-0006-0000-0200-000006000000}">
      <text>
        <r>
          <rPr>
            <sz val="10"/>
            <rFont val="Arial"/>
            <family val="2"/>
          </rPr>
          <t>Contribution reformulée et lien explicite avec ton TFE et ta thèse. Mention NON VÉRIFIÉ si besoin.</t>
        </r>
      </text>
    </comment>
    <comment ref="AU1" authorId="0" shapeId="0" xr:uid="{00000000-0006-0000-0200-000007000000}">
      <text>
        <r>
          <rPr>
            <sz val="10"/>
            <rFont val="Arial"/>
            <family val="2"/>
          </rPr>
          <t>Rempli par la macro VerifierLiens (code HTTP ou message d'erreur).</t>
        </r>
      </text>
    </comment>
    <comment ref="AX1" authorId="0" shapeId="0" xr:uid="{00000000-0006-0000-0200-000008000000}">
      <text>
        <r>
          <rPr>
            <sz val="10"/>
            <rFont val="Arial"/>
            <family val="2"/>
          </rPr>
          <t>Colonnes d'aide (masquées) : utilisées par le Planning et le Tableau de bord.</t>
        </r>
      </text>
    </comment>
  </commentList>
</comments>
</file>

<file path=xl/sharedStrings.xml><?xml version="1.0" encoding="utf-8"?>
<sst xmlns="http://schemas.openxmlformats.org/spreadsheetml/2006/main" count="9954" uniqueCount="4128">
  <si>
    <t>Bibliographie de thèse — Lucas DAVID</t>
  </si>
  <si>
    <t>Distribution hétérogène de la pression de contact pneu-chaussée propagée dans un calcul EF viscoélastique — chaussées aéronautiques (ENTPE, LTDS, partenariat STAC). Vérification sur sources primaires du 22/09/2026.</t>
  </si>
  <si>
    <t>En chiffres (calculé)</t>
  </si>
  <si>
    <t>Références</t>
  </si>
  <si>
    <t>Vérification</t>
  </si>
  <si>
    <t>Accès</t>
  </si>
  <si>
    <t>Où tu en es</t>
  </si>
  <si>
    <t>Fiches de lecture</t>
  </si>
  <si>
    <t>Nouveau : lecture détaillée et analyse croisée</t>
  </si>
  <si>
    <t>• Lecture détaillée : une fiche par référence (objectif, méthode, résultats annoncés, limites, ce que ça t'apporte, ce qu'il faudra vérifier en lisant), avec sept dimensions (pneu, contact, loi, méthode, chargement, cible, validation). Filtre par axe, par « Texte lu » ou par mot.</t>
  </si>
  <si>
    <t>• Les fiches viennent des résumés publiés, pas du texte intégral : 70 résumés complets, 18 textes partiels, 34 fiches de repérage pour les documents sans résumé en ligne (normes, ouvrages, thèses anciennes, manuels, rapport confidentiel du CSIR). Rien n'y est inventé : quand le résumé ne dit rien, la fiche le dit.</t>
  </si>
  <si>
    <t>• Analyse croisée : répartition par axe, croisements clés, synthèses par thème, convergences, divergences, lacunes, place de ta thèse et points à vérifier dans ton TFE. Matrice croisée : le classement de chaque référence, modifiable.</t>
  </si>
  <si>
    <t>• En relisant les résumés, une vingtaine de notes de la base ont été corrigées (par exemple : pas de nappe Tekscan dans les résumés de Manyo et d'Oubahdou ; piste 14R/32L de Toulouse = chaussée rigide renforcée ; pneu de tourisme chez He et al. 2021). Une correction s'ajoute à la feuille Corrections TFE.</t>
  </si>
  <si>
    <t>Ce qui change par rapport à la version précédente (63 références)</t>
  </si>
  <si>
    <t>• 122 références au lieu de 63, dont les 39 de la bibliographie du TFE, toutes revérifiées une par une ; les axes 3 (viscoélasticité), 4 (module complexe), 5 (calcul de structures) et 6 (endommagement) sont maintenant couverts.</t>
  </si>
  <si>
    <t>• Jiang et al. (2019) : le DOI cité dans le TFE ne mène nulle part ; le bon DOI est 10.1080/10298436.2017.1380803.</t>
  </si>
  <si>
    <t>• Rapport HTPT d'Airbus : il est public (site d'Airbus) ; sa Figure 26 montre des pressions calculées, pas mesurées (légende de ta Figure 1-23 à corriger).</t>
  </si>
  <si>
    <t>• Normes : NF EN 1427 citée dans l'édition de janvier 2018, annulée en juin 2026 ; module complexe = NF EN 12697-26+A1 (2023) ; NF EN 1426, citée dans ton texte, est ajoutée.</t>
  </si>
  <si>
    <t>• OACI : Annexe 14 vol. I, 9e édition (2022) ; Doc 9157 partie 3, 3e édition (2022). Transition ACN-PCN vers ACR-PCR : adoptée en juillet 2020, applicable au 28/11/2024.</t>
  </si>
  <si>
    <t>• Les deux pistes de ta soutenance ont leurs références : domaine fréquentiel (VEROAD, Siddharthan, ViscoRoute, éléments spectraux) et superposition semi-analytique (Boussinesq, Love, Johnson, DC-FFT, code de Jacq, Manyo, Cardoso da Silva).</t>
  </si>
  <si>
    <t>• La communication PEP de 2002 (conférence FAA) de l'ancienne base n'a pas été retrouvée sur une source primaire : elle est sortie de la base et notée dans Pistes non couvertes.</t>
  </si>
  <si>
    <t>Les feuilles</t>
  </si>
  <si>
    <t>Tableau de bord</t>
  </si>
  <si>
    <t>Vue d'ensemble, avancement par axe et par mois, charge de lecture du mois, prochaines lectures conseillées, graphiques. Rien à saisir.</t>
  </si>
  <si>
    <t>La base : une ligne par référence. Colonnes jaunes à remplir (statut, date, PDF, Zotero, note, pertinence, commentaire). Colonne Ouvrir = lien le plus direct (PDF libre, sinon page éditeur par le DOI, sinon notice, sinon recherche). Groupes de colonnes repliables avec les boutons + / − au-dessus des en-têtes.</t>
  </si>
  <si>
    <t>Lecture détaillée</t>
  </si>
  <si>
    <t>Une fiche de lecture par référence, d'après son résumé, liée par l'ID ; colonne « Texte lu » : Complet, Partiel ou Aucun.</t>
  </si>
  <si>
    <t>Analyse croisée</t>
  </si>
  <si>
    <t>Répartition par axe et par catégorie (calculée), croisements clés, synthèses par thème, convergences, divergences, lacunes, place de ta thèse, points à vérifier dans le TFE.</t>
  </si>
  <si>
    <t>Matrice croisée</t>
  </si>
  <si>
    <t>Le classement de chaque référence (● par catégorie) ; les totaux et l'Analyse croisée en dépendent. Modifiable.</t>
  </si>
  <si>
    <t>Planning</t>
  </si>
  <si>
    <t>Six mois, octobre 2026 → mars 2027 : objectif de fin de mois, documents à demander en amont, liste des lectures tirée de Références.</t>
  </si>
  <si>
    <t>Demandes</t>
  </si>
  <si>
    <t>PEB, documentation ENTPE, STAC : date limite d'envoi calculée d'après le délai, relance automatique à +21 jours (réglable).</t>
  </si>
  <si>
    <t>Corrections TFE</t>
  </si>
  <si>
    <t>Les écarts constatés entre ta bibliographie de TFE et les sources primaires, avec la correction et sa source.</t>
  </si>
  <si>
    <t>Pistes non couvertes</t>
  </si>
  <si>
    <t>Sujets cherchés sans source vérifiable. Rien n'y est inventé.</t>
  </si>
  <si>
    <t>Notes de lecture</t>
  </si>
  <si>
    <t>Une ligne par référence, liée par l'ID (le tri de Références ne casse rien).</t>
  </si>
  <si>
    <t>Paramètres</t>
  </si>
  <si>
    <t>Date de début, capacité mensuelle, barème du score, temps de lecture par priorité, dossiers utilisés par les macros, listes de choix.</t>
  </si>
  <si>
    <t>Couleurs</t>
  </si>
  <si>
    <t>Fond jaune</t>
  </si>
  <si>
    <t>Cellule à remplir ou réglage modifiable.</t>
  </si>
  <si>
    <t>Fond gris</t>
  </si>
  <si>
    <t>Cellule calculée : ne pas écrire dedans.</t>
  </si>
  <si>
    <t>Rouge / orange / vert</t>
  </si>
  <si>
    <t>En retard, non vérifié ou à demander / ce mois-ci, partiel ou payant / lu, vérifié ou PDF libre.</t>
  </si>
  <si>
    <t>Exemple de ligne de notes remplie</t>
  </si>
  <si>
    <t>ID</t>
  </si>
  <si>
    <t>BIB-0xx (Tiouajni et al. 2011)</t>
  </si>
  <si>
    <t>Apport central (reformulé)</t>
  </si>
  <si>
    <t>Approche un modèle à spectre continu (2S2P1D) par un Kelvin-Voigt généralisé de taille finie, en 3D, en ajustant les modules sur une grille de temps de retard.</t>
  </si>
  <si>
    <t>Lien avec mes travaux</t>
  </si>
  <si>
    <t>Méthode suivie pour mes 9 branches (§2.7) ; vérifier la plage de fréquences et le nombre de branches retenus.</t>
  </si>
  <si>
    <t>Équations, valeurs, figures</t>
  </si>
  <si>
    <t>Relation d'identification des modules ; tableau des paramètres ; figure de comparaison des isothermes.</t>
  </si>
  <si>
    <t>Chapitre visé / À citer</t>
  </si>
  <si>
    <t>Chapitre 2 / Oui</t>
  </si>
  <si>
    <t>Travailler sur trois appareils (PC travail, PC perso, iPad)</t>
  </si>
  <si>
    <t>Zotero</t>
  </si>
  <si>
    <t>Importer le RIS une seule fois (Fichier &gt; Importer…), sur un seul poste : les métadonnées se synchronisent ensuite gratuitement et sans limite via ton compte Zotero.</t>
  </si>
  <si>
    <t>PDF</t>
  </si>
  <si>
    <t>Pour que les PDF suivent sur les trois appareils, il faut des fichiers « stockés » (pas liés) et une synchronisation des fichiers : stockage Zotero (payant au-delà de 300 Mo) ou WebDAV gratuit (Koofr, 10 Go ; ou un Nextcloud de l'école s'il existe). Zotero pour iPad accepte le WebDAV.</t>
  </si>
  <si>
    <t>Après l'import</t>
  </si>
  <si>
    <t>Tout sélectionner &gt; clic droit &gt; « Trouver un PDF disponible » : Zotero récupère seul les PDF en accès libre. Pour les autres, la colonne Ouvrir de l'Excel mène à l'éditeur (accès ENTPE), à la boutique ou à la notice.</t>
  </si>
  <si>
    <t>Mots-clés Zotero</t>
  </si>
  <si>
    <t>« Axe n - … », « Priorite: … », « Acces: Libre / Payant / Restreint / A verifier », « Mois: n », « TFE », « NON VERIFIE », « cle:… » (clé commune à Zotero, à l'Excel et aux notes Obsidian).</t>
  </si>
  <si>
    <t>Excel</t>
  </si>
  <si>
    <t>Garder ce classeur dans ton OneDrive ENTPE pour l'ouvrir partout. Sur iPad, toutes les formules, listes, couleurs et liens fonctionnent ; seules les macros sont réservées aux PC Windows.</t>
  </si>
  <si>
    <t>Obsidian</t>
  </si>
  <si>
    <t>Le zip notes_obsidian_references.zip contient une note par référence (nommée par sa clé) et le séquençage : à décompresser dans ton vault, synchronisé par Git comme aujourd'hui.</t>
  </si>
  <si>
    <t>Installer les macros (PC Windows)</t>
  </si>
  <si>
    <t>1. Ouvrir ce classeur dans Excel pour Windows, puis Alt+F11 (éditeur VBA).</t>
  </si>
  <si>
    <t>2. Fichier &gt; Importer un fichier… &gt; choisir BiblioThese.bas.</t>
  </si>
  <si>
    <t>3. Fermer l'éditeur, puis Fichier &gt; Enregistrer sous &gt; « Classeur Excel (prenant en charge les macros) (*.xlsm) ».</t>
  </si>
  <si>
    <t>4. Régler les dossiers dans Paramètres (C11, C12) ; lancer une macro avec Alt+F8, ou l'épingler dans la barre d'outils Accès rapide.</t>
  </si>
  <si>
    <t>Les macros</t>
  </si>
  <si>
    <t>OuvrirLien</t>
  </si>
  <si>
    <t>Ouvre le lien de chaque ligne sélectionnée (avec le proxy de Paramètres C13 pour les liens éditeur).</t>
  </si>
  <si>
    <t>OuvrirPDFLibresDuMois</t>
  </si>
  <si>
    <t>Ouvre d'un coup tous les PDF libres du mois en cours pas encore récupérés.</t>
  </si>
  <si>
    <t>MarquerLu / MarquerPDFRecupere</t>
  </si>
  <si>
    <t>Passe les lignes sélectionnées à « Lu » avec la date du jour, ou « PDF récupéré » à Oui.</t>
  </si>
  <si>
    <t>FiltrerMoisEnCours / AfficherTout</t>
  </si>
  <si>
    <t>Filtre Références sur le mois en cours non lu, puis retire les filtres.</t>
  </si>
  <si>
    <t>TrierParScore / TrierParID</t>
  </si>
  <si>
    <t>Trie Références par score décroissant (quoi lire maintenant), ou revient à l'ordre de lecture (ID).</t>
  </si>
  <si>
    <t>AjouterReference</t>
  </si>
  <si>
    <t>Crée une nouvelle ligne pré-remplie (ID suivant, statut À lire) et demande clé, titre, auteurs, année, axe, priorité, mois.</t>
  </si>
  <si>
    <t>VerifierDoublons</t>
  </si>
  <si>
    <t>Signale les clés, DOI et titres en double.</t>
  </si>
  <si>
    <t>VerifierLiens</t>
  </si>
  <si>
    <t>Teste chaque lien (code HTTP) et note le résultat dans « État du lien » : repère les liens morts.</t>
  </si>
  <si>
    <t>ExporterRIS</t>
  </si>
  <si>
    <t>Écrit un fichier RIS depuis la feuille : au choix toute la base, ou seulement les références pas encore dans Zotero (colonne « Dans Zotero »), pour importer tes ajouts sans créer de doublons.</t>
  </si>
  <si>
    <t>GenererNotesObsidian</t>
  </si>
  <si>
    <t>Crée une note Markdown par référence dans le vault, avec sa fiche de Lecture détaillée quand elle existe, sans jamais écraser une note existante.</t>
  </si>
  <si>
    <t>GenererPointMensuel</t>
  </si>
  <si>
    <t>Écrit dans le vault un point d'étape du mois (lu, restant, retards, demandes à relancer, prochaines lectures).</t>
  </si>
  <si>
    <t>ExporterCalendrierICS</t>
  </si>
  <si>
    <t>Crée un fichier .ics (début de chaque mois du plan, dates limites d'envoi, relances) à ouvrir dans ton agenda, y compris sur iPad.</t>
  </si>
  <si>
    <t>SuiviRelances</t>
  </si>
  <si>
    <t>Liste les demandes à envoyer ou à relancer.</t>
  </si>
  <si>
    <t>MajTableauDeBord</t>
  </si>
  <si>
    <t>Recalcule tout et affiche un résumé.</t>
  </si>
  <si>
    <t>Règles de vérification suivies</t>
  </si>
  <si>
    <t>• Chaque métadonnée a été constatée sur une source primaire (DOI résolu par OpenAlex ou Crossref, page éditeur, notice theses.fr, TRID, AFNOR, OACI, STAC, FAA, Airbus).</t>
  </si>
  <si>
    <t>• Un DOI n'est inscrit que s'il a été résolu ; aucun DOI n'est reconstruit. Pour Road Materials and Pavement Design, le DOI Taylor &amp; Francis (10.1080/…) est le pérenne ; un doublon Lavoisier (10.3166/…) peut exister pour les anciens numéros.</t>
  </si>
  <si>
    <t>• Statut « Partiel » ou « Non vérifié » : la note dit NON VÉRIFIÉ et précise ce qui manque. Ne pas citer ces références en l'état.</t>
  </si>
  <si>
    <t>• Les références sans DOI (rapports, normes, thèses, guides) sont gardées avec leur identifiant pérenne : numéro de rapport, référence de norme, ISBN, NNT, identifiant HAL ou URL officielle.</t>
  </si>
  <si>
    <t>Tableau de bord bibliographique</t>
  </si>
  <si>
    <t>Tout est calculé depuis la feuille Références : rien à saisir ici.</t>
  </si>
  <si>
    <t>Vue d'ensemble</t>
  </si>
  <si>
    <t>Avancement par axe</t>
  </si>
  <si>
    <t>Indicateur</t>
  </si>
  <si>
    <t>Valeur</t>
  </si>
  <si>
    <t>Axe</t>
  </si>
  <si>
    <t>Intitulé</t>
  </si>
  <si>
    <t>Total</t>
  </si>
  <si>
    <t>INCONTOURNABLE</t>
  </si>
  <si>
    <t>Lues</t>
  </si>
  <si>
    <t>Reste</t>
  </si>
  <si>
    <t>% lu</t>
  </si>
  <si>
    <t>Heures restantes</t>
  </si>
  <si>
    <t>Références au total</t>
  </si>
  <si>
    <t>Mesure de la pression de contact pneu-chaussée</t>
  </si>
  <si>
    <t>dont bibliographie du TFE</t>
  </si>
  <si>
    <t>Modélisation du pneu et du contact</t>
  </si>
  <si>
    <t>Vérifiées sur source primaire</t>
  </si>
  <si>
    <t>Viscoélasticité des enrobés</t>
  </si>
  <si>
    <t>Vérification partielle</t>
  </si>
  <si>
    <t>Caractérisation expérimentale du module complexe</t>
  </si>
  <si>
    <t>Non vérifiées</t>
  </si>
  <si>
    <t>Calcul de structures viscoélastiques</t>
  </si>
  <si>
    <t>Avec DOI vérifié</t>
  </si>
  <si>
    <t>Fatigue et endommagement</t>
  </si>
  <si>
    <t>Téléchargeables tout de suite (PDF libre)</t>
  </si>
  <si>
    <t>Chaussées aéronautiques</t>
  </si>
  <si>
    <t>Via l'abonnement de l'ENTPE (éditeur)</t>
  </si>
  <si>
    <t>Littérature grise et normative</t>
  </si>
  <si>
    <t>Payantes (normes, OACI, SAE, RGRA)</t>
  </si>
  <si>
    <t>À demander ou à localiser</t>
  </si>
  <si>
    <t>Avancement par mois</t>
  </si>
  <si>
    <t>Lecture</t>
  </si>
  <si>
    <t>Mois</t>
  </si>
  <si>
    <t>Libellé</t>
  </si>
  <si>
    <t>Heures prévues</t>
  </si>
  <si>
    <t>Capacité</t>
  </si>
  <si>
    <t>Charge</t>
  </si>
  <si>
    <t>État</t>
  </si>
  <si>
    <t>octobre 2026</t>
  </si>
  <si>
    <t>En cours de lecture</t>
  </si>
  <si>
    <t>novembre 2026</t>
  </si>
  <si>
    <t>Taux de lecture</t>
  </si>
  <si>
    <t>décembre 2026</t>
  </si>
  <si>
    <t>En retard</t>
  </si>
  <si>
    <t>janvier 2027</t>
  </si>
  <si>
    <t>À lire ce mois-ci</t>
  </si>
  <si>
    <t>février 2027</t>
  </si>
  <si>
    <t>PDF libres encore à télécharger</t>
  </si>
  <si>
    <t>mars 2027</t>
  </si>
  <si>
    <t>Demandes à envoyer ou à relancer</t>
  </si>
  <si>
    <t>Corrections du TFE restantes</t>
  </si>
  <si>
    <t>Prochaines lectures conseillées (plus haut score, non lues)</t>
  </si>
  <si>
    <t>Ce mois-ci</t>
  </si>
  <si>
    <t>Rang</t>
  </si>
  <si>
    <t>Citation</t>
  </si>
  <si>
    <t>Priorité</t>
  </si>
  <si>
    <t>Score</t>
  </si>
  <si>
    <t>Ouvrir</t>
  </si>
  <si>
    <t>Titre</t>
  </si>
  <si>
    <t>Mois du plan en cours</t>
  </si>
  <si>
    <t>Heures restantes ce mois-ci</t>
  </si>
  <si>
    <t>Heures en retard (mois passés)</t>
  </si>
  <si>
    <t>Capacité mensuelle (h)</t>
  </si>
  <si>
    <t>Prochaine action</t>
  </si>
  <si>
    <t>Accès aux documents</t>
  </si>
  <si>
    <t>Accès document</t>
  </si>
  <si>
    <t>Nombre</t>
  </si>
  <si>
    <t>Part</t>
  </si>
  <si>
    <t>PDF libre</t>
  </si>
  <si>
    <t>PDF libre (dépôt)</t>
  </si>
  <si>
    <t>Éditeur (abonnement)</t>
  </si>
  <si>
    <t>Payant (boutique)</t>
  </si>
  <si>
    <t>Non diffusé (à demander)</t>
  </si>
  <si>
    <t>Notice en ligne (texte à localiser)</t>
  </si>
  <si>
    <t>Clé</t>
  </si>
  <si>
    <t>TFE</t>
  </si>
  <si>
    <t>Statut lecture</t>
  </si>
  <si>
    <t>Alerte</t>
  </si>
  <si>
    <t>Date lecture</t>
  </si>
  <si>
    <t>PDF récupéré</t>
  </si>
  <si>
    <t>Dans Zotero</t>
  </si>
  <si>
    <t>Note Obsidian</t>
  </si>
  <si>
    <t>Pertinence (1-5)</t>
  </si>
  <si>
    <t>Commentaire</t>
  </si>
  <si>
    <t>Type RIS</t>
  </si>
  <si>
    <t>Type</t>
  </si>
  <si>
    <t>Auteurs</t>
  </si>
  <si>
    <t>Année</t>
  </si>
  <si>
    <t>Support (revue, actes)</t>
  </si>
  <si>
    <t>Vol.</t>
  </si>
  <si>
    <t>N°</t>
  </si>
  <si>
    <t>Pages</t>
  </si>
  <si>
    <t>Éditeur / institution</t>
  </si>
  <si>
    <t>DOI</t>
  </si>
  <si>
    <t>Identifiant (rapport, norme, ISBN, NNT, HAL)</t>
  </si>
  <si>
    <t>Type de lien</t>
  </si>
  <si>
    <t>Lien (URL)</t>
  </si>
  <si>
    <t>doi.org</t>
  </si>
  <si>
    <t>Chercher</t>
  </si>
  <si>
    <t>Comment l'obtenir</t>
  </si>
  <si>
    <t>Source de vérification</t>
  </si>
  <si>
    <t>Vérifié le</t>
  </si>
  <si>
    <t>Contribution et lien avec tes travaux</t>
  </si>
  <si>
    <t>Voir aussi</t>
  </si>
  <si>
    <t>Littérature grise</t>
  </si>
  <si>
    <t>Intitulé de l'axe</t>
  </si>
  <si>
    <t>Mois (libellé)</t>
  </si>
  <si>
    <t>Temps estimé (h)</t>
  </si>
  <si>
    <t>État du lien (macro)</t>
  </si>
  <si>
    <t>Lien contrôlé le</t>
  </si>
  <si>
    <t>Fichier de note</t>
  </si>
  <si>
    <t>Rang dans le mois</t>
  </si>
  <si>
    <t>Clé mois-rang</t>
  </si>
  <si>
    <t>URL de recherche</t>
  </si>
  <si>
    <t>Score de tri</t>
  </si>
  <si>
    <t>BIB-001</t>
  </si>
  <si>
    <t>debeer2012toward</t>
  </si>
  <si>
    <t>Toward using tire-road contact stresses in pavement design and analysis</t>
  </si>
  <si>
    <t>Oui</t>
  </si>
  <si>
    <t>À lire</t>
  </si>
  <si>
    <t>Non</t>
  </si>
  <si>
    <t>JOUR</t>
  </si>
  <si>
    <t>De Beer, M.; Maina, J. W.; van Rensburg, Y.; Greben, J. M.</t>
  </si>
  <si>
    <t>Tire Science and Technology</t>
  </si>
  <si>
    <t>40</t>
  </si>
  <si>
    <t>4</t>
  </si>
  <si>
    <t>246-271</t>
  </si>
  <si>
    <t>10.2346/tire.12.400403</t>
  </si>
  <si>
    <t>Page éditeur (DOI)</t>
  </si>
  <si>
    <t>https://doi.org/10.2346/tire.12.400403</t>
  </si>
  <si>
    <t>Payant</t>
  </si>
  <si>
    <t>Tire Science and Technology (The Tire Society) : accès par abonnement ; résumé libre sur le dépôt du CSIR.</t>
  </si>
  <si>
    <t>Vérifié</t>
  </si>
  <si>
    <t>OpenAlex (DOI) + résumé CSIR</t>
  </si>
  <si>
    <t>22/09/2026</t>
  </si>
  <si>
    <t>Plaide pour intégrer des contraintes de contact mesurées dans le calcul des chaussées, en particulier près de la surface, où le modèle circulaire uniforme ne suffit plus à expliquer les dégradations. Lien avec ta thèse : justification bibliographique centrale de ta problématique.</t>
  </si>
  <si>
    <t>De Beer &amp; Fisher (2013) ; De Beer et al. (2004)</t>
  </si>
  <si>
    <t>https://scholar.google.com/scholar?q=%22Toward+using+tire-road+contact+stresses+in+pavement+design+and+analysis%22</t>
  </si>
  <si>
    <t>BIB-002</t>
  </si>
  <si>
    <t>debeer2013sim</t>
  </si>
  <si>
    <t>Stress-In-Motion (SIM) system for capturing tri-axial tyre–road interaction in the contact patch</t>
  </si>
  <si>
    <t>De Beer, M.; Fisher, C.</t>
  </si>
  <si>
    <t>Measurement</t>
  </si>
  <si>
    <t>46</t>
  </si>
  <si>
    <t>7</t>
  </si>
  <si>
    <t>2155-2173</t>
  </si>
  <si>
    <t>10.1016/j.measurement.2013.03.012</t>
  </si>
  <si>
    <t>https://doi.org/10.1016/j.measurement.2013.03.012</t>
  </si>
  <si>
    <t>Elsevier (ScienceDirect) : accès par l'abonnement de l'ENTPE.</t>
  </si>
  <si>
    <t>OpenAlex (DOI)</t>
  </si>
  <si>
    <t>Description complète du système SIM : conception des capteurs, étalonnage, capture des trois composantes de contrainte dans l'empreinte. Lien avec ta thèse : pour discuter la fiabilité des données que tu as utilisées et préparer une campagne de mesure dédiée (ta perspective n° 1).</t>
  </si>
  <si>
    <t>De Beer et al. (1997)</t>
  </si>
  <si>
    <t>https://scholar.google.com/scholar?q=%22Stress-In-Motion+%28SIM%29+system+for+capturing+tri-axial+tyre%E2%80%93road+interaction+in+the+contact+patch%22</t>
  </si>
  <si>
    <t>BIB-003</t>
  </si>
  <si>
    <t>tielking1989afesc</t>
  </si>
  <si>
    <t>Aircraft tire/pavement pressure distribution</t>
  </si>
  <si>
    <t>RPRT</t>
  </si>
  <si>
    <t>Tielking, J. T.</t>
  </si>
  <si>
    <t>Air Force Engineering &amp; Services Center, Tyndall AFB (Texas Transportation Institute, Texas A&amp;M University)</t>
  </si>
  <si>
    <t>ESL-TR-89-01 ; DTIC ADA279100 ; 53 p.</t>
  </si>
  <si>
    <t>Texte intégral libre</t>
  </si>
  <si>
    <t>https://apps.dtic.mil/sti/pdfs/ADA279100.pdf</t>
  </si>
  <si>
    <t>Libre</t>
  </si>
  <si>
    <t>PDF public sur DTIC (diffusion libre).</t>
  </si>
  <si>
    <t>Page de documentation du rapport (DTIC)</t>
  </si>
  <si>
    <t>Pressions de contact pneu-chaussée calculées pour sept pneus d'avion différents, dans un rapport pour l'US Air Force. Lien avec ta thèse : une des rares sources publiques sur la distribution sous pneu d'avion ; point de comparaison pour ta transposition du pneu de camion au pneu d'avion.</t>
  </si>
  <si>
    <t>Tielking (1989) ; Airbus S.A.S. (2010)</t>
  </si>
  <si>
    <t>https://scholar.google.com/scholar?q=%22Aircraft+tire%2Fpavement+pressure+distribution%22</t>
  </si>
  <si>
    <t>BIB-004</t>
  </si>
  <si>
    <t>sadoun2022topdown</t>
  </si>
  <si>
    <t>Top-down cracking in airfield pavement structures—An in-situ test survey</t>
  </si>
  <si>
    <t>CONF</t>
  </si>
  <si>
    <t>Sadoun, A.; Broutin, M.; Boulkhemair, I.; Duprey, A.; Mazars, A.; Huault, M.</t>
  </si>
  <si>
    <t>Proceedings of the RILEM International Symposium on Bituminous Materials (ISBM Lyon 2020)</t>
  </si>
  <si>
    <t>27</t>
  </si>
  <si>
    <t>1861-1867</t>
  </si>
  <si>
    <t>Springer</t>
  </si>
  <si>
    <t>10.1007/978-3-030-46455-4_236</t>
  </si>
  <si>
    <t>RILEM Bookseries, vol. 27</t>
  </si>
  <si>
    <t>https://doi.org/10.1007/978-3-030-46455-4_236</t>
  </si>
  <si>
    <t>SpringerLink : abonnement ENTPE ; sinon demander le texte à M. Broutin (co-auteur).</t>
  </si>
  <si>
    <t>OpenAlex (DOI) ; chapitre mis en ligne en 2021, volume daté 2022</t>
  </si>
  <si>
    <t>Fissuration descendante observée sur des chaussées aéronautiques françaises ; expérimentation sur la piste 14R-32L de Toulouse-Blagnac, chaussée rigide renforcée par une couche bitumineuse (aéroport, Cerema, Airbus, STAC) : ovalisation, inclinomètres, déplacements des dalles sous A319, essais HWD, modèle éléments finis 2D avec enrobés viscoélastiques. Lien avec ta thèse : c'est l'observation de terrain de ton TFE (Fig. 1-27) qui justifie un critère de surface ; la structure étant composite, la comparaison avec ta chaussée souple reste qualitative.</t>
  </si>
  <si>
    <t>Canestrari &amp; Ingrassia (2020) ; Wang &amp; Al-Qadi (2010) ; Cardoso da Silva et al. (2025)</t>
  </si>
  <si>
    <t>https://scholar.google.com/scholar?q=%22Top-down+cracking+in+airfield+pavement+structures%E2%80%94An+in-situ+test+survey%22</t>
  </si>
  <si>
    <t>BIB-005</t>
  </si>
  <si>
    <t>airbus2010htpt</t>
  </si>
  <si>
    <t>High Tire Pressure Test (HTPT) — Final report</t>
  </si>
  <si>
    <t>Airbus S.A.S.</t>
  </si>
  <si>
    <t>Airbus S.A.S., Airport Operations</t>
  </si>
  <si>
    <t>X32RP0926801, Issue 2.0</t>
  </si>
  <si>
    <t>https://www.aircraft.airbus.com/sites/g/files/jlcbta126/files/2023-02/Airbus-Commercial-Aircraft-HTPT-final-report-31-Aug-2010.pdf</t>
  </si>
  <si>
    <t>Rapport public sur le site d'Airbus.</t>
  </si>
  <si>
    <t>PDF Airbus (page de titre, §3.4.2, Fig. 26)</t>
  </si>
  <si>
    <t>Rapport final de l'essai HTPT mené par Airbus avec le STAC, le LCPC, le LRPC de Toulouse, Michelin et Vancouver2 : chaussées souples en vraie grandeur à 15 et 17,5 bars, avec une partie consacrée à la mécanique du pneu (cartes de pression calculées pour le 1400x530R23 à 32 % de déflexion, §3.4.2, p. 44-50). Lien avec ta thèse : source de la déflexion de 32 % et des cartes sur lesquelles tu lis un rapport Pmax/Pgonflage de 1,7 à 2,1 (valeur non écrite dans les pages lues). Document public ; ta Fig. 1-23 montre des pressions calculées, non mesurées.</t>
  </si>
  <si>
    <t>STAC (2011) ; Tielking (1989)</t>
  </si>
  <si>
    <t>https://scholar.google.com/scholar?q=%22High+Tire+Pressure+Test+%28HTPT%29+%E2%80%94+Final+report%22</t>
  </si>
  <si>
    <t>BIB-006</t>
  </si>
  <si>
    <t>petitjean2001pep</t>
  </si>
  <si>
    <t>LCPC / Airbus / STBA A380 Pavement Experimental Programme</t>
  </si>
  <si>
    <t>Petitjean, J.; Fabre, C.; Martin, J.; Bezavada, V.; Piau, J.-M.; Balay, J.; Albin, A.; Albin, C.</t>
  </si>
  <si>
    <t>Airbus Industrie / LCPC / STBA / Aéroports de Paris</t>
  </si>
  <si>
    <t>Rapport d'étude STBA, 173 p.</t>
  </si>
  <si>
    <t>https://www.stac.aviation-civile.gouv.fr/sites/default/files/rapportPEP.pdf</t>
  </si>
  <si>
    <t>PDF public sur le site du STAC (aussi diffusé par Airbus).</t>
  </si>
  <si>
    <t>Page STAC + page d'auteurs du PDF</t>
  </si>
  <si>
    <t>Programme expérimental A380 sur chaussées souples instrumentées à Toulouse sous simulateur de train d'atterrissage. Lien avec ta thèse : données de validation de ta simulation (déformations en base de couche bitumineuse) et source des modules des couches.</t>
  </si>
  <si>
    <t>Airbus S.A.S. (2010)</t>
  </si>
  <si>
    <t>https://scholar.google.com/scholar?q=%22LCPC+%2F+Airbus+%2F+STBA+A380+Pavement+Experimental+Programme%22</t>
  </si>
  <si>
    <t>BIB-007</t>
  </si>
  <si>
    <t>stac2011htpt</t>
  </si>
  <si>
    <t>High tire pressure test — Rapport d'étude (version 1)</t>
  </si>
  <si>
    <t>STAC</t>
  </si>
  <si>
    <t>DGAC, Service technique de l'Aviation civile</t>
  </si>
  <si>
    <t>Rapport d'étude STAC, 120 p.</t>
  </si>
  <si>
    <t>https://www.stac.aviation-civile.gouv.fr/en/publications/high-tire-pressure-test</t>
  </si>
  <si>
    <t>Lecture en ligne gratuite depuis la page du STAC (liseuse Calaméo).</t>
  </si>
  <si>
    <t>Page de publication du STAC</t>
  </si>
  <si>
    <t>Version STAC de la campagne HTPT à Toulouse-Blagnac : sept sections souples, pressions de 15 et 17,5 bars, charges de 28,7 et 33,2 t par roue, mesures de déformations et d'orniérage. Lien avec ta thèse : complément public du rapport Airbus, côté partenaire ; une version 2 était annoncée.</t>
  </si>
  <si>
    <t>https://scholar.google.com/scholar?q=%22High+tire+pressure+test+%E2%80%94+Rapport+d%27%C3%A9tude+%28version+1%29%22</t>
  </si>
  <si>
    <t>BIB-008</t>
  </si>
  <si>
    <t>debeer2000cr99012</t>
  </si>
  <si>
    <t>Contact stresses of the 11.00-R22.5 pneumatic radial tyres on the Gautrans Heavy Vehicle Simulator (HVS) measured with the Vehicle-Road Pressure Transducer Array (VRSPTA) system</t>
  </si>
  <si>
    <t>Important</t>
  </si>
  <si>
    <t>CSIR Transportek</t>
  </si>
  <si>
    <t>Confidential Contract Report CR-99/012</t>
  </si>
  <si>
    <t>Recherche Google Scholar</t>
  </si>
  <si>
    <t>https://scholar.google.com/scholar?q=%22Contact+stresses+of+the+11.00-R22.5+pneumatic+radial+tyres+on+the+Gautrans+Heavy+Vehicle+Simulator+%28HVS%29+measured+with+the+Vehicle-Road+Pressure+Transducer+Array+%28VRSPTA%29+system%22</t>
  </si>
  <si>
    <t>Restreint</t>
  </si>
  <si>
    <t>Rapport confidentiel du CSIR : retrouver la copie utilisée pour le TFE (LTDS), sinon demander au STAC.</t>
  </si>
  <si>
    <t>Non vérifié</t>
  </si>
  <si>
    <t>Citation du rapport par ses auteurs (De Beer, Fisher &amp; Kannemeyer 2004, CSIR ResearchSpace)</t>
  </si>
  <si>
    <t>Matrice charge × pression de gonflage mesurée au VRSPTA sur le simulateur HVS de Gautrans pour des pneus radiaux de camion. Lien avec ta thèse : source directe de ton empreinte hétérogène (Fig. 1-22, 3-6 et annexe II). NON VÉRIFIÉ : rapport à diffusion restreinte, jamais consulté sur source primaire ; titre, numéro et date (mars 2000) relevés dans une citation des auteurs. La désignation du pneu (11.00-R22.5) diffère de celle de ton texte (11R22.5).</t>
  </si>
  <si>
    <t>De Beer et al. (2004) ; De Beer et al. (2002)</t>
  </si>
  <si>
    <t>BIB-009</t>
  </si>
  <si>
    <t>debeer2004hvtt</t>
  </si>
  <si>
    <t>Towards the application of Stress-In-Motion (SIM) results in pavement design and infrastructure protection</t>
  </si>
  <si>
    <t>De Beer, M.; Fisher, C.; Kannemeyer, L.</t>
  </si>
  <si>
    <t>8th International Symposium on Heavy Vehicle Weights and Dimensions, Johannesburg, 14-18 March 2004</t>
  </si>
  <si>
    <t>CSIR ResearchSpace</t>
  </si>
  <si>
    <t>Texte intégral (dépôt)</t>
  </si>
  <si>
    <t>https://researchspace.csir.co.za/server/api/core/bitstreams/78155ecc-6d57-4492-a4dc-e32e2d93602a/content</t>
  </si>
  <si>
    <t>PDF en libre accès sur le dépôt institutionnel du CSIR.</t>
  </si>
  <si>
    <t>PDF du dépôt CSIR (page de titre et références)</t>
  </si>
  <si>
    <t>Synthèse des résultats SIM et de leur usage en dimensionnement : formes de distribution selon la charge et le gonflage, contrainte de contact normalisée par la pression de gonflage. Lien avec ta thèse : meilleure entrée gratuite sur le passage du profil en n au profil en M, et sa liste de références cite précisément le rapport CR-99/012.</t>
  </si>
  <si>
    <t>De Beer &amp; Fisher (2000) ; De Beer et al. (2012)</t>
  </si>
  <si>
    <t>https://scholar.google.com/scholar?q=%22Towards+the+application+of+Stress-In-Motion+%28SIM%29+results+in+pavement+design+and+infrastructure+protection%22</t>
  </si>
  <si>
    <t>BIB-010</t>
  </si>
  <si>
    <t>gong2024review</t>
  </si>
  <si>
    <t>Review of research on tire–pavement contact behavior</t>
  </si>
  <si>
    <t>Gong, Z.; Miao, Y.; Lantieri, C.</t>
  </si>
  <si>
    <t>Coatings</t>
  </si>
  <si>
    <t>14</t>
  </si>
  <si>
    <t>2</t>
  </si>
  <si>
    <t>157</t>
  </si>
  <si>
    <t>10.3390/coatings14020157</t>
  </si>
  <si>
    <t>https://www.mdpi.com/2079-6412/14/2/157/pdf?version=1706522583</t>
  </si>
  <si>
    <t>Article en libre accès (MDPI, CC BY).</t>
  </si>
  <si>
    <t>Page MDPI</t>
  </si>
  <si>
    <t>Revue des travaux sur le contact pneu-chaussée : géométrie de l'empreinte, méthodes de mesure, modèles. Lien avec ta thèse : base de ton §1.3.5, et bonne carte du domaine pour la thèse.</t>
  </si>
  <si>
    <t>https://scholar.google.com/scholar?q=%22Review+of+research+on+tire%E2%80%93pavement+contact+behavior%22</t>
  </si>
  <si>
    <t>BIB-011</t>
  </si>
  <si>
    <t>hansen1989truck</t>
  </si>
  <si>
    <t>Truck tire pavement contact pressure distribution characteristics for super single 18-22.5 and smooth 11R24.5 tires</t>
  </si>
  <si>
    <t>Hansen, R. W.; Bertrand, C.; Marshek, K. M.; Hudson, W. R.</t>
  </si>
  <si>
    <t>Center for Transportation Research, The University of Texas at Austin</t>
  </si>
  <si>
    <t>Research Report 1190-1 (FHWA/TX-90+1190-1), 88 p.</t>
  </si>
  <si>
    <t>https://library.ctr.utexas.edu/digitized/texasarchive/phase2/1190-1.pdf</t>
  </si>
  <si>
    <t>PDF numérisé en libre accès par la bibliothèque du CTR.</t>
  </si>
  <si>
    <t>Notice TRID 310697 + lien CTR</t>
  </si>
  <si>
    <t>Mesures de distribution de pression de contact sous pneus de camion (super single et pneu lisse), en fonction de la charge et du gonflage. Lien avec ta thèse : jeu de données historique cité avec De Beer (1997) pour établir l'hétérogénéité ; ajouter W. R. Hudson et le numéro de rapport.</t>
  </si>
  <si>
    <t>Tielking &amp; Roberts (1987)</t>
  </si>
  <si>
    <t>https://scholar.google.com/scholar?q=%22Truck+tire+pavement+contact+pressure+distribution+characteristics+for+super+single+18-22.5+and+smooth+11R24.5+tires%22</t>
  </si>
  <si>
    <t>BIB-012</t>
  </si>
  <si>
    <t>tielking1987roberts</t>
  </si>
  <si>
    <t>Tire contact pressure and its effect on pavement strain</t>
  </si>
  <si>
    <t>Tielking, J. T.; Roberts, F. L.</t>
  </si>
  <si>
    <t>Journal of Transportation Engineering</t>
  </si>
  <si>
    <t>113</t>
  </si>
  <si>
    <t>1</t>
  </si>
  <si>
    <t>56-71</t>
  </si>
  <si>
    <t>10.1061/(ASCE)0733-947X(1987)113:1(56)</t>
  </si>
  <si>
    <t>https://doi.org/10.1061/(ASCE)0733-947X(1987)113:1(56)</t>
  </si>
  <si>
    <t>ASCE Library : accès par l'abonnement de l'ENTPE.</t>
  </si>
  <si>
    <t>Modèle éléments finis de pneu calculant la pression de contact, puis son effet sur les déformations de la chaussée. Lien avec ta thèse : référence classique du lien entre forme de la pression de contact et déformations près de la surface ; elle fonde les « paramètres de profil » de Tielking.</t>
  </si>
  <si>
    <t>Tielking (1989)</t>
  </si>
  <si>
    <t>https://scholar.google.com/scholar?q=%22Tire+contact+pressure+and+its+effect+on+pavement+strain%22</t>
  </si>
  <si>
    <t>BIB-013</t>
  </si>
  <si>
    <t>guan2023triaxial</t>
  </si>
  <si>
    <t>Measurement of tire-pavement contact tri-axial stress distribution based on sensor array</t>
  </si>
  <si>
    <t>A consulter</t>
  </si>
  <si>
    <t>Guan, J.; Zhou, X.; Liu, L.; Ran, M.</t>
  </si>
  <si>
    <t>13</t>
  </si>
  <si>
    <t>416</t>
  </si>
  <si>
    <t>10.3390/coatings13020416</t>
  </si>
  <si>
    <t>https://www.mdpi.com/2079-6412/13/2/416/pdf?version=1676191118</t>
  </si>
  <si>
    <t>Article en libre accès (MDPI).</t>
  </si>
  <si>
    <t>Mesure des contraintes de contact dans les trois directions par un réseau de capteurs. Lien avec ta thèse : dispositif récent de la famille SIM, utile pour concevoir des mesures dédiées (perspective n° 1).</t>
  </si>
  <si>
    <t>De Beer &amp; Fisher (2013)</t>
  </si>
  <si>
    <t>https://scholar.google.com/scholar?q=%22Measurement+of+tire-pavement+contact+tri-axial+stress+distribution+based+on+sensor+array%22</t>
  </si>
  <si>
    <t>BIB-014</t>
  </si>
  <si>
    <t>luo2025simplified</t>
  </si>
  <si>
    <t>Tire-pavement contact behavior: A simplified model for predictive surface contact analysis</t>
  </si>
  <si>
    <t>Luo, Y.; Xu, Y.; Sun, Z.; Wang, L.; Li, Y.; Wang, H.</t>
  </si>
  <si>
    <t>Construction and Building Materials</t>
  </si>
  <si>
    <t>491</t>
  </si>
  <si>
    <t>142649</t>
  </si>
  <si>
    <t>10.1016/j.conbuildmat.2025.142649</t>
  </si>
  <si>
    <t>https://doi.org/10.1016/j.conbuildmat.2025.142649</t>
  </si>
  <si>
    <t>Elsevier : abonnement ENTPE.</t>
  </si>
  <si>
    <t>Modèle simplifié du contact pneu-chaussée à l'échelle de la texture (théorie de Persson et élasticité), calé sur des films sensibles à la pression et un relevé laser de texture, pour l'adhérence ; profondeur de contact selon l'enrobé et la température. Lien avec ta thèse : cité dans le TFE pour les films sensibles ; il traite la micro-échelle de la texture, pas l'empreinte à l'échelle du pneu.</t>
  </si>
  <si>
    <t>https://scholar.google.com/scholar?q=%22Tire-pavement+contact+behavior%3A+A+simplified+model+for+predictive+surface+contact+analysis%22</t>
  </si>
  <si>
    <t>BIB-015</t>
  </si>
  <si>
    <t>song2025normalstress</t>
  </si>
  <si>
    <t>High-precision normal stress measurement methods for tire–road contact and its spatial and frequency domain distribution characteristics</t>
  </si>
  <si>
    <t>Song, L.; Wu, X.; Xie, Z.; Gao, J.; Yun, D.; Lei, Z.</t>
  </si>
  <si>
    <t>Lubricants</t>
  </si>
  <si>
    <t>309</t>
  </si>
  <si>
    <t>10.3390/lubricants13070309</t>
  </si>
  <si>
    <t>https://doi.org/10.3390/lubricants13070309</t>
  </si>
  <si>
    <t>Mesure de la contrainte normale pneu-route à l'échelle de la texture par scan 3D et courbe de portance, analysée dans l'espace et en fréquence spatiale. Lien avec ta thèse : cité dans le TFE avec les films sensibles superposés, alors que le résumé décrit une autre méthode (à vérifier) ; l'analyse fréquentielle porte sur la texture, pas sur l'empreinte.</t>
  </si>
  <si>
    <t>https://scholar.google.com/scholar?q=%22High-precision+normal+stress+measurement+methods+for+tire%E2%80%93road+contact+and+its+spatial+and+frequency+domain+distribution+characteristics%22</t>
  </si>
  <si>
    <t>BIB-016</t>
  </si>
  <si>
    <t>tielking1989sae</t>
  </si>
  <si>
    <t>Aircraft tire/pavement pressure distributions</t>
  </si>
  <si>
    <t>SAE Aerospace Technology Conference and Exposition, Anaheim, 25 September 1989</t>
  </si>
  <si>
    <t>SAE International</t>
  </si>
  <si>
    <t>10.4271/892351</t>
  </si>
  <si>
    <t>SAE Technical Paper 892351</t>
  </si>
  <si>
    <t>https://doi.org/10.4271/892351</t>
  </si>
  <si>
    <t>Payant chez SAE ; le rapport AFESC ESL-TR-89-01 (même travail, plus détaillé) est en accès libre.</t>
  </si>
  <si>
    <t>SAE Mobilus</t>
  </si>
  <si>
    <t>Version conférence du travail de Tielking sur la pression de contact des pneus d'avion chargés statiquement. Lien avec ta thèse : à citer si tu veux une version publiée ; lis plutôt le rapport AFESC.</t>
  </si>
  <si>
    <t>https://scholar.google.com/scholar?q=%22Aircraft+tire%2Fpavement+pressure+distributions%22</t>
  </si>
  <si>
    <t>BIB-017</t>
  </si>
  <si>
    <t>wang2021alt</t>
  </si>
  <si>
    <t>Characterization of dynamic response of asphalt pavement in dry and saturated conditions using the full-scale accelerated loading test</t>
  </si>
  <si>
    <t>Wang, W.; Zhao, K.; Li, J.; Luo, R.; Wang, L.</t>
  </si>
  <si>
    <t>312</t>
  </si>
  <si>
    <t>125355</t>
  </si>
  <si>
    <t>10.1016/j.conbuildmat.2021.125355</t>
  </si>
  <si>
    <t>https://doi.org/10.1016/j.conbuildmat.2021.125355</t>
  </si>
  <si>
    <t>Réponse dynamique d'une chaussée bitumineuse en conditions sèche et saturée sous chargement accéléré en vraie grandeur. Lien avec ta thèse : cité dans le TFE pour la mesure d'aire de contact (Fig. 1-25) ; pertinence faible au-delà de cette figure.</t>
  </si>
  <si>
    <t>https://scholar.google.com/scholar?q=%22Characterization+of+dynamic+response+of+asphalt+pavement+in+dry+and+saturated+conditions+using+the+full-scale+accelerated+loading+test%22</t>
  </si>
  <si>
    <t>BIB-018</t>
  </si>
  <si>
    <t>wesolowski2020aircraft</t>
  </si>
  <si>
    <t>Analysis of the actual contact surface of selected aircraft tires with the airport pavement as a function of pressure and vertical load</t>
  </si>
  <si>
    <t>Wesołowski, M.; Blacha, K.; Pietruszewski, P.; Iwanowski, P.</t>
  </si>
  <si>
    <t>10</t>
  </si>
  <si>
    <t>6</t>
  </si>
  <si>
    <t>591</t>
  </si>
  <si>
    <t>10.3390/coatings10060591</t>
  </si>
  <si>
    <t>https://www.mdpi.com/2079-6412/10/6/591/pdf</t>
  </si>
  <si>
    <t>Mesure de la surface de contact réelle de pneus d'avion sur chaussée aéroportuaire en fonction de la pression de gonflage et de la charge verticale. Lien avec ta thèse : l'une des rares données expérimentales publiées sur pneus d'avion ; noter à la lecture les appareils et les pneus testés pour juger de la transposition aux gros porteurs.</t>
  </si>
  <si>
    <t>https://scholar.google.com/scholar?q=%22Analysis+of+the+actual+contact+surface+of+selected+aircraft+tires+with+the+airport+pavement+as+a+function+of+pressure+and+vertical+load%22</t>
  </si>
  <si>
    <t>BIB-019</t>
  </si>
  <si>
    <t>dibenedetto2004lve</t>
  </si>
  <si>
    <t>Linear viscoelastic behaviour of bituminous materials: From binders to mixes</t>
  </si>
  <si>
    <t>Di Benedetto, H.; Olard, F.; Sauzéat, C.; Delaporte, B.</t>
  </si>
  <si>
    <t>Road Materials and Pavement Design</t>
  </si>
  <si>
    <t>5</t>
  </si>
  <si>
    <t>sup1</t>
  </si>
  <si>
    <t>163-202</t>
  </si>
  <si>
    <t>10.1080/14680629.2004.9689992</t>
  </si>
  <si>
    <t>https://doi.org/10.1080/14680629.2004.9689992</t>
  </si>
  <si>
    <t>Taylor &amp; Francis : abonnement ENTPE.</t>
  </si>
  <si>
    <t>Crossref</t>
  </si>
  <si>
    <t>Synthèse sur le comportement viscoélastique linéaire des matériaux bitumineux, des liants aux enrobés, avec le 2S2P1D. Lien avec ta thèse : cadre théorique de ton §1.2.</t>
  </si>
  <si>
    <t>Olard &amp; Di Benedetto (2003)</t>
  </si>
  <si>
    <t>https://scholar.google.com/scholar?q=%22Linear+viscoelastic+behaviour+of+bituminous+materials%3A+From+binders+to+mixes%22</t>
  </si>
  <si>
    <t>BIB-020</t>
  </si>
  <si>
    <t>olard20032s2p1d</t>
  </si>
  <si>
    <t>General "2S2P1D" model and relation between the linear viscoelastic behaviours of bituminous binders and mixes</t>
  </si>
  <si>
    <t>Olard, F.; Di Benedetto, H.</t>
  </si>
  <si>
    <t>185-224</t>
  </si>
  <si>
    <t>10.1080/14680629.2003.9689946</t>
  </si>
  <si>
    <t>https://doi.org/10.1080/14680629.2003.9689946</t>
  </si>
  <si>
    <t>Taylor &amp; Francis : abonnement ENTPE. Un second DOI Lavoisier (10.3166/…) peut exister pour les anciens numéros de la revue : garder celui de Taylor &amp; Francis.</t>
  </si>
  <si>
    <t>Propose le modèle 2S2P1D (Huet-Sayegh complété par un amortisseur linéaire) et les relations entre comportements du liant et de l'enrobé. Lien avec ta thèse : c'est ton modèle de calage (chapitre 2).</t>
  </si>
  <si>
    <t>Olard (2003) ; Tiouajni et al. (2011)</t>
  </si>
  <si>
    <t>https://scholar.google.com/scholar?q=%22General+%222S2P1D%22+model+and+relation+between+the+linear+viscoelastic+behaviours+of+bituminous+binders+and+mixes%22</t>
  </si>
  <si>
    <t>BIB-021</t>
  </si>
  <si>
    <t>tiouajni2011approximation</t>
  </si>
  <si>
    <t>Approximation of linear viscoelastic model in the 3 dimensional case with mechanical analogues of finite size: Application to bituminous materials</t>
  </si>
  <si>
    <t>Tiouajni, S.; Di Benedetto, H.; Sauzéat, C.; Pouget, S.</t>
  </si>
  <si>
    <t>12</t>
  </si>
  <si>
    <t>897-930</t>
  </si>
  <si>
    <t>10.1080/14680629.2011.9713899</t>
  </si>
  <si>
    <t>https://doi.org/10.1080/14680629.2011.9713899</t>
  </si>
  <si>
    <t>Méthode d'approximation d'un modèle à spectre continu (2S2P1D) par des analogues mécaniques de taille finie, en 3D. Lien avec ta thèse : méthode que tu as appliquée pour obtenir ton Kelvin-Voigt généralisé à 9 branches.</t>
  </si>
  <si>
    <t>Olard &amp; Di Benedetto (2003) ; Park &amp; Schapery (1999)</t>
  </si>
  <si>
    <t>https://scholar.google.com/scholar?q=%22Approximation+of+linear+viscoelastic+model+in+the+3+dimensional+case+with+mechanical+analogues+of+finite+size%3A+Application+to+bituminous+materials%22</t>
  </si>
  <si>
    <t>BIB-022</t>
  </si>
  <si>
    <t>debeer1997interface</t>
  </si>
  <si>
    <t>Determination of pneumatic tyre/pavement interface contact stresses under moving loads and some effects on pavements with thin asphalt surfacing layers</t>
  </si>
  <si>
    <t>De Beer, M.; Fisher, C.; Jooste, F. J.</t>
  </si>
  <si>
    <t>Proceedings of the 8th International Conference on Asphalt Pavements (ICAP '97), Seattle, 10-14 August 1997</t>
  </si>
  <si>
    <t>179-227</t>
  </si>
  <si>
    <t>University of Washington / ISAP</t>
  </si>
  <si>
    <t>Actes ICAP 1997, vol. 1</t>
  </si>
  <si>
    <t>https://scholar.google.com/scholar?q=%22Determination+of+pneumatic+tyre%2Fpavement+interface+contact+stresses+under+moving+loads+and+some+effects+on+pavements+with+thin+asphalt+surfacing+layers%22</t>
  </si>
  <si>
    <t>Actes ICAP 1997 non diffusés en ligne : prêt entre bibliothèques (PEB) par la documentation de l'ENTPE.</t>
  </si>
  <si>
    <t>Partiel</t>
  </si>
  <si>
    <t>Citations des auteurs (De Beer, Fisher &amp; Kannemeyer 2004 ; De Beer &amp; Fisher 2013)</t>
  </si>
  <si>
    <t>Article fondateur du dispositif VRSPTA : mesure des trois composantes de contrainte à l'interface pneu-chaussée sous charge roulante lente, et premiers effets sur des chaussées à revêtement mince. Lien avec ta thèse : origine des cartographies en n et en M que tu as transposées ; à lire pour le principe de mesure et ses limites (vitesse, plots). NON VÉRIFIÉ (partiel) : lieu, date, volume et pages relevés dans les citations des auteurs eux-mêmes ; les actes ICAP 1997 n'ont pas été consultés (pagination 179-227 à constater).</t>
  </si>
  <si>
    <t>De Beer &amp; Fisher (2013) ; De Beer et al. (2002)</t>
  </si>
  <si>
    <t>BIB-023</t>
  </si>
  <si>
    <t>debeer2002nonuniform</t>
  </si>
  <si>
    <t>Evaluation of non-uniform tyre contact stresses on thin asphalt pavements</t>
  </si>
  <si>
    <t>Proceedings of the 9th International Conference on Asphalt Pavements (ICAP 2002), Copenhagen, 17-22 August 2002</t>
  </si>
  <si>
    <t>International Society for Asphalt Pavements</t>
  </si>
  <si>
    <t>TRID 00936330 ; actes sur CD, 30 p.</t>
  </si>
  <si>
    <t>Notice (document à demander)</t>
  </si>
  <si>
    <t>https://trid.trb.org/view.aspx?id=732149</t>
  </si>
  <si>
    <t>Texte complet dans les actes sur CD : PEB. Une fiche ResearchGate existe (publication 255670814). Le serveur « SIM web » du CSIR (asphalt.csir.co.za), qui diffusait un PDF de la présentation, était injoignable le 22/09/2026.</t>
  </si>
  <si>
    <t>Notice TRID (ISAP) + citation des auteurs</t>
  </si>
  <si>
    <t>Montre, à partir de contraintes de contact mesurées, l'importance des données d'entrée de charge pour le dimensionnement des chaussées à revêtement mince. Lien avec ta thèse : référence citée au §3.1 pour l'empreinte hétérogène ; ajouter F. J. Jooste comme troisième auteur.</t>
  </si>
  <si>
    <t>De Beer &amp; Fisher (2000) ; De Beer et al. (1997)</t>
  </si>
  <si>
    <t>https://scholar.google.com/scholar?q=%22Evaluation+of+non-uniform+tyre+contact+stresses+on+thin+asphalt+pavements%22</t>
  </si>
  <si>
    <t>BIB-024</t>
  </si>
  <si>
    <t>daugherty2003radial</t>
  </si>
  <si>
    <t>A study of the mechanical properties of modern radial aircraft tires</t>
  </si>
  <si>
    <t>Daugherty, R. H.</t>
  </si>
  <si>
    <t>NASA Langley Research Center</t>
  </si>
  <si>
    <t>NASA/TM-2003-212415 ; 74 p.</t>
  </si>
  <si>
    <t>https://www.cs.odu.edu/~mln/ltrs-pdfs/NASA-2003-tm212415.pdf</t>
  </si>
  <si>
    <t>PDF public (archive des rapports techniques de NASA Langley).</t>
  </si>
  <si>
    <t>PDF du rapport (page de documentation)</t>
  </si>
  <si>
    <t>Campagne expérimentale NASA sur les propriétés mécaniques de pneus d'avion radiaux modernes de la flotte commerciale, selon la charge et le gonflage. Lien avec ta thèse : données de référence sur les pneus radiaux d'avions de ligne, pour documenter la déflexion et l'empreinte.</t>
  </si>
  <si>
    <t>https://scholar.google.com/scholar?q=%22A+study+of+the+mechanical+properties+of+modern+radial+aircraft+tires%22</t>
  </si>
  <si>
    <t>BIB-025</t>
  </si>
  <si>
    <t>he2021maneuvering</t>
  </si>
  <si>
    <t>Analysis of the tire-pavement contact stress characteristics during vehicle maneuvering</t>
  </si>
  <si>
    <t>He, H.; Li, R.; Yang, Q.; Pei, J.; Guo, F.</t>
  </si>
  <si>
    <t>KSCE Journal of Civil Engineering</t>
  </si>
  <si>
    <t>25</t>
  </si>
  <si>
    <t>2451-2463</t>
  </si>
  <si>
    <t>10.1007/s12205-021-1306-0</t>
  </si>
  <si>
    <t>https://doi.org/10.1007/s12205-021-1306-0</t>
  </si>
  <si>
    <t>Libre accès (licence CC BY-NC-ND) chez Springer.</t>
  </si>
  <si>
    <t>Modèle éléments finis 3D (ABAQUS) d'un pneu radial de tourisme 205/55 R16 sculpté : contraintes de contact à l'arrêt, en roulement libre, en accélération et en freinage. Lien avec ta thèse : efforts tangentiels et dissymétries, ta perspective n° 2 ; attention, pneu de tourisme et pas de virage dans le résumé.</t>
  </si>
  <si>
    <t>https://scholar.google.com/scholar?q=%22Analysis+of+the+tire-pavement+contact+stress+characteristics+during+vehicle+maneuvering%22</t>
  </si>
  <si>
    <t>BIB-026</t>
  </si>
  <si>
    <t>kongokonde2013aircraft</t>
  </si>
  <si>
    <t>On the modeling of aircraft tire</t>
  </si>
  <si>
    <t>Kongo Kondé, A.; Rosu, I.; Lebon, F.; Brardo, O.; Devésa, B.</t>
  </si>
  <si>
    <t>Aerospace Science and Technology</t>
  </si>
  <si>
    <t>67-75</t>
  </si>
  <si>
    <t>10.1016/j.ast.2012.06.008</t>
  </si>
  <si>
    <t>https://doi.org/10.1016/j.ast.2012.06.008</t>
  </si>
  <si>
    <t>Elsevier : abonnement ENTPE ; notice HAL hal-00833556 (texte intégral à vérifier).</t>
  </si>
  <si>
    <t>Modélisation éléments finis d'un pneu d'avion (grandes déformations, renforts composites) confrontée à des essais. Lien avec ta thèse : référence directe pour les spécificités aéronautiques de l'axe 2 (gonflage élevé, forte déflexion).</t>
  </si>
  <si>
    <t>Kongo Kondé (2011) ; Rosu et al. (2018)</t>
  </si>
  <si>
    <t>https://scholar.google.com/scholar?q=%22On+the+modeling+of+aircraft+tire%22</t>
  </si>
  <si>
    <t>BIB-027</t>
  </si>
  <si>
    <t>wang2012tyre</t>
  </si>
  <si>
    <t>Simulation of tyre–pavement interaction for predicting contact stresses at static and various rolling conditions</t>
  </si>
  <si>
    <t>Wang, H.; Al-Qadi, I. L.; Stanciulescu, I.</t>
  </si>
  <si>
    <t>International Journal of Pavement Engineering</t>
  </si>
  <si>
    <t>310-321</t>
  </si>
  <si>
    <t>10.1080/10298436.2011.565767</t>
  </si>
  <si>
    <t>https://doi.org/10.1080/10298436.2011.565767</t>
  </si>
  <si>
    <t>Modèle éléments finis pneu-chaussée prédisant les contraintes de contact en statique et en roulement (libre, freinage, accélération, virage). Lien avec ta thèse : référence méthodologique pour construire un modèle de pneu couplé à la chaussée.</t>
  </si>
  <si>
    <t>Wang &amp; Al-Qadi (2009)</t>
  </si>
  <si>
    <t>https://scholar.google.com/scholar?q=%22Simulation+of+tyre%E2%80%93pavement+interaction+for+predicting+contact+stresses+at+static+and+various+rolling+conditions%22</t>
  </si>
  <si>
    <t>BIB-028</t>
  </si>
  <si>
    <t>xie2019tyretypes</t>
  </si>
  <si>
    <t>Tyre–pavement contact stress distribution considering tyre types</t>
  </si>
  <si>
    <t>Xie, Y.; Yang, Q.</t>
  </si>
  <si>
    <t>20</t>
  </si>
  <si>
    <t>8</t>
  </si>
  <si>
    <t>1899-1911</t>
  </si>
  <si>
    <t>10.1080/14680629.2018.1473285</t>
  </si>
  <si>
    <t>https://doi.org/10.1080/14680629.2018.1473285</t>
  </si>
  <si>
    <t>Modélisation par éléments finis de pneus de camion diagonal et radial : distribution de la contrainte verticale selon la charge, avec passage du profil en n au profil en M pour le pneu diagonal. Lien avec ta thèse : base de ton §1.3.3 (caoutchouc élastique linéaire, charges limitées à 37,5 kN). Année : volume 20 (2019), mise en ligne en 2018.</t>
  </si>
  <si>
    <t>https://scholar.google.com/scholar?q=%22Tyre%E2%80%93pavement+contact+stress+distribution+considering+tyre+types%22</t>
  </si>
  <si>
    <t>BIB-029</t>
  </si>
  <si>
    <t>huet1963impedance</t>
  </si>
  <si>
    <t>Étude par une méthode d'impédance du comportement viscoélastique des matériaux hydrocarbonés</t>
  </si>
  <si>
    <t>THES</t>
  </si>
  <si>
    <t>Huet, C.</t>
  </si>
  <si>
    <t>Faculté des sciences de l'Université de Paris</t>
  </si>
  <si>
    <t>Thèse de docteur-ingénieur</t>
  </si>
  <si>
    <t>https://scholar.google.com/scholar?q=%22%C3%89tude+par+une+m%C3%A9thode+d%27imp%C3%A9dance+du+comportement+visco%C3%A9lastique+des+mat%C3%A9riaux+hydrocarbon%C3%A9s%22</t>
  </si>
  <si>
    <t>Aucune version numérique connue : PEB ou bibliothèque de l'Université Gustave Eiffel.</t>
  </si>
  <si>
    <t>Citations secondaires concordantes (aucune notice de catalogue consultable en ligne)</t>
  </si>
  <si>
    <t>Thèse fondatrice : modèle à deux éléments paraboliques en série avec un ressort, identifié par une méthode d'impédance. Lien avec ta thèse : origine du modèle de Huet de ton chapitre 1. NON VÉRIFIÉ (partiel) : titre, grade, faculté et année relevés dans plusieurs citations concordantes ; aucune notice de catalogue ni exemplaire consultés.</t>
  </si>
  <si>
    <t>Sayegh (1965) ; Olard &amp; Di Benedetto (2003)</t>
  </si>
  <si>
    <t>BIB-030</t>
  </si>
  <si>
    <t>park1999prony</t>
  </si>
  <si>
    <t>Methods of interconversion between linear viscoelastic material functions. Part I—A numerical method based on Prony series</t>
  </si>
  <si>
    <t>Park, S. W.; Schapery, R. A.</t>
  </si>
  <si>
    <t>International Journal of Solids and Structures</t>
  </si>
  <si>
    <t>36</t>
  </si>
  <si>
    <t>11</t>
  </si>
  <si>
    <t>1653-1675</t>
  </si>
  <si>
    <t>10.1016/S0020-7683(98)00055-9</t>
  </si>
  <si>
    <t>https://doi.org/10.1016/S0020-7683(98)00055-9</t>
  </si>
  <si>
    <t>Méthode numérique d'interconversion entre fonctions viscoélastiques (fluage, relaxation, module complexe) à l'aide de séries de Prony. Lien avec ta thèse : outil pour passer du 2S2P1D aux paramètres de Prony attendus par COMSOL pour G(t) et K(t).</t>
  </si>
  <si>
    <t>Tiouajni et al. (2011) ; Tschoegl (1989)</t>
  </si>
  <si>
    <t>https://scholar.google.com/scholar?q=%22Methods+of+interconversion+between+linear+viscoelastic+material+functions.+Part+I%E2%80%94A+numerical+method+based+on+Prony+series%22</t>
  </si>
  <si>
    <t>BIB-031</t>
  </si>
  <si>
    <t>sayegh1965viscoelastiques</t>
  </si>
  <si>
    <t>Contribution à l'étude des propriétés viscoélastiques des bitumes purs et des bétons bitumineux</t>
  </si>
  <si>
    <t>Sayegh, G.</t>
  </si>
  <si>
    <t>Faculté des sciences de Paris</t>
  </si>
  <si>
    <t>https://scholar.google.com/scholar?q=%22Contribution+%C3%A0+l%27%C3%A9tude+des+propri%C3%A9t%C3%A9s+visco%C3%A9lastiques+des+bitumes+purs+et+des+b%C3%A9tons+bitumineux%22</t>
  </si>
  <si>
    <t>Thèse qui ajoute au modèle de Huet un ressort de module statique : c'est le modèle de Huet-Sayegh. Lien avec ta thèse : étape entre Huet et le 2S2P1D. NON VÉRIFIÉ (partiel) : titre, grade, faculté et année relevés dans des citations concordantes ; aucune notice de catalogue ni exemplaire consultés.</t>
  </si>
  <si>
    <t>Huet (1963) ; Olard &amp; Di Benedetto (2003)</t>
  </si>
  <si>
    <t>BIB-032</t>
  </si>
  <si>
    <t>behroozi2012aircraft</t>
  </si>
  <si>
    <t>Finite element analysis of aircraft tyre – Effect of model complexity on tyre performance characteristics</t>
  </si>
  <si>
    <t>Behroozi, M.; Olatunbosun, O. A.; Ding, W.</t>
  </si>
  <si>
    <t>Materials &amp; Design</t>
  </si>
  <si>
    <t>35</t>
  </si>
  <si>
    <t>810-819</t>
  </si>
  <si>
    <t>10.1016/j.matdes.2011.05.055</t>
  </si>
  <si>
    <t>https://doi.org/10.1016/j.matdes.2011.05.055</t>
  </si>
  <si>
    <t>Effet du niveau de détail d'un modèle éléments finis de pneu d'avion sur ses caractéristiques calculées. Lien avec ta thèse : aide à choisir la complexité d'un futur modèle de pneu d'avion.</t>
  </si>
  <si>
    <t>https://scholar.google.com/scholar?q=%22Finite+element+analysis+of+aircraft+tyre+%E2%80%93+Effect+of+model+complexity+on+tyre+performance+characteristics%22</t>
  </si>
  <si>
    <t>BIB-033</t>
  </si>
  <si>
    <t>elfahham2023tire</t>
  </si>
  <si>
    <t>Analysis of vehicle tire strength test</t>
  </si>
  <si>
    <t>El Fahham, I. M.; Crosby, W. A.; Gaied, A. I.</t>
  </si>
  <si>
    <t>Journal of Terramechanics</t>
  </si>
  <si>
    <t>105</t>
  </si>
  <si>
    <t>1-9</t>
  </si>
  <si>
    <t>10.1016/j.jterra.2022.10.001</t>
  </si>
  <si>
    <t>https://doi.org/10.1016/j.jterra.2022.10.001</t>
  </si>
  <si>
    <t>Analyse d'essais de résistance de pneus de véhicules. Lien avec ta thèse : cité uniquement pour la figure comparant carcasses radiale et diagonale ; pertinence secondaire.</t>
  </si>
  <si>
    <t>https://scholar.google.com/scholar?q=%22Analysis+of+vehicle+tire+strength+test%22</t>
  </si>
  <si>
    <t>BIB-034</t>
  </si>
  <si>
    <t>ford1988truck</t>
  </si>
  <si>
    <t>Heavy duty truck tire engineering</t>
  </si>
  <si>
    <t>Ford, T. L.; Charles, F. S.</t>
  </si>
  <si>
    <t>SAE Technical Paper Series (The Thirty-Fourth L. Ray Buckendale Lecture), SP-729</t>
  </si>
  <si>
    <t>10.4271/880001</t>
  </si>
  <si>
    <t>SAE Technical Paper 880001 ; 54 p.</t>
  </si>
  <si>
    <t>https://doi.org/10.4271/880001</t>
  </si>
  <si>
    <t>Payant chez SAE ; demander à la documentation de l'ENTPE.</t>
  </si>
  <si>
    <t>OpenAlex (DOI) + notice TRID</t>
  </si>
  <si>
    <t>Conférence de référence (Goodyear) sur l'ingénierie des pneus de camion : conception, charge, déflexion. Lien avec ta thèse : source de la déflexion nominale des pneus de camion (Fig. 1-24) qui justifie ta transposition vers le pneu d'avion.</t>
  </si>
  <si>
    <t>https://scholar.google.com/scholar?q=%22Heavy+duty+truck+tire+engineering%22</t>
  </si>
  <si>
    <t>BIB-035</t>
  </si>
  <si>
    <t>gent2006pneumatic</t>
  </si>
  <si>
    <t>The pneumatic tire</t>
  </si>
  <si>
    <t>BOOK</t>
  </si>
  <si>
    <t>Gent, A. N.; Walter, J. D.</t>
  </si>
  <si>
    <t>National Highway Traffic Safety Administration</t>
  </si>
  <si>
    <t>DOT HS 810 561 ; 707 p. (ouvrage collectif dirigé par Gent et Walter)</t>
  </si>
  <si>
    <t>https://www.fueleconomy.gov/feg/pdfs/PneumaticTire_HS-810-561.pdf</t>
  </si>
  <si>
    <t>PDF public diffusé par l'administration américaine.</t>
  </si>
  <si>
    <t>Notice TRID 851939</t>
  </si>
  <si>
    <t>Ouvrage de référence sur la mécanique des pneumatiques : structures radiale et diagonale, contact, empreinte. Lien avec ta thèse : bases de mécanique du pneu pour l'axe 2, en libre accès.</t>
  </si>
  <si>
    <t>https://scholar.google.com/scholar?q=%22The+pneumatic+tire%22</t>
  </si>
  <si>
    <t>BIB-036</t>
  </si>
  <si>
    <t>hernandez2016speed</t>
  </si>
  <si>
    <t>Contact phenomenon of free-rolling wide-base tires: Effect of speed and temperature</t>
  </si>
  <si>
    <t>Hernandez, J. A.; Al-Qadi, I. L.</t>
  </si>
  <si>
    <t>142</t>
  </si>
  <si>
    <t>10.1061/(ASCE)TE.1943-5436.0000893</t>
  </si>
  <si>
    <t>https://doi.org/10.1061/(ASCE)TE.1943-5436.0000893</t>
  </si>
  <si>
    <t>ASCE Library : abonnement ENTPE.</t>
  </si>
  <si>
    <t>OpenAlex (DOI) ; numéro d'article non constaté</t>
  </si>
  <si>
    <t>Effet de la vitesse et de la température sur le contact de pneus larges en roulement libre, par éléments finis. Lien avec ta thèse : sensibilité de la distribution aux conditions de roulement, à garder en tête pour les gros porteurs.</t>
  </si>
  <si>
    <t>https://scholar.google.com/scholar?q=%22Contact+phenomenon+of+free-rolling+wide-base+tires%3A+Effect+of+speed+and+temperature%22</t>
  </si>
  <si>
    <t>BIB-037</t>
  </si>
  <si>
    <t>kongokonde2011these</t>
  </si>
  <si>
    <t>Modélisation du roulement d'un pneumatique d'avion</t>
  </si>
  <si>
    <t>Kongo Kondé, A.</t>
  </si>
  <si>
    <t>Aix-Marseille Université</t>
  </si>
  <si>
    <t>10.70675/8e64093dzdd25z4a64za9fczf6d298da3f8a</t>
  </si>
  <si>
    <t>NNT 2011AIX10009</t>
  </si>
  <si>
    <t>https://doi.org/10.70675/8e64093dzdd25z4a64za9fczf6d298da3f8a</t>
  </si>
  <si>
    <t>A verifier</t>
  </si>
  <si>
    <t>Notice theses.fr ; chercher le texte intégral sur HAL (thèses en ligne).</t>
  </si>
  <si>
    <t>theses.fr (NNT) + Crossref (DOI theses.fr)</t>
  </si>
  <si>
    <t>Thèse sur la modélisation du roulement d'un pneu d'avion par éléments finis, en français. Lien avec ta thèse : détail méthodologique des travaux de Kongo Kondé et al. (2013).</t>
  </si>
  <si>
    <t>Kongo Kondé et al. (2013)</t>
  </si>
  <si>
    <t>https://scholar.google.com/scholar?q=%22Mod%C3%A9lisation+du+roulement+d%27un+pneumatique+d%27avion%22</t>
  </si>
  <si>
    <t>BIB-038</t>
  </si>
  <si>
    <t>liu2022ring</t>
  </si>
  <si>
    <t>In-plane flexible ring modeling and a nonlinear stiffness solution for heavy-load radial tires</t>
  </si>
  <si>
    <t>Liu, Z.; Liu, Y.; Gao, Q.</t>
  </si>
  <si>
    <t>Mechanical Systems and Signal Processing</t>
  </si>
  <si>
    <t>171</t>
  </si>
  <si>
    <t>108956</t>
  </si>
  <si>
    <t>10.1016/j.ymssp.2022.108956</t>
  </si>
  <si>
    <t>https://www.sciencedirect.com/science/article/pii/S0888327022001376/pdf</t>
  </si>
  <si>
    <t>Libre accès (article hybride) sur ScienceDirect.</t>
  </si>
  <si>
    <t>Modèle d'anneau flexible et solution de raideur non linéaire pour pneus radiaux fortement chargés. Lien avec ta thèse : piste pour relier déflexion du pneu et forme de la distribution.</t>
  </si>
  <si>
    <t>https://scholar.google.com/scholar?q=%22In-plane+flexible+ring+modeling+and+a+nonlinear+stiffness+solution+for+heavy-load+radial+tires%22</t>
  </si>
  <si>
    <t>BIB-039</t>
  </si>
  <si>
    <t>liu2022deeplearning</t>
  </si>
  <si>
    <t>Three-dimensional tire-pavement contact stresses prediction by deep learning approach</t>
  </si>
  <si>
    <t>Liu, X.; Al-Qadi, I. L.</t>
  </si>
  <si>
    <t>23</t>
  </si>
  <si>
    <t>4991-5002</t>
  </si>
  <si>
    <t>10.1080/10298436.2021.1990288</t>
  </si>
  <si>
    <t>https://doi.org/10.1080/10298436.2021.1990288</t>
  </si>
  <si>
    <t>Crossref (mise en ligne le 19/10/2021, volume 23 de 2022)</t>
  </si>
  <si>
    <t>Prédiction des contraintes de contact tridimensionnelles par apprentissage profond entraîné sur un modèle éléments finis de pneu. Lien avec ta thèse : piste pour générer des empreintes pour des couples charge/gonflage non mesurés.</t>
  </si>
  <si>
    <t>https://scholar.google.com/scholar?q=%22Three-dimensional+tire-pavement+contact+stresses+prediction+by+deep+learning+approach%22</t>
  </si>
  <si>
    <t>BIB-040</t>
  </si>
  <si>
    <t>rosu2018aircraft</t>
  </si>
  <si>
    <t>Finite element modeling of an aircraft tire rolling on a steel drum: Experimental investigations and numerical simulations</t>
  </si>
  <si>
    <t>Rosu, I.; Elias-Birembaux, H.; Lebon, F.</t>
  </si>
  <si>
    <t>Applied Sciences</t>
  </si>
  <si>
    <t>593</t>
  </si>
  <si>
    <t>10.3390/app8040593</t>
  </si>
  <si>
    <t>https://www.mdpi.com/2076-3417/8/4/593/pdf?version=1525347784</t>
  </si>
  <si>
    <t>Modèle éléments finis d'un pneu d'avion roulant sur un tambour, confronté à des mesures. Lien avec ta thèse : validation expérimentale d'un modèle de pneu d'avion, en libre accès.</t>
  </si>
  <si>
    <t>https://scholar.google.com/scholar?q=%22Finite+element+modeling+of+an+aircraft+tire+rolling+on+a+steel+drum%3A+Experimental+investigations+and+numerical+simulations%22</t>
  </si>
  <si>
    <t>BIB-041</t>
  </si>
  <si>
    <t>tang2022radialtire</t>
  </si>
  <si>
    <t>Predictions of three-dimensional contact stresses of a radial truck tire under different driving modes</t>
  </si>
  <si>
    <t>Tang, X.; Xie, J.; Xie, H.; Zhang, H.</t>
  </si>
  <si>
    <t>Advances in Mechanical Engineering</t>
  </si>
  <si>
    <t>16878132221092346</t>
  </si>
  <si>
    <t>10.1177/16878132221092346</t>
  </si>
  <si>
    <t>https://doi.org/10.1177/16878132221092346</t>
  </si>
  <si>
    <t>Article en libre accès (SAGE).</t>
  </si>
  <si>
    <t>Prédiction par éléments finis des trois composantes de contrainte de contact d'un pneu radial de camion selon le mode de conduite. Lien avec ta thèse : données 3D, dont tangentielles, pour ta perspective n° 2.</t>
  </si>
  <si>
    <t>https://scholar.google.com/scholar?q=%22Predictions+of+three-dimensional+contact+stresses+of+a+radial+truck+tire+under+different+driving+modes%22</t>
  </si>
  <si>
    <t>BIB-042</t>
  </si>
  <si>
    <t>dibenedetto2005materiaux</t>
  </si>
  <si>
    <t>Matériaux routiers bitumineux 2 : constitution et propriétés thermomécaniques des mélanges</t>
  </si>
  <si>
    <t>Di Benedetto, H.; Corté, J.-F.</t>
  </si>
  <si>
    <t>Hermès Science – Lavoisier</t>
  </si>
  <si>
    <t>ISBN 978-2-7462-0960-2</t>
  </si>
  <si>
    <t>Page de vente / notice</t>
  </si>
  <si>
    <t>http://www.lavoisier.eu/books/civil-engineering/materiaux-routiers-bitumineux-2-constitution-et-proprietes-thermomecaniques-des-melanges/di-benedetto/description-9782746209602</t>
  </si>
  <si>
    <t>Ouvrage payant : bibliothèque de l'ENTPE ou du LTDS.</t>
  </si>
  <si>
    <t>Notice Lavoisier (titre, auteurs, ISBN) ; année non affichée sur la notice consultée</t>
  </si>
  <si>
    <t>Ouvrage de référence (tome 2) sur la constitution et les propriétés thermomécaniques des enrobés. Lien avec ta thèse : source des figures 1-1 et 1-5 ; préciser le tome dans ta référence. NON VÉRIFIÉ (partiel) : titre, auteurs et ISBN constatés chez l'éditeur ; l'année 2005 vient des citations (non affichée sur la notice consultée).</t>
  </si>
  <si>
    <t>https://scholar.google.com/scholar?q=%22Mat%C3%A9riaux+routiers+bitumineux+2+%3A+constitution+et+propri%C3%A9t%C3%A9s+thermom%C3%A9caniques+des+m%C3%A9langes%22</t>
  </si>
  <si>
    <t>BIB-043</t>
  </si>
  <si>
    <t>olard2003these</t>
  </si>
  <si>
    <t>Comportement thermomécanique des enrobés bitumineux à basses températures. Relations entre les propriétés du liant et de l'enrobé</t>
  </si>
  <si>
    <t>Olard, F.</t>
  </si>
  <si>
    <t>INSA de Lyon</t>
  </si>
  <si>
    <t>NNT 2003ISAL0056 ; HAL tel-00006050</t>
  </si>
  <si>
    <t>https://theses.hal.science/tel-00006050</t>
  </si>
  <si>
    <t>Texte intégral en libre accès sur TEL (HAL).</t>
  </si>
  <si>
    <t>theses.fr (NNT, dir. H. Di Benedetto) + TEL</t>
  </si>
  <si>
    <t>Thèse d'origine du 2S2P1D, dirigée par H. Di Benedetto. Lien avec ta thèse : version détaillée de l'article de 2003, avec les données et la démarche de calage.</t>
  </si>
  <si>
    <t>https://scholar.google.com/scholar?q=%22Comportement+thermom%C3%A9canique+des+enrob%C3%A9s+bitumineux+%C3%A0+basses+temp%C3%A9ratures.+Relations+entre+les+propri%C3%A9t%C3%A9s+du+liant+et+de+l%27enrob%C3%A9%22</t>
  </si>
  <si>
    <t>BIB-044</t>
  </si>
  <si>
    <t>tschoegl1989</t>
  </si>
  <si>
    <t>The phenomenological theory of linear viscoelastic behavior: An introduction</t>
  </si>
  <si>
    <t>Tschoegl, N. W.</t>
  </si>
  <si>
    <t>10.1007/978-3-642-73602-5</t>
  </si>
  <si>
    <t>ISBN 978-3-642-73604-9</t>
  </si>
  <si>
    <t>https://doi.org/10.1007/978-3-642-73602-5</t>
  </si>
  <si>
    <t>SpringerLink (livre numérique) si l'ENTPE y est abonnée, sinon bibliothèque.</t>
  </si>
  <si>
    <t>Page SpringerLink (ISBN) + OpenAlex (DOI résolu)</t>
  </si>
  <si>
    <t>Traité de la viscoélasticité linéaire : modèles analogiques, spectres, relations entre fonctions. Lien avec ta thèse : référence de fond pour les conversions entre Maxwell et Kelvin-Voigt généralisés.</t>
  </si>
  <si>
    <t>Park &amp; Schapery (1999)</t>
  </si>
  <si>
    <t>https://scholar.google.com/scholar?q=%22The+phenomenological+theory+of+linear+viscoelastic+behavior%3A+An+introduction%22</t>
  </si>
  <si>
    <t>BIB-045</t>
  </si>
  <si>
    <t>afnor2023en1269726</t>
  </si>
  <si>
    <t>NF EN 12697-26+A1 — Mélanges bitumineux — Méthodes d'essai — Partie 26 : rigidité</t>
  </si>
  <si>
    <t>STAND</t>
  </si>
  <si>
    <t>AFNOR</t>
  </si>
  <si>
    <t>Association française de normalisation</t>
  </si>
  <si>
    <t>NF EN 12697-26+A1</t>
  </si>
  <si>
    <t>https://norminfo.afnor.org/norme/nf-en-12697-26a1/melanges-bitumineux-methodes-dessai-partie-26-rigidite/201578</t>
  </si>
  <si>
    <t>Norme payante : abonnement normes de l'ENTPE.</t>
  </si>
  <si>
    <t>Norm'Info AFNOR</t>
  </si>
  <si>
    <t>Norme de mesure de la rigidité des enrobés, dont le module complexe, dans sa version consolidée avec l'amendement A1. Lien avec ta thèse : cadre normatif de ta campagne Instron ; remplace la référence « EN 12697-26:2018 » de l'ancienne base.</t>
  </si>
  <si>
    <t>Di Benedetto et al. (2001)</t>
  </si>
  <si>
    <t>https://scholar.google.com/scholar?q=%22NF+EN+12697-26%2BA1+%E2%80%94+M%C3%A9langes+bitumineux+%E2%80%94+M%C3%A9thodes+d%27essai+%E2%80%94+Partie+26+%3A+rigidit%C3%A9%22</t>
  </si>
  <si>
    <t>BIB-046</t>
  </si>
  <si>
    <t>dibenedetto2011nonlinearity</t>
  </si>
  <si>
    <t>Nonlinearity, heating, fatigue and thixotropy during cyclic loading of asphalt mixtures</t>
  </si>
  <si>
    <t>Di Benedetto, H.; Nguyen, Q. T.; Sauzéat, C.</t>
  </si>
  <si>
    <t>129-158</t>
  </si>
  <si>
    <t>10.1080/14680629.2011.9690356</t>
  </si>
  <si>
    <t>https://doi.org/10.1080/14680629.2011.9690356</t>
  </si>
  <si>
    <t>Sépare non-linéarité, auto-échauffement, fatigue et thixotropie lors des essais cycliques sur enrobés. Lien avec ta thèse : phénomènes à maîtriser dans ta campagne (amplitude de 50 µm/m, nombre de cycles, temps de repos).</t>
  </si>
  <si>
    <t>Gayte et al. (2016) ; Di Benedetto (1990)</t>
  </si>
  <si>
    <t>https://scholar.google.com/scholar?q=%22Nonlinearity%2C+heating%2C+fatigue+and+thixotropy+during+cyclic+loading+of+asphalt+mixtures%22</t>
  </si>
  <si>
    <t>BIB-047</t>
  </si>
  <si>
    <t>nguyen2017_3dtc</t>
  </si>
  <si>
    <t>3D complex modulus tests on bituminous mixture with sinusoidal loadings in tension and/or compression</t>
  </si>
  <si>
    <t>Nguyen, Q. T.; Di Benedetto, H.; Sauzéat, C.; Nguyen, M. L.; Hoang, T. T. N.</t>
  </si>
  <si>
    <t>Materials and Structures</t>
  </si>
  <si>
    <t>50</t>
  </si>
  <si>
    <t>10.1617/s11527-016-0970-x</t>
  </si>
  <si>
    <t>https://hal.science/hal-01582496</t>
  </si>
  <si>
    <t>Version auteur sur HAL ; version éditeur chez Springer.</t>
  </si>
  <si>
    <t>OpenAlex (DOI ; mise en ligne 2016) ; numéro d'article non constaté</t>
  </si>
  <si>
    <t>Essais de module complexe 3D en traction et/ou compression sinusoïdales. Lien avec ta thèse : protocole le plus proche du tien (traction-compression, mesure radiale).</t>
  </si>
  <si>
    <t>Pham et al. (2015) ; Graziani et al. (2017)</t>
  </si>
  <si>
    <t>https://scholar.google.com/scholar?q=%223D+complex+modulus+tests+on+bituminous+mixture+with+sinusoidal+loadings+in+tension+and%2For+compression%22</t>
  </si>
  <si>
    <t>BIB-048</t>
  </si>
  <si>
    <t>dibenedetto2007_3d</t>
  </si>
  <si>
    <t>Three-dimensional linear behavior of bituminous materials: Experiments and modeling</t>
  </si>
  <si>
    <t>Di Benedetto, H.; Delaporte, B.; Sauzéat, C.</t>
  </si>
  <si>
    <t>International Journal of Geomechanics</t>
  </si>
  <si>
    <t>149-157</t>
  </si>
  <si>
    <t>10.1061/(ASCE)1532-3641(2007)7:2(149)</t>
  </si>
  <si>
    <t>https://doi.org/10.1061/(ASCE)1532-3641(2007)7:2(149)</t>
  </si>
  <si>
    <t>Essais et modélisation du comportement linéaire tridimensionnel (module et coefficient de Poisson complexes). Lien avec ta thèse : pour justifier ou abandonner l'hypothèse d'un coefficient de Poisson constant (0,35) dans COMSOL.</t>
  </si>
  <si>
    <t>Graziani et al. (2014) ; Tiouajni et al. (2011)</t>
  </si>
  <si>
    <t>https://scholar.google.com/scholar?q=%22Three-dimensional+linear+behavior+of+bituminous+materials%3A+Experiments+and+modeling%22</t>
  </si>
  <si>
    <t>BIB-049</t>
  </si>
  <si>
    <t>graziani2014bulkshear</t>
  </si>
  <si>
    <t>Bulk and shear characterization of bituminous mixtures in the linear viscoelastic domain</t>
  </si>
  <si>
    <t>Graziani, A.; Bocci, E.; Canestrari, F.</t>
  </si>
  <si>
    <t>Mechanics of Time-Dependent Materials</t>
  </si>
  <si>
    <t>18</t>
  </si>
  <si>
    <t>3</t>
  </si>
  <si>
    <t>527-554</t>
  </si>
  <si>
    <t>10.1007/s11043-014-9240-x</t>
  </si>
  <si>
    <t>https://doi.org/10.1007/s11043-014-9240-x</t>
  </si>
  <si>
    <t>Springer : abonnement ENTPE.</t>
  </si>
  <si>
    <t>Caractérisation des modules de compressibilité et de cisaillement complexes des enrobés dans le domaine linéaire. Lien avec ta thèse : directement utile pour ta décomposition sphérique/déviatorique dans COMSOL, où tu as supposé des temps de relaxation communs.</t>
  </si>
  <si>
    <t>Di Benedetto et al. (2007) ; Graziani et al. (2014)</t>
  </si>
  <si>
    <t>https://scholar.google.com/scholar?q=%22Bulk+and+shear+characterization+of+bituminous+mixtures+in+the+linear+viscoelastic+domain%22</t>
  </si>
  <si>
    <t>BIB-050</t>
  </si>
  <si>
    <t>graziani2014poisson</t>
  </si>
  <si>
    <t>Complex Poisson's ratio of bituminous mixtures: measurement and modeling</t>
  </si>
  <si>
    <t>Graziani, A.; Bocci, M.; Canestrari, F.</t>
  </si>
  <si>
    <t>47</t>
  </si>
  <si>
    <t>1131-1148</t>
  </si>
  <si>
    <t>10.1617/s11527-013-0117-2</t>
  </si>
  <si>
    <t>https://doi.org/10.1617/s11527-013-0117-2</t>
  </si>
  <si>
    <t>OpenAlex (DOI ; mise en ligne 2013)</t>
  </si>
  <si>
    <t>Mesure et modélisation du coefficient de Poisson complexe des enrobés. Lien avec ta thèse : alternative à l'hypothèse de Poisson constant, en lien avec tes mesures radiales sans contact.</t>
  </si>
  <si>
    <t>Graziani et al. (2017)</t>
  </si>
  <si>
    <t>https://scholar.google.com/scholar?q=%22Complex+Poisson%27s+ratio+of+bituminous+mixtures%3A+measurement+and+modeling%22</t>
  </si>
  <si>
    <t>BIB-051</t>
  </si>
  <si>
    <t>graziani2017rilem</t>
  </si>
  <si>
    <t>Recommendation of RILEM TC 237-SIB on complex Poisson's ratio characterization of bituminous mixtures</t>
  </si>
  <si>
    <t>Graziani, A.; Di Benedetto, H.; Perraton, D.; Sauzéat, C.; Hofko, B.; Poulikakos, L. D.; Pouget, S.</t>
  </si>
  <si>
    <t>10.1617/s11527-017-1008-8</t>
  </si>
  <si>
    <t>https://link.springer.com/content/pdf/10.1617/s11527-017-1008-8.pdf</t>
  </si>
  <si>
    <t>Libre accès chez Springer.</t>
  </si>
  <si>
    <t>Recommandation RILEM sur la caractérisation du coefficient de Poisson complexe. Lien avec ta thèse : protocole de référence pour les déformations radiales de ton essai Instron.</t>
  </si>
  <si>
    <t>Graziani et al. (2014) ; Nguyen et al. (2017)</t>
  </si>
  <si>
    <t>https://scholar.google.com/scholar?q=%22Recommendation+of+RILEM+TC+237-SIB+on+complex+Poisson%27s+ratio+characterization+of+bituminous+mixtures%22</t>
  </si>
  <si>
    <t>BIB-052</t>
  </si>
  <si>
    <t>pham2015_3d</t>
  </si>
  <si>
    <t>Analysis and modeling of 3D complex modulus tests on hot and warm bituminous mixtures</t>
  </si>
  <si>
    <t>Pham, N. H.; Sauzéat, C.; Di Benedetto, H.; González-León, J. A.; Barreto, G.; Nicolaï, A.; Jakubowski, M.</t>
  </si>
  <si>
    <t>19</t>
  </si>
  <si>
    <t>167-186</t>
  </si>
  <si>
    <t>10.1007/s11043-015-9258-8</t>
  </si>
  <si>
    <t>https://doi.org/10.1007/s11043-015-9258-8</t>
  </si>
  <si>
    <t>Analyse et modélisation d'essais de module complexe 3D sur enrobés chauds et tièdes (module et Poisson complexes, 2S2P1D). Lien avec ta thèse : travaux du groupe très proches de ton protocole et de ton traitement.</t>
  </si>
  <si>
    <t>Nguyen et al. (2017)</t>
  </si>
  <si>
    <t>https://scholar.google.com/scholar?q=%22Analysis+and+modeling+of+3D+complex+modulus+tests+on+hot+and+warm+bituminous+mixtures%22</t>
  </si>
  <si>
    <t>BIB-053</t>
  </si>
  <si>
    <t>dibenedetto2001stiffness</t>
  </si>
  <si>
    <t>Stiffness testing for bituminous mixtures</t>
  </si>
  <si>
    <t>Di Benedetto, H.; Partl, M. N.; Francken, L.; De La Roche Saint André, C.</t>
  </si>
  <si>
    <t>34</t>
  </si>
  <si>
    <t>66-70</t>
  </si>
  <si>
    <t>10.1007/BF02481553</t>
  </si>
  <si>
    <t>https://link.springer.com/content/pdf/10.1007/BF02481553.pdf</t>
  </si>
  <si>
    <t>Résultats de l'essai interlaboratoires RILEM sur la mesure de rigidité des enrobés. Lien avec ta thèse : ordre de grandeur de la dispersion entre essais et laboratoires, utile pour discuter tes résultats.</t>
  </si>
  <si>
    <t>https://scholar.google.com/scholar?q=%22Stiffness+testing+for+bituminous+mixtures%22</t>
  </si>
  <si>
    <t>BIB-054</t>
  </si>
  <si>
    <t>gayte2016transient</t>
  </si>
  <si>
    <t>Influence of transient effects for analysis of complex modulus tests on bituminous mixtures</t>
  </si>
  <si>
    <t>Gayte, P.; Di Benedetto, H.; Sauzéat, C.; Nguyen, Q. T.</t>
  </si>
  <si>
    <t>17</t>
  </si>
  <si>
    <t>271-289</t>
  </si>
  <si>
    <t>10.1080/14680629.2015.1067246</t>
  </si>
  <si>
    <t>https://hal.science/hal-01829833</t>
  </si>
  <si>
    <t>Version auteur sur HAL ; version éditeur chez Taylor &amp; Francis (abonnement).</t>
  </si>
  <si>
    <t>OpenAlex (DOI ; mise en ligne 2015)</t>
  </si>
  <si>
    <t>Influence des effets transitoires sur l'analyse des essais de module complexe. Lien avec ta thèse : justifie ton choix d'écarter les premiers cycles lors du traitement des sinus.</t>
  </si>
  <si>
    <t>Di Benedetto et al. (2011)</t>
  </si>
  <si>
    <t>https://scholar.google.com/scholar?q=%22Influence+of+transient+effects+for+analysis+of+complex+modulus+tests+on+bituminous+mixtures%22</t>
  </si>
  <si>
    <t>BIB-055</t>
  </si>
  <si>
    <t>nguyen2013ttsp</t>
  </si>
  <si>
    <t>Time temperature superposition principle validation for bituminous mixes in the linear and nonlinear domains</t>
  </si>
  <si>
    <t>Nguyen, Q. T.; Di Benedetto, H.; Sauzéat, C.; Tapsoba, N.</t>
  </si>
  <si>
    <t>Journal of Materials in Civil Engineering</t>
  </si>
  <si>
    <t>9</t>
  </si>
  <si>
    <t>1181-1188</t>
  </si>
  <si>
    <t>10.1061/(ASCE)MT.1943-5533.0000658</t>
  </si>
  <si>
    <t>https://doi.org/10.1061/(ASCE)MT.1943-5533.0000658</t>
  </si>
  <si>
    <t>OpenAlex (DOI ; mise en ligne 2012)</t>
  </si>
  <si>
    <t>Valide le principe d'équivalence temps-température dans les domaines linéaire et non linéaire. Lien avec ta thèse : justifie la construction de tes courbes maîtresses.</t>
  </si>
  <si>
    <t>https://scholar.google.com/scholar?q=%22Time+temperature+superposition+principle+validation+for+bituminous+mixes+in+the+linear+and+nonlinear+domains%22</t>
  </si>
  <si>
    <t>BIB-056</t>
  </si>
  <si>
    <t>dibenedetto1990approche</t>
  </si>
  <si>
    <t>Nouvelle approche du comportement des enrobés bitumineux : résultats expérimentaux et formulation rhéologique</t>
  </si>
  <si>
    <t>Di Benedetto, H.</t>
  </si>
  <si>
    <t>Mechanical Tests for Bituminous Mixes – Characterization, Design and Quality Control. Proceedings of the 4th International RILEM Symposium (Budapest)</t>
  </si>
  <si>
    <t>387-401</t>
  </si>
  <si>
    <t>Chapman &amp; Hall</t>
  </si>
  <si>
    <t>Actes éd. par H. W. Fritz et E. Eustacchio</t>
  </si>
  <si>
    <t>https://www.routledge.com/Mechanical-Tests-for-Bituminous-Mixes---Characterization-Design-and-Quality/Eustacchio-Fritz/p/book/9780429082238</t>
  </si>
  <si>
    <t>Actes papier (réédités par CRC Press) : bibliothèque du LTDS ou PEB.</t>
  </si>
  <si>
    <t>Page de l'éditeur des actes (Routledge/CRC) ; pages d'après le TFE</t>
  </si>
  <si>
    <t>Communication RILEM qui classe les domaines de comportement des enrobés selon l'amplitude de déformation et le nombre de cycles. Lien avec ta thèse : source de ta Figure 1-8. NON VÉRIFIÉ (partiel) : actes identifiés sur la page de l'éditeur ; pagination 387-401 non constatée.</t>
  </si>
  <si>
    <t>https://scholar.google.com/scholar?q=%22Nouvelle+approche+du+comportement+des+enrob%C3%A9s+bitumineux+%3A+r%C3%A9sultats+exp%C3%A9rimentaux+et+formulation+rh%C3%A9ologique%22</t>
  </si>
  <si>
    <t>BIB-057</t>
  </si>
  <si>
    <t>nilsson2002rheological</t>
  </si>
  <si>
    <t>Influence of different rheological models on predicted pavement responses in flexible pavements</t>
  </si>
  <si>
    <t>Nilsson, R. N.; Hopman, P. C.; Isacsson, U.</t>
  </si>
  <si>
    <t>117-149</t>
  </si>
  <si>
    <t>10.1080/14680629.2002.9689918</t>
  </si>
  <si>
    <t>https://doi.org/10.1080/14680629.2002.9689918</t>
  </si>
  <si>
    <t>Compare plusieurs modèles rhéologiques (dont Huet-Sayegh) sur les réponses calculées de chaussées souples. Lien avec ta thèse : montre l'influence du choix du modèle de comportement sur la réponse de la structure.</t>
  </si>
  <si>
    <t>Hopman (1996)</t>
  </si>
  <si>
    <t>https://scholar.google.com/scholar?q=%22Influence+of+different+rheological+models+on+predicted+pavement+responses+in+flexible+pavements%22</t>
  </si>
  <si>
    <t>BIB-058</t>
  </si>
  <si>
    <t>williams1955wlf</t>
  </si>
  <si>
    <t>The temperature dependence of relaxation mechanisms in amorphous polymers and other glass-forming liquids</t>
  </si>
  <si>
    <t>Williams, M. L.; Landel, R. F.; Ferry, J. D.</t>
  </si>
  <si>
    <t>Journal of the American Chemical Society</t>
  </si>
  <si>
    <t>77</t>
  </si>
  <si>
    <t>3701-3707</t>
  </si>
  <si>
    <t>10.1021/ja01619a008</t>
  </si>
  <si>
    <t>https://doi.org/10.1021/ja01619a008</t>
  </si>
  <si>
    <t>ACS : abonnement ENTPE.</t>
  </si>
  <si>
    <t>Loi WLF de dépendance des temps de relaxation à la température. Lien avec ta thèse : utilisée pour tes coefficients de translation aT.</t>
  </si>
  <si>
    <t>https://scholar.google.com/scholar?q=%22The+temperature+dependence+of+relaxation+mechanisms+in+amorphous+polymers+and+other+glass-forming+liquids%22</t>
  </si>
  <si>
    <t>BIB-059</t>
  </si>
  <si>
    <t>afnor2015en12593</t>
  </si>
  <si>
    <t>NF EN 12593 — Bitumes et liants bitumineux — Détermination du point de fragilité Fraass</t>
  </si>
  <si>
    <t>NF EN 12593 (indice T66-026), 20 p.</t>
  </si>
  <si>
    <t>https://www.boutique.afnor.org/en-gb/standard/nf-en-12593/bitumen-and-bituminous-binders-determination-of-the-fraass-breaking-point/fa176331/45812</t>
  </si>
  <si>
    <t>Boutique AFNOR</t>
  </si>
  <si>
    <t>Essai de fragilité Fraass des liants. Lien avec ta thèse : cité au chapitre 1 ; édition d'août 2015, toujours en vigueur.</t>
  </si>
  <si>
    <t>https://scholar.google.com/scholar?q=%22NF+EN+12593+%E2%80%94+Bitumes+et+liants+bitumineux+%E2%80%94+D%C3%A9termination+du+point+de+fragilit%C3%A9+Fraass%22</t>
  </si>
  <si>
    <t>BIB-060</t>
  </si>
  <si>
    <t>afnor2018en1427</t>
  </si>
  <si>
    <t>NF EN 1427 — Bitumes et liants bitumineux — Détermination du point de ramollissement — Méthode Bille et Anneau</t>
  </si>
  <si>
    <t>NF EN 1427 (transpose EN 1427:2015) ; annulée en juin 2026, remplacée par l'édition de mai 2026</t>
  </si>
  <si>
    <t>https://www.boutique.afnor.org/fr-fr/norme/nf-en-1427/bitumes-et-liants-bitumineux-determination-du-point-de-ramollissement-methode-bille-et-anneau/fa176342/1705</t>
  </si>
  <si>
    <t>Boutique AFNOR (lien du TFE) + Norm'Info</t>
  </si>
  <si>
    <t>Essai bille-anneau (point de ramollissement des liants). Lien avec ta thèse : cité au chapitre 1 ; l'édition de ton lien date de janvier 2018 et a été annulée en juin 2026.</t>
  </si>
  <si>
    <t>https://scholar.google.com/scholar?q=%22NF+EN+1427+%E2%80%94+Bitumes+et+liants+bitumineux+%E2%80%94+D%C3%A9termination+du+point+de+ramollissement+%E2%80%94+M%C3%A9thode+Bille+et+Anneau%22</t>
  </si>
  <si>
    <t>BIB-061</t>
  </si>
  <si>
    <t>afnor2024en1426</t>
  </si>
  <si>
    <t>NF EN 1426 — Bitumes et liants bitumineux — Détermination de la pénétrabilité à l'aiguille</t>
  </si>
  <si>
    <t>NF EN 1426 (édition du 27/11/2024, en vigueur)</t>
  </si>
  <si>
    <t>https://norminfo.afnor.org/norme/nf-en-1426/bitumes-et-liants-bitumineux-determination-de-la-penetrabilite-a-laiguille/194770</t>
  </si>
  <si>
    <t>Norm'Info AFNOR + boutique AFNOR (édition précédente)</t>
  </si>
  <si>
    <t>Essai de pénétrabilité à l'aiguille des liants. Lien avec ta thèse : ton TFE cite cette norme au chapitre 1 sans l'inscrire dans sa bibliographie. Édition en vigueur : 27/11/2024 ; l'édition précédente (janvier 2018, transposant EN 1426:2015, 19 p.) est annulée. Cite l'édition réellement appliquée par le laboratoire.</t>
  </si>
  <si>
    <t>AFNOR (2018) ; AFNOR (2015)</t>
  </si>
  <si>
    <t>https://scholar.google.com/scholar?q=%22NF+EN+1426+%E2%80%94+Bitumes+et+liants+bitumineux+%E2%80%94+D%C3%A9termination+de+la+p%C3%A9n%C3%A9trabilit%C3%A9+%C3%A0+l%27aiguille%22</t>
  </si>
  <si>
    <t>BIB-062</t>
  </si>
  <si>
    <t>chailleux2006mastercurve</t>
  </si>
  <si>
    <t>A mathematical-based master-curve construction method applied to complex modulus of bituminous materials</t>
  </si>
  <si>
    <t>Chailleux, E.; Ramond, G.; Such, C.; de La Roche, C.</t>
  </si>
  <si>
    <t>75-92</t>
  </si>
  <si>
    <t>10.1080/14680629.2006.9690059</t>
  </si>
  <si>
    <t>https://doi.org/10.1080/14680629.2006.9690059</t>
  </si>
  <si>
    <t>Méthode mathématique de construction des courbes maîtresses à partir du module complexe. Lien avec ta thèse : alternative ou contrôle de ta translation des isothermes.</t>
  </si>
  <si>
    <t>https://scholar.google.com/scholar?q=%22A+mathematical-based+master-curve+construction+method+applied+to+complex+modulus+of+bituminous+materials%22</t>
  </si>
  <si>
    <t>BIB-063</t>
  </si>
  <si>
    <t>roussel2020hwd</t>
  </si>
  <si>
    <t>Apport de la viscoélasticité dans l'analyse dynamique des essais au Heavy Weight Deflectometer</t>
  </si>
  <si>
    <t>Roussel, J.-M.</t>
  </si>
  <si>
    <t>Université de Lyon (ENTPE)</t>
  </si>
  <si>
    <t>10.70675/25b28fa5z03aez4d18zb129z81ce43f5f378</t>
  </si>
  <si>
    <t>NNT 2020LYSET015 ; HAL tel-03232608</t>
  </si>
  <si>
    <t>https://theses.hal.science/tel-03232608</t>
  </si>
  <si>
    <t>Texte intégral sur TEL (HAL).</t>
  </si>
  <si>
    <t>theses.fr (notice et export) ; DOI attribué par theses.fr</t>
  </si>
  <si>
    <t>Thèse de l'ENTPE dirigée par H. Di Benedetto et C. Sauzéat, dans une coopération STAC-LTDS : analyse dynamique des essais au HWD en tenant compte de la viscoélasticité des couches bitumineuses ; deux outils (éléments finis temporels, méthode spectrale fréquentielle) et une analyse inverse viscoélastique appliquée à une planche du STAC entre 0 et 30 °C. Lien avec ta thèse : l'autre base de ton modèle, dans ta future équipe. Correction pour le TFE : préciser « Thèse de doctorat, Université de Lyon (ENTPE), 2020 ».</t>
  </si>
  <si>
    <t>Roussel et al. (2019) ; Roussel et al. (2020) ; Broutin (2010) ; Pouget (2011)</t>
  </si>
  <si>
    <t>https://scholar.google.com/scholar?q=%22Apport+de+la+visco%C3%A9lasticit%C3%A9+dans+l%27analyse+dynamique+des+essais+au+Heavy+Weight+Deflectometer%22</t>
  </si>
  <si>
    <t>BIB-064</t>
  </si>
  <si>
    <t>stac2016methode</t>
  </si>
  <si>
    <t>Méthode rationnelle de dimensionnement des chaussées aéronautiques souples — Guide technique</t>
  </si>
  <si>
    <t>138 p.; ISBN 978-2-11-151659-5</t>
  </si>
  <si>
    <t>https://www.stac.aviation-civile.gouv.fr/sites/default/files/dim_chau_souple-v2_light.pdf</t>
  </si>
  <si>
    <t>PDF gratuit sur le site du STAC.</t>
  </si>
  <si>
    <t>Méthode française rationnelle de dimensionnement des chaussées aéronautiques souples (modèle multicouche élastique, critères en base de couche et en sol support). Lien avec ta thèse : méthode en vigueur à laquelle un critère de surface devrait s'ajouter.</t>
  </si>
  <si>
    <t>Clavel &amp; Courant (2018) ; Blanc et al. (2016)</t>
  </si>
  <si>
    <t>https://scholar.google.com/scholar?q=%22M%C3%A9thode+rationnelle+de+dimensionnement+des+chauss%C3%A9es+a%C3%A9ronautiques+souples+%E2%80%94+Guide+technique%22</t>
  </si>
  <si>
    <t>BIB-065</t>
  </si>
  <si>
    <t>burmister1945layered</t>
  </si>
  <si>
    <t>The general theory of stresses and displacements in layered systems. I</t>
  </si>
  <si>
    <t>Burmister, D. M.</t>
  </si>
  <si>
    <t>Journal of Applied Physics</t>
  </si>
  <si>
    <t>16</t>
  </si>
  <si>
    <t>89-94</t>
  </si>
  <si>
    <t>10.1063/1.1707558</t>
  </si>
  <si>
    <t>https://doi.org/10.1063/1.1707558</t>
  </si>
  <si>
    <t>AIP Publishing : abonnement ENTPE.</t>
  </si>
  <si>
    <t>Théorie des systèmes multicouches élastiques sous charge circulaire (symétrie axiale), base des logiciels de dimensionnement comme Alizé. Lien avec ta thèse : explique pourquoi l'empreinte circulaire uniforme s'est imposée, et donc ce que ton profil hétérogène remet en cause.</t>
  </si>
  <si>
    <t>IFSTTAR (2016) ; LCPC &amp; SETRA (1994)</t>
  </si>
  <si>
    <t>https://scholar.google.com/scholar?q=%22The+general+theory+of+stresses+and+displacements+in+layered+systems.+I%22</t>
  </si>
  <si>
    <t>BIB-066</t>
  </si>
  <si>
    <t>elseifi2006viscoelastic</t>
  </si>
  <si>
    <t>Viscoelastic modeling and field validation of flexible pavements</t>
  </si>
  <si>
    <t>Elseifi, M. A.; Al-Qadi, I. L.; Yoo, P. J.</t>
  </si>
  <si>
    <t>Journal of Engineering Mechanics</t>
  </si>
  <si>
    <t>132</t>
  </si>
  <si>
    <t>172-178</t>
  </si>
  <si>
    <t>10.1061/(ASCE)0733-9399(2006)132:2(172)</t>
  </si>
  <si>
    <t>https://doi.org/10.1061/(ASCE)0733-9399(2006)132:2(172)</t>
  </si>
  <si>
    <t>Modèle éléments finis viscoélastique de chaussée souple confronté à des mesures in situ. Lien avec ta thèse : référence pour justifier le choix viscoélastique plutôt qu'élastique (ton écart de 22 % entre les deux cas).</t>
  </si>
  <si>
    <t>Wang &amp; Al-Qadi (2009) ; Yoo et al. (2006)</t>
  </si>
  <si>
    <t>https://scholar.google.com/scholar?q=%22Viscoelastic+modeling+and+field+validation+of+flexible+pavements%22</t>
  </si>
  <si>
    <t>BIB-067</t>
  </si>
  <si>
    <t>jiang2019fem3d</t>
  </si>
  <si>
    <t>3D FEM analysis of flexible base asphalt pavement structure under non-uniform tyre contact pressure</t>
  </si>
  <si>
    <t>Jiang, X.; Zeng, C.; Gao, X.; Liu, Z.; Qiu, Y.</t>
  </si>
  <si>
    <t>999-1011</t>
  </si>
  <si>
    <t>10.1080/10298436.2017.1380803</t>
  </si>
  <si>
    <t>https://doi.org/10.1080/10298436.2017.1380803</t>
  </si>
  <si>
    <t>OpenAlex (DOI) + page Taylor &amp; Francis</t>
  </si>
  <si>
    <t>Calcul EF 3D élastique d'une chaussée à assise non traitée sous pression de pneu non uniforme. Lien avec ta thèse : l'étude élastique que tu cites pour la sensibilité des déformations de surface. Correction : le DOI de ton TFE (10.1080/10298436.2017.1373227) ne résout vers rien ; le bon DOI est 10.1080/10298436.2017.1380803.</t>
  </si>
  <si>
    <t>Wu et al. (2020)</t>
  </si>
  <si>
    <t>https://scholar.google.com/scholar?q=%223D+FEM+analysis+of+flexible+base+asphalt+pavement+structure+under+non-uniform+tyre+contact+pressure%22</t>
  </si>
  <si>
    <t>BIB-068</t>
  </si>
  <si>
    <t>perret2003deformations</t>
  </si>
  <si>
    <t>Déformations des couches bitumineuses au passage d'une charge de trafic</t>
  </si>
  <si>
    <t>Perret, J.</t>
  </si>
  <si>
    <t>École polytechnique fédérale de Lausanne</t>
  </si>
  <si>
    <t>10.5075/epfl-thesis-2786</t>
  </si>
  <si>
    <t>Thèse EPFL n° 2786</t>
  </si>
  <si>
    <t>https://infoscience.epfl.ch/record/33261</t>
  </si>
  <si>
    <t>Texte intégral sur Infoscience (EPFL).</t>
  </si>
  <si>
    <t>OpenAlex (DOI de la thèse, EPFL)</t>
  </si>
  <si>
    <t>Thèse sur les déformations des couches bitumineuses sous charge roulante, mesurées et calculées. Lien avec ta thèse : source de la relation fréquence-vitesse que tu as utilisée pour choisir le module à 1 Hz ; à relire pour discuter ce choix de fréquence équivalente.</t>
  </si>
  <si>
    <t>Elseifi et al. (2006)</t>
  </si>
  <si>
    <t>https://scholar.google.com/scholar?q=%22D%C3%A9formations+des+couches+bitumineuses+au+passage+d%27une+charge+de+trafic%22</t>
  </si>
  <si>
    <t>BIB-069</t>
  </si>
  <si>
    <t>pouget2011orthotrope</t>
  </si>
  <si>
    <t>Influence des propriétés élastiques ou viscoélastiques des revêtements sur le comportement des ponts à dalle orthotrope</t>
  </si>
  <si>
    <t>Pouget, S.</t>
  </si>
  <si>
    <t>ENTPE – INSA de Lyon</t>
  </si>
  <si>
    <t>Thèse de doctorat (254 p.)</t>
  </si>
  <si>
    <t>https://scholar.google.com/scholar?q=%22Influence+des+propri%C3%A9t%C3%A9s+%C3%A9lastiques+ou+visco%C3%A9lastiques+des+rev%C3%AAtements+sur+le+comportement+des+ponts+%C3%A0+dalle+orthotrope%22</t>
  </si>
  <si>
    <t>Absente de theses.fr et de HAL : demander un exemplaire à la bibliothèque de l'ENTPE ou au LTDS.</t>
  </si>
  <si>
    <t>Référence de Pouget et al. (Mater. Struct. 2012) + HDR de F. Olard (HAL)</t>
  </si>
  <si>
    <t>Thèse du LTDS qui implémente une loi viscoélastique linéaire dans un calcul de structure (revêtements bitumineux sur dalle orthotrope de pont). Lien avec ta thèse : une des deux bases méthodologiques de ton modèle COMSOL (loi viscoélastique, empreinte rectangulaire, hypothèse sur le coefficient de Poisson). NON VÉRIFIÉ (partiel) : titre, établissement, date de soutenance et nombre de pages relevés dans des références (article Springer 2012, HDR de F. Olard) ; aucune notice de catalogue en ligne (pas de NNT).</t>
  </si>
  <si>
    <t>Pouget et al. (2012) ; Tiouajni et al. (2011) ; Roussel (2020)</t>
  </si>
  <si>
    <t>BIB-070</t>
  </si>
  <si>
    <t>roussel2019fwd</t>
  </si>
  <si>
    <t>Numerical simulation of falling/heavy weight deflectometer test considering linear viscoelastic behaviour in bituminous layers and inertia effects</t>
  </si>
  <si>
    <t>Roussel, J.-M.; Sauzéat, C.; Di Benedetto, H.; Broutin, M.</t>
  </si>
  <si>
    <t>S64-S78</t>
  </si>
  <si>
    <t>10.1080/14680629.2019.1587491</t>
  </si>
  <si>
    <t>https://hal.science/hal-02378224</t>
  </si>
  <si>
    <t>Version auteur sur HAL ; version éditeur chez Taylor &amp; Francis.</t>
  </si>
  <si>
    <t>OpenAlex (DOI) ; pages d'après une citation MDPI</t>
  </si>
  <si>
    <t>Simulation EF des essais FWD/HWD avec couches bitumineuses viscoélastiques et effets d'inertie. Lien avec ta thèse : version article de la thèse de Roussel, plus rapide à lire et à citer.</t>
  </si>
  <si>
    <t>Roussel (2020)</t>
  </si>
  <si>
    <t>https://scholar.google.com/scholar?q=%22Numerical+simulation+of+falling%2Fheavy+weight+deflectometer+test+considering+linear+viscoelastic+behaviour+in+bituminous+layers+and+inertia+effects%22</t>
  </si>
  <si>
    <t>BIB-071</t>
  </si>
  <si>
    <t>wang2009perpetual</t>
  </si>
  <si>
    <t>Combined effect of moving wheel loading and three-dimensional contact stresses on perpetual pavement responses</t>
  </si>
  <si>
    <t>Wang, H.; Al-Qadi, I. L.</t>
  </si>
  <si>
    <t>Transportation Research Record</t>
  </si>
  <si>
    <t>2095</t>
  </si>
  <si>
    <t>53-61</t>
  </si>
  <si>
    <t>10.3141/2095-06</t>
  </si>
  <si>
    <t>https://doi.org/10.3141/2095-06</t>
  </si>
  <si>
    <t>SAGE (TRR) : abonnement ENTPE.</t>
  </si>
  <si>
    <t>Calcul EF combinant charge roulante et contraintes de contact 3D (verticales et tangentielles) pour des chaussées épaisses. Lien avec ta thèse : démarche la plus proche de la tienne (empreinte non uniforme dans un modèle EF viscoélastique) ; mêmes auteurs que Wang &amp; Al-Qadi (2010).</t>
  </si>
  <si>
    <t>Wang &amp; Al-Qadi (2010) ; Wang et al. (2013) ; Elseifi et al. (2006)</t>
  </si>
  <si>
    <t>https://scholar.google.com/scholar?q=%22Combined+effect+of+moving+wheel+loading+and+three-dimensional+contact+stresses+on+perpetual+pavement+responses%22</t>
  </si>
  <si>
    <t>BIB-072</t>
  </si>
  <si>
    <t>wu2020fem25d</t>
  </si>
  <si>
    <t>Prediction of viscoelastic pavement responses under moving load and nonuniform tire contact stresses using 2.5-D finite element method</t>
  </si>
  <si>
    <t>Wu, C.; Wang, H.; Zhao, J.; Jiang, X.; Qiu, Y.; Yusupov, B.</t>
  </si>
  <si>
    <t>Mathematical Problems in Engineering</t>
  </si>
  <si>
    <t>2020</t>
  </si>
  <si>
    <t>1029089</t>
  </si>
  <si>
    <t>10.1155/2020/1029089</t>
  </si>
  <si>
    <t>https://downloads.hindawi.com/journals/mpe/2020/1029089.pdf</t>
  </si>
  <si>
    <t>Libre accès (Hindawi).</t>
  </si>
  <si>
    <t>OpenAlex (DOI) ; numéro d'article 1029089, 16 p.</t>
  </si>
  <si>
    <t>Éléments finis 2,5D pour couches viscoélastiques sous charge mobile et contact non uniforme, validés sur deux solutions analytiques et bien plus rapides que la 3D ; charge sinusoïdale et contraintes réalistes donnent des réponses très proches. Lien avec ta thèse : fait le pont entre ton calcul EF et la piste a ; méthode peu coûteuse pour balayer plusieurs empreintes.</t>
  </si>
  <si>
    <t>Jiang et al. (2019) ; Wang &amp; Al-Qadi (2009)</t>
  </si>
  <si>
    <t>https://scholar.google.com/scholar?q=%22Prediction+of+viscoelastic+pavement+responses+under+moving+load+and+nonuniform+tire+contact+stresses+using+2.5-D+finite+element+method%22</t>
  </si>
  <si>
    <t>BIB-073</t>
  </si>
  <si>
    <t>yoo2006shear</t>
  </si>
  <si>
    <t>Flexible pavement responses to different loading amplitudes considering layer interface condition and lateral shear forces</t>
  </si>
  <si>
    <t>Yoo, P. J.; Al-Qadi, I. L.; Elseifi, M. A.; Janajreh, I.</t>
  </si>
  <si>
    <t>73-86</t>
  </si>
  <si>
    <t>10.1080/10298430500516074</t>
  </si>
  <si>
    <t>https://doi.org/10.1080/10298430500516074</t>
  </si>
  <si>
    <t>Étudie par EF l'effet de l'état des interfaces et des efforts de cisaillement latéraux sous différents niveaux de charge. Lien avec ta thèse : deux hypothèses de ton modèle (interfaces collées, absence d'efforts tangentiels) dont l'effet sur le cisaillement de surface est ici quantifié.</t>
  </si>
  <si>
    <t>Chupin et al. (2010) ; Elseifi et al. (2006)</t>
  </si>
  <si>
    <t>https://scholar.google.com/scholar?q=%22Flexible+pavement+responses+to+different+loading+amplitudes+considering+layer+interface+condition+and+lateral+shear+forces%22</t>
  </si>
  <si>
    <t>BIB-074</t>
  </si>
  <si>
    <t>ifsttar2016alizeaero</t>
  </si>
  <si>
    <t>Alizé-Aéronautique, version 1.5 — Manuel d'utilisation</t>
  </si>
  <si>
    <t>COMP</t>
  </si>
  <si>
    <t>Blanc, J.; Balay, J.-M.; Hornych, P.; Piau, J.-M.</t>
  </si>
  <si>
    <t>IFSTTAR (distribution itech-soft)</t>
  </si>
  <si>
    <t>Manuel v1.5</t>
  </si>
  <si>
    <t>https://www.alize-lcpc.com/fr/documents/ALIZE-AERO-MU-v1.5-FR.pdf</t>
  </si>
  <si>
    <t>Manuel en PDF libre sur le site d'Alizé ; le logiciel est payant.</t>
  </si>
  <si>
    <t>PDF du manuel (page de titre)</t>
  </si>
  <si>
    <t>Manuel du logiciel qui applique le guide STAC 2016. Lien avec ta thèse : hypothèses de charge et de calcul du dimensionnement aéronautique français.</t>
  </si>
  <si>
    <t>STAC (2016) ; IFSTTAR (2016)</t>
  </si>
  <si>
    <t>https://scholar.google.com/scholar?q=%22Aliz%C3%A9-A%C3%A9ronautique%2C+version+1.5+%E2%80%94+Manuel+d%27utilisation%22</t>
  </si>
  <si>
    <t>BIB-075</t>
  </si>
  <si>
    <t>broutin2010hwd</t>
  </si>
  <si>
    <t>Évaluation des chaussées souples aéroportuaires à l'aide du déflectomètre à masse tombante (HWD) : développement d'une méthode d'analyse dynamique temporelle par éléments finis pour le calcul inverse des propriétés structurelles</t>
  </si>
  <si>
    <t>Broutin, M.</t>
  </si>
  <si>
    <t>École nationale des ponts et chaussées</t>
  </si>
  <si>
    <t>NNT 2010ENPC1008</t>
  </si>
  <si>
    <t>Notice officielle</t>
  </si>
  <si>
    <t>https://theses.fr/2010ENPC1008</t>
  </si>
  <si>
    <t>Notice theses.fr ; texte intégral à chercher sur PASTEL/HAL ou à demander à M. Broutin.</t>
  </si>
  <si>
    <t>theses.fr</t>
  </si>
  <si>
    <t>Thèse de ton encadrant : analyse dynamique temporelle par éléments finis des essais HWD sur chaussées aéroportuaires souples, et calcul inverse. Lien avec ta thèse : origine des travaux HWD du STAC, repris par Roussel (2020).</t>
  </si>
  <si>
    <t>https://scholar.google.com/scholar?q=%22%C3%89valuation+des+chauss%C3%A9es+souples+a%C3%A9roportuaires+%C3%A0+l%27aide+du+d%C3%A9flectom%C3%A8tre+%C3%A0+masse+tombante+%28HWD%29+%3A+d%C3%A9veloppement+d%27une+m%C3%A9thode+d%27analyse+dynamique+temporelle+par+%C3%A9l%C3%A9ments+finis+pour+le+calcul+inverse+des+propri%C3%A9t%C3%A9s+structurelles%22</t>
  </si>
  <si>
    <t>BIB-076</t>
  </si>
  <si>
    <t>clavel2018synthese</t>
  </si>
  <si>
    <t>Conception étape par étape avec utilisation d'Alizé-aéro — Méthode rationnelle de dimensionnement des chaussées aéronautiques souples</t>
  </si>
  <si>
    <t>Clavel, J.; Courant, T.</t>
  </si>
  <si>
    <t>16 p.</t>
  </si>
  <si>
    <t>https://www.stac.aviation-civile.gouv.fr/sites/default/files/gt_methode_dim_soup_alize-aero_light.pdf</t>
  </si>
  <si>
    <t>PDF STAC (couverture)</t>
  </si>
  <si>
    <t>Synthèse pas à pas de la méthode rationnelle avec le logiciel Alizé-Aéronautique. Lien avec ta thèse : lecture rapide pour situer ton modèle par rapport à la pratique de dimensionnement.</t>
  </si>
  <si>
    <t>STAC (2016)</t>
  </si>
  <si>
    <t>https://scholar.google.com/scholar?q=%22Conception+%C3%A9tape+par+%C3%A9tape+avec+utilisation+d%27Aliz%C3%A9-a%C3%A9ro+%E2%80%94+M%C3%A9thode+rationnelle+de+dimensionnement+des+chauss%C3%A9es+a%C3%A9ronautiques+souples%22</t>
  </si>
  <si>
    <t>BIB-077</t>
  </si>
  <si>
    <t>wang2013airport</t>
  </si>
  <si>
    <t>Three-dimensional finite element modeling of instrumented airport runway pavement responses</t>
  </si>
  <si>
    <t>Wang, H.; Al-Qadi, I. L.; Portas, S.; Coni, M.</t>
  </si>
  <si>
    <t>Transportation Research Record: Journal of the Transportation Research Board</t>
  </si>
  <si>
    <t>2367</t>
  </si>
  <si>
    <t>76-83</t>
  </si>
  <si>
    <t>10.3141/2367-08</t>
  </si>
  <si>
    <t>https://doi.org/10.3141/2367-08</t>
  </si>
  <si>
    <t>Modélisation éléments finis 3D d'une piste instrumentée (Cagliari-Elmas) : enrobé viscoélastique, contact non uniforme sur cinq nervures, interfaces collées ou décollées ; la pression uniforme sous-estime le cisaillement près de la surface, bon accord avec les mesures. Lien avec ta thèse : démarche éléments finis aéronautique très proche de la tienne.</t>
  </si>
  <si>
    <t>https://scholar.google.com/scholar?q=%22Three-dimensional+finite+element+modeling+of+instrumented+airport+runway+pavement+responses%22</t>
  </si>
  <si>
    <t>BIB-078</t>
  </si>
  <si>
    <t>lcpcsetra1994conception</t>
  </si>
  <si>
    <t>Conception et dimensionnement des structures de chaussée : guide technique</t>
  </si>
  <si>
    <t>LCPC; SETRA</t>
  </si>
  <si>
    <t>Laboratoire central des ponts et chaussées ; Service d'études techniques des routes et autoroutes</t>
  </si>
  <si>
    <t>ISBN 2-7208-7010-2</t>
  </si>
  <si>
    <t>https://doc.cerema.fr/Default/doc/SYRACUSE/15924</t>
  </si>
  <si>
    <t>Téléchargement libre (Licence Ouverte) sur le centre de documentation du Cerema.</t>
  </si>
  <si>
    <t>Notice du centre de documentation du Cerema (260 p.)</t>
  </si>
  <si>
    <t>Guide de la méthode française de dimensionnement rationnel des chaussées routières (familles de structures, essieu de référence, critères de fatigue et d'orniérage). Lien avec ta thèse : source de ta Figure 1-2 et de l'essieu de 32,5 kN par roue ; point de départ de la méthode STAC.</t>
  </si>
  <si>
    <t>AFNOR (2019) ; STAC (2016) ; IFSTTAR (2016)</t>
  </si>
  <si>
    <t>https://scholar.google.com/scholar?q=%22Conception+et+dimensionnement+des+structures+de+chauss%C3%A9e+%3A+guide+technique%22</t>
  </si>
  <si>
    <t>BIB-079</t>
  </si>
  <si>
    <t>cho1996fem</t>
  </si>
  <si>
    <t>Considerations on finite-element method application in pavement structural analysis</t>
  </si>
  <si>
    <t>Cho, Y.-H.; McCullough, B. F.; Weissmann, J.</t>
  </si>
  <si>
    <t>1539</t>
  </si>
  <si>
    <t>96-101</t>
  </si>
  <si>
    <t>10.1177/0361198196153900113</t>
  </si>
  <si>
    <t>https://doi.org/10.1177/0361198196153900113</t>
  </si>
  <si>
    <t>Recommandations pratiques pour les modèles EF de chaussée (type d'élément, finesse du maillage, étendue du domaine, conditions aux limites) par comparaison à la théorie multicouche. Lien avec ta thèse : à citer pour justifier ton domaine et ta convergence de maillage.</t>
  </si>
  <si>
    <t>Burmister (1945)</t>
  </si>
  <si>
    <t>https://scholar.google.com/scholar?q=%22Considerations+on+finite-element+method+application+in+pavement+structural+analysis%22</t>
  </si>
  <si>
    <t>BIB-080</t>
  </si>
  <si>
    <t>pouget2012mater</t>
  </si>
  <si>
    <t>Modeling of viscous bituminous wearing course materials on orthotropic steel deck</t>
  </si>
  <si>
    <t>Pouget, S.; Sauzéat, C.; Di Benedetto, H.; Olard, F.</t>
  </si>
  <si>
    <t>45</t>
  </si>
  <si>
    <t>1115-1125</t>
  </si>
  <si>
    <t>10.1617/s11527-011-9820-z</t>
  </si>
  <si>
    <t>https://doi.org/10.1617/s11527-011-9820-z</t>
  </si>
  <si>
    <t>Page Springer (DOI)</t>
  </si>
  <si>
    <t>Version publiée des calculs de la thèse de Pouget (revêtement viscoélastique sur dalle orthotrope). Lien avec ta thèse : forme citable de la méthode que tu reprends. Voir aussi Pouget et al., Mater. Struct. 43(3), 319-330 (DOI 10.1617/s11527-009-9491-1), sur la simulation de l'essai de flexion cinq points.</t>
  </si>
  <si>
    <t>Pouget (2011)</t>
  </si>
  <si>
    <t>https://scholar.google.com/scholar?q=%22Modeling+of+viscous+bituminous+wearing+course+materials+on+orthotropic+steel+deck%22</t>
  </si>
  <si>
    <t>BIB-081</t>
  </si>
  <si>
    <t>airbus2025a340ac</t>
  </si>
  <si>
    <t>A340-200/-300 Aircraft Characteristics – Airport and Maintenance Planning</t>
  </si>
  <si>
    <t>Issue 30/07/1992, révision du 01/12/2025 (§2-9-0 et §7-2-0)</t>
  </si>
  <si>
    <t>https://www.aircraft.airbus.com/sites/g/files/jlcbta126/files/2025-12/AC_A340-200-300_20251201.pdf</t>
  </si>
  <si>
    <t>PDF public sur le site d'Airbus.</t>
  </si>
  <si>
    <t>PDF Airbus (page de garde)</t>
  </si>
  <si>
    <t>Caractéristiques de l'A340-200/-300 pour la planification aéroportuaire : train d'atterrissage (§2-9-0), empreinte des pneus (§7-2-0). Lien avec ta thèse : source à citer pour la géométrie du bogie et la charge par roue de ta simulation, qui n'ont pas de référence dans le TFE.</t>
  </si>
  <si>
    <t>https://scholar.google.com/scholar?q=%22A340-200%2F-300+Aircraft+Characteristics+%E2%80%93+Airport+and+Maintenance+Planning%22</t>
  </si>
  <si>
    <t>BIB-082</t>
  </si>
  <si>
    <t>gharbi2022ovalization</t>
  </si>
  <si>
    <t>Analysis of ovalization measurements on flexible airfield pavement under HWD dynamic impulse load</t>
  </si>
  <si>
    <t>Gharbi, M.; Broutin, M.; Boulkhemair, I.; Nguyen, M. L.; Chabot, A.</t>
  </si>
  <si>
    <t>263-269</t>
  </si>
  <si>
    <t>10.1007/978-3-030-46455-4_33</t>
  </si>
  <si>
    <t>https://doi.org/10.1007/978-3-030-46455-4_33</t>
  </si>
  <si>
    <t>OpenAlex (DOI ; chapitre en ligne 2021)</t>
  </si>
  <si>
    <t>Mesures d'ovalisation sur chaussée aéroportuaire souple sous impulsion HWD, pour caractériser les interfaces. Lien avec ta thèse : instrumentation récente du STAC ; question des interfaces que ton modèle suppose collées.</t>
  </si>
  <si>
    <t>https://scholar.google.com/scholar?q=%22Analysis+of+ovalization+measurements+on+flexible+airfield+pavement+under+HWD+dynamic+impulse+load%22</t>
  </si>
  <si>
    <t>BIB-083</t>
  </si>
  <si>
    <t>afnor2019p98086</t>
  </si>
  <si>
    <t>NF P98-086 — Dimensionnement structurel des chaussées routières — Application aux chaussées neuves</t>
  </si>
  <si>
    <t>NF P98-086 (107 p.), remplace l'édition d'octobre 2011 et NF P98-080-1</t>
  </si>
  <si>
    <t>https://www.boutique.afnor.org/en-gb/standard/nf-p98086/road-pavement-structural-design-application-to-new-pavement/fa191354/82623</t>
  </si>
  <si>
    <t>Norme française actuelle de dimensionnement structurel des chaussées routières neuves, qui reprend la méthode rationnelle du guide LCPC-SETRA. Lien avec ta thèse : à citer pour les valeurs réglementaires actuelles plutôt que le guide de 1994.</t>
  </si>
  <si>
    <t>LCPC &amp; SETRA (1994)</t>
  </si>
  <si>
    <t>https://scholar.google.com/scholar?q=%22NF+P98-086+%E2%80%94+Dimensionnement+structurel+des+chauss%C3%A9es+routi%C3%A8res+%E2%80%94+Application+aux+chauss%C3%A9es+neuves%22</t>
  </si>
  <si>
    <t>BIB-084</t>
  </si>
  <si>
    <t>ifsttar2016alizelcpc</t>
  </si>
  <si>
    <t>Alizé-Lcpc, version 1.5 — Manuel d'utilisation</t>
  </si>
  <si>
    <t>IFSTTAR</t>
  </si>
  <si>
    <t>IFSTTAR (développement) ; itech-soft (distribution)</t>
  </si>
  <si>
    <t>https://www.alize-lcpc.com/fr/documents/ALIZE-LCPC-MU-v1.5-FR.pdf</t>
  </si>
  <si>
    <t>Manuel du logiciel de calcul multicouche élastique utilisé pour le dimensionnement routier français. Lien avec ta thèse : ton TFE cite « Alizé v1.5 » sans dire lequel des deux manuels (Alizé-LCPC ou Alizé-Aéronautique) : garde celui-ci pour le calcul multicouche et la version aéronautique pour le dimensionnement STAC.</t>
  </si>
  <si>
    <t>Blanc et al. (2016) ; Burmister (1945)</t>
  </si>
  <si>
    <t>https://scholar.google.com/scholar?q=%22Aliz%C3%A9-Lcpc%2C+version+1.5+%E2%80%94+Manuel+d%27utilisation%22</t>
  </si>
  <si>
    <t>BIB-085</t>
  </si>
  <si>
    <t>boussinesq1885potentiels</t>
  </si>
  <si>
    <t>Application des potentiels à l'étude de l'équilibre et du mouvement des solides élastiques</t>
  </si>
  <si>
    <t>Boussinesq, J.</t>
  </si>
  <si>
    <t>Gauthier-Villars</t>
  </si>
  <si>
    <t>Gallica ark:/12148/bpt6k9651115r ; Internet Archive applicationdesp00bousgoog</t>
  </si>
  <si>
    <t>https://archive.org/download/applicationdesp00bousgoog/applicationdesp00bousgoog.pdf</t>
  </si>
  <si>
    <t>Ouvrage du domaine public : PDF sur Internet Archive, texte aussi sur Gallica.</t>
  </si>
  <si>
    <t>Internet Archive (notice et PDF) + Gallica</t>
  </si>
  <si>
    <t>Solution du demi-espace élastique sous une force ponctuelle normale, point de départ de toutes les méthodes par superposition. Lien avec ta thèse : brique élémentaire de ta deuxième piste d'ouverture (intégrer la solution de Boussinesq sur ton empreinte hétérogène). Correction pour le TFE : le titre imprimé dit « solides élastiques », pas « corps élastiques ».</t>
  </si>
  <si>
    <t>Love (1929) ; Johnson (1985) ; Liu et al. (2000)</t>
  </si>
  <si>
    <t>https://scholar.google.com/scholar?q=%22Application+des+potentiels+%C3%A0+l%27%C3%A9tude+de+l%27%C3%A9quilibre+et+du+mouvement+des+solides+%C3%A9lastiques%22</t>
  </si>
  <si>
    <t>BIB-086</t>
  </si>
  <si>
    <t>cardoso2025semianalytical</t>
  </si>
  <si>
    <t>Semi-analytical modelling of realistic tire-pavement contact: an analysis of pavement surface cracking damage under critical driving conditions</t>
  </si>
  <si>
    <t>Cardoso da Silva, D.; Rakotovao Ravahatra, N.; Picoux, B.; Reynaud, P.; Yotte, S.; Petit, C.</t>
  </si>
  <si>
    <t>26</t>
  </si>
  <si>
    <t>1008-1031</t>
  </si>
  <si>
    <t>10.1080/14680629.2024.2386017</t>
  </si>
  <si>
    <t>https://hal.science/hal-05390538</t>
  </si>
  <si>
    <t>Version soumise sur HAL ; version éditeur chez Taylor &amp; Francis (abonnement).</t>
  </si>
  <si>
    <t>OpenAlex (DOI) + page Taylor &amp; Francis ; mis en ligne en 2024</t>
  </si>
  <si>
    <t>Modélisation semi-analytique d'un contact pneu-chaussée réaliste et de l'endommagement de surface en accélération, freinage et virage. Lien avec ta thèse : l'article que tu cites pour le rôle du cisaillement aux bords du pneu et des efforts tangentiels ; c'est aussi l'état de l'art le plus récent de ta piste b.</t>
  </si>
  <si>
    <t>Manyo et al. (2021) ; Wang &amp; Al-Qadi (2010) ; Sadoun et al. (2022)</t>
  </si>
  <si>
    <t>https://scholar.google.com/scholar?q=%22Semi-analytical+modelling+of+realistic+tire-pavement+contact%3A+an+analysis+of+pavement+surface+cracking+damage+under+critical+driving+conditions%22</t>
  </si>
  <si>
    <t>BIB-087</t>
  </si>
  <si>
    <t>chabot2010viscoroute</t>
  </si>
  <si>
    <t>ViscoRoute 2.0: A tool for the simulation of moving load effects on asphalt pavement</t>
  </si>
  <si>
    <t>Chabot, A.; Chupin, O.; Deloffre, L.; Duhamel, D.</t>
  </si>
  <si>
    <t>227-250</t>
  </si>
  <si>
    <t>10.1080/14680629.2010.9690274</t>
  </si>
  <si>
    <t>https://arxiv.org/pdf/1005.1763</t>
  </si>
  <si>
    <t>Version auteur sur arXiv (1005.1763) et HAL (hal-00482134) ; version éditeur chez Taylor &amp; Francis.</t>
  </si>
  <si>
    <t>Crossref (DOI) + arXiv + HAL</t>
  </si>
  <si>
    <t>Outil semi-analytique ViscoRoute 2.0 : demi-espace multicouche, loi thermo-viscoélastique de Huet-Sayegh, charges à vitesse constante ; motivé par les déformations transversales asymétriques mesurées sous charges multiples lentes sur des structures aéronautiques expérimentales. Lien avec ta thèse : référence française de la piste a, et solution de comparaison pour valider tes calculs COMSOL sur un cas simple.</t>
  </si>
  <si>
    <t>Duhamel et al. (2005) ; Chupin et al. (2010) ; Hopman (1996)</t>
  </si>
  <si>
    <t>https://scholar.google.com/scholar?q=%22ViscoRoute+2.0%3A+A+tool+for+the+simulation+of+moving+load+effects+on+asphalt+pavement%22</t>
  </si>
  <si>
    <t>BIB-088</t>
  </si>
  <si>
    <t>liu2000dcfft</t>
  </si>
  <si>
    <t>A versatile method of discrete convolution and FFT (DC-FFT) for contact analyses</t>
  </si>
  <si>
    <t>Liu, S.; Wang, Q.; Liu, G.</t>
  </si>
  <si>
    <t>Wear</t>
  </si>
  <si>
    <t>243</t>
  </si>
  <si>
    <t>1-2</t>
  </si>
  <si>
    <t>101-111</t>
  </si>
  <si>
    <t>10.1016/S0043-1648(00)00427-0</t>
  </si>
  <si>
    <t>https://doi.org/10.1016/S0043-1648(00)00427-0</t>
  </si>
  <si>
    <t>Méthode DC-FFT : calcule la convolution entre coefficients d'influence et chargement discrétisé par FFT, sans l'erreur de périodicité de la FFT classique. Lien avec ta thèse : c'est l'outil qui rend rapide la superposition de solutions de Boussinesq sur ton empreinte discrétisée (piste b).</t>
  </si>
  <si>
    <t>Boussinesq (1885) ; Jacq et al. (2002) ; Manyo et al. (2021)</t>
  </si>
  <si>
    <t>https://scholar.google.com/scholar?q=%22A+versatile+method+of+discrete+convolution+and+FFT+%28DC-FFT%29+for+contact+analyses%22</t>
  </si>
  <si>
    <t>BIB-089</t>
  </si>
  <si>
    <t>alkhoury2001spectral</t>
  </si>
  <si>
    <t>Spectral element technique for efficient parameter identification of layered media. I. Forward calculation</t>
  </si>
  <si>
    <t>Al-Khoury, R.; Scarpas, A.; Kasbergen, C.; Blaauwendraad, J.</t>
  </si>
  <si>
    <t>38</t>
  </si>
  <si>
    <t>1605-1623</t>
  </si>
  <si>
    <t>10.1016/S0020-7683(00)00112-8</t>
  </si>
  <si>
    <t>https://doi.org/10.1016/S0020-7683(00)00112-8</t>
  </si>
  <si>
    <t>Méthode des éléments spectraux pour milieux multicouches, résolue dans le domaine fréquentiel, appliquée au calcul direct d'essais de déflexion. Lien avec ta thèse : où le module complexe du 2S2P1D s'introduit sans conversion en série de Prony (piste a).</t>
  </si>
  <si>
    <t>Grenier et al. (2009) ; Roussel et al. (2020)</t>
  </si>
  <si>
    <t>https://scholar.google.com/scholar?q=%22Spectral+element+technique+for+efficient+parameter+identification+of+layered+media.+I.+Forward+calculation%22</t>
  </si>
  <si>
    <t>BIB-090</t>
  </si>
  <si>
    <t>hopman1996veroad</t>
  </si>
  <si>
    <t>VEROAD: A viscoelastic multilayer computer program</t>
  </si>
  <si>
    <t>Hopman, P. C.</t>
  </si>
  <si>
    <t>72-80</t>
  </si>
  <si>
    <t>10.1177/0361198196153900110</t>
  </si>
  <si>
    <t>https://doi.org/10.1177/0361198196153900110</t>
  </si>
  <si>
    <t>Programme de calcul multicouche viscoélastique linéaire sous charge roulante, de type semi-analytique. Lien avec ta thèse : précédent direct de ta piste a (viscoélasticité traitée dans le domaine fréquentiel plutôt que par éléments finis temporels).</t>
  </si>
  <si>
    <t>Nilsson et al. (2002) ; Chabot et al. (2010) ; Siddharthan et al. (1998)</t>
  </si>
  <si>
    <t>https://scholar.google.com/scholar?q=%22VEROAD%3A+A+viscoelastic+multilayer+computer+program%22</t>
  </si>
  <si>
    <t>BIB-091</t>
  </si>
  <si>
    <t>jacq2002sam</t>
  </si>
  <si>
    <t>Development of a three-dimensional semi-analytical elastic-plastic contact code</t>
  </si>
  <si>
    <t>Jacq, C.; Nélias, D.; Lormand, G.; Girodin, D.</t>
  </si>
  <si>
    <t>Journal of Tribology</t>
  </si>
  <si>
    <t>124</t>
  </si>
  <si>
    <t>653-667</t>
  </si>
  <si>
    <t>10.1115/1.1467920</t>
  </si>
  <si>
    <t>https://doi.org/10.1115/1.1467920</t>
  </si>
  <si>
    <t>ASME Digital Collection : vérifier l'accès depuis le réseau ENTPE, sinon PEB.</t>
  </si>
  <si>
    <t>OpenAlex (DOI) ; DOI 10.1115/1.xxx = article de revue (pas un acte DETC)</t>
  </si>
  <si>
    <t>Code semi-analytique 3D de contact élasto-plastique fondé sur des coefficients d'influence accélérés par FFT. Lien avec ta thèse : origine de la méthode semi-analytique (groupe de D. Nélias) reprise ensuite pour le contact pneu-chaussée par Manyo et Cardoso da Silva.</t>
  </si>
  <si>
    <t>Liu et al. (2000) ; Manyo et al. (2021) ; Cardoso da Silva et al. (2025)</t>
  </si>
  <si>
    <t>https://scholar.google.com/scholar?q=%22Development+of+a+three-dimensional+semi-analytical+elastic-plastic+contact+code%22</t>
  </si>
  <si>
    <t>BIB-092</t>
  </si>
  <si>
    <t>johnson1985contact</t>
  </si>
  <si>
    <t>Contact mechanics</t>
  </si>
  <si>
    <t>Johnson, K. L.</t>
  </si>
  <si>
    <t>Cambridge University Press</t>
  </si>
  <si>
    <t>10.1017/CBO9781139171731</t>
  </si>
  <si>
    <t>https://doi.org/10.1017/CBO9781139171731</t>
  </si>
  <si>
    <t>Ouvrage : bibliothèque de l'ENTPE ou du LTDS (version numérique Cambridge Core si abonnement).</t>
  </si>
  <si>
    <t>Ouvrage de référence de la mécanique du contact : solutions de Boussinesq et Cerruti (efforts normaux et tangentiels), contact de Hertz, contact roulant, matériaux viscoélastiques. Lien avec ta thèse : cadre théorique commun à tes deux pistes d'ouverture et à la prise en compte des efforts tangentiels.</t>
  </si>
  <si>
    <t>Boussinesq (1885) ; Love (1929)</t>
  </si>
  <si>
    <t>https://scholar.google.com/scholar?q=%22Contact+mechanics%22</t>
  </si>
  <si>
    <t>BIB-093</t>
  </si>
  <si>
    <t>love1929</t>
  </si>
  <si>
    <t>The stress produced in a semi-infinite solid by pressure on part of the boundary</t>
  </si>
  <si>
    <t>Love, A. E. H.</t>
  </si>
  <si>
    <t>Philosophical Transactions of the Royal Society of London. Series A</t>
  </si>
  <si>
    <t>228</t>
  </si>
  <si>
    <t>377-420</t>
  </si>
  <si>
    <t>10.1098/rsta.1929.0009</t>
  </si>
  <si>
    <t>https://doi.org/10.1098/rsta.1929.0009</t>
  </si>
  <si>
    <t>Article en accès libre chez la Royal Society.</t>
  </si>
  <si>
    <t>Intègre la solution de Boussinesq sur des aires chargées de forme simple, dont le rectangle uniformément chargé. Lien avec ta thèse : solution de contrôle pour valider une superposition numérique (ton empreinte rectangulaire uniforme de référence a une solution fermée en demi-espace).</t>
  </si>
  <si>
    <t>Boussinesq (1885)</t>
  </si>
  <si>
    <t>https://scholar.google.com/scholar?q=%22The+stress+produced+in+a+semi-infinite+solid+by+pressure+on+part+of+the+boundary%22</t>
  </si>
  <si>
    <t>BIB-094</t>
  </si>
  <si>
    <t>manyo2021semianalytical</t>
  </si>
  <si>
    <t>Approach of pavement surface layer degradation caused by tire contact using semi-analytical model</t>
  </si>
  <si>
    <t>Manyo, E. Y.; Picoux, B.; Reynaud, P.; Tautou, R.; Nélias, D.; Allou, F.; Petit, C.</t>
  </si>
  <si>
    <t>Materials</t>
  </si>
  <si>
    <t>2117</t>
  </si>
  <si>
    <t>10.3390/ma14092117</t>
  </si>
  <si>
    <t>https://www.mdpi.com/1996-1944/14/9/2117/pdf</t>
  </si>
  <si>
    <t>Libre accès (MDPI) ; aussi sur HAL et PubMed Central.</t>
  </si>
  <si>
    <t>Modèle semi-analytique du contact roulant avec frottement (théorie de Kalker) pour étudier la dégradation de la couche de surface ; profil du pneu numérisé par franges ou photogrammétrie ; déformations d'extension de surface et directions principales. Lien avec ta thèse : exemple abouti de ta piste b, appliqué à la même question que toi (fissuration descendante, directions principales). Le résumé ne mentionne pas de nappe Tekscan : à vérifier avant de le citer comme tel (TFE §1.3.5).</t>
  </si>
  <si>
    <t>Cardoso da Silva et al. (2025) ; Oubahdou et al. (2021) ; Jacq et al. (2002)</t>
  </si>
  <si>
    <t>https://scholar.google.com/scholar?q=%22Approach+of+pavement+surface+layer+degradation+caused+by+tire+contact+using+semi-analytical+model%22</t>
  </si>
  <si>
    <t>BIB-095</t>
  </si>
  <si>
    <t>roussel2020sem</t>
  </si>
  <si>
    <t>Simulation of heavy weight deflectometer test: spectral element method vs finite element method</t>
  </si>
  <si>
    <t>Roussel, J.-M.; Di Benedetto, H.; Sauzéat, C.; Broutin, M.</t>
  </si>
  <si>
    <t>Proceedings of the 9th International Conference on Maintenance and Rehabilitation of Pavements—Mairepav9</t>
  </si>
  <si>
    <t>76</t>
  </si>
  <si>
    <t>699-708</t>
  </si>
  <si>
    <t>10.1007/978-3-030-48679-2_65</t>
  </si>
  <si>
    <t>Lecture Notes in Civil Engineering, vol. 76</t>
  </si>
  <si>
    <t>https://doi.org/10.1007/978-3-030-48679-2_65</t>
  </si>
  <si>
    <t>SpringerLink : abonnement ENTPE ; sinon demander le texte à l'équipe.</t>
  </si>
  <si>
    <t>OpenAlex (DOI) + page SpringerLink du chapitre (titre des actes)</t>
  </si>
  <si>
    <t>Compare éléments spectraux (méthode semi-analytique fréquentielle, axisymétrique) et éléments finis pour simuler l'essai HWD avec des couches viscoélastiques, sur la planche d'essai du STAC. Lien avec ta thèse : travail de ton équipe (Di Benedetto, Sauzéat, Broutin) qui teste déjà la piste a sur chaussée aéronautique.</t>
  </si>
  <si>
    <t>Roussel (2020) ; Al-Khoury et al. (2001)</t>
  </si>
  <si>
    <t>https://scholar.google.com/scholar?q=%22Simulation+of+heavy+weight+deflectometer+test%3A+spectral+element+method+vs+finite+element+method%22</t>
  </si>
  <si>
    <t>BIB-096</t>
  </si>
  <si>
    <t>siddharthan1998moving</t>
  </si>
  <si>
    <t>Pavement strain from moving dynamic 3D load distribution</t>
  </si>
  <si>
    <t>Siddharthan, R. V.; Yao, J.; Sebaaly, P. E.</t>
  </si>
  <si>
    <t>557-566</t>
  </si>
  <si>
    <t>10.1061/(ASCE)0733-947X(1998)124:6(557)</t>
  </si>
  <si>
    <t>https://doi.org/10.1061/(ASCE)0733-947X(1998)124:6(557)</t>
  </si>
  <si>
    <t>Approche par couches finies continues pour calculer la déformation sous charge mobile réelle : variations dynamiques de charge, distribution complexe des contraintes normales et de cisaillement, vitesse, viscoélasticité. Lien avec ta thèse : montre comment injecter une empreinte non uniforme dans un calcul par couches (piste a) ; sa conclusion (cisaillement de contact sans effet notable sur la traction en base d'enrobé) porte sur la base, pas sur la surface.</t>
  </si>
  <si>
    <t>Siddharthan et al. (2002) ; Hopman (1996)</t>
  </si>
  <si>
    <t>https://scholar.google.com/scholar?q=%22Pavement+strain+from+moving+dynamic+3D+load+distribution%22</t>
  </si>
  <si>
    <t>BIB-097</t>
  </si>
  <si>
    <t>siddharthan2002contact</t>
  </si>
  <si>
    <t>Investigation of tire contact stress distributions on pavement response</t>
  </si>
  <si>
    <t>Siddharthan, R. V.; Krishnamenon, N.; El-Mously, M.; Sebaaly, P. E.</t>
  </si>
  <si>
    <t>128</t>
  </si>
  <si>
    <t>136-144</t>
  </si>
  <si>
    <t>10.1061/(ASCE)0733-947X(2002)128:2(136)</t>
  </si>
  <si>
    <t>https://doi.org/10.1061/(ASCE)0733-947X(2002)128:2(136)</t>
  </si>
  <si>
    <t>Compare, avec le modèle en couches finies 3D-Move, les réponses de chaussée sous distributions de contact uniformes et non uniformes (pneus classiques et larges) : écarts de 6 à 30 %, hypothèse uniforme jugée conservative sauf pour la traction en base d'enrobé. Lien avec ta thèse : même question que ton chapitre 3 pour des poids lourds, avec une conclusion en partie opposée ; à citer en discussion de tes écarts en surface.</t>
  </si>
  <si>
    <t>Siddharthan et al. (1998) ; Wang &amp; Al-Qadi (2009)</t>
  </si>
  <si>
    <t>https://scholar.google.com/scholar?q=%22Investigation+of+tire+contact+stress+distributions+on+pavement+response%22</t>
  </si>
  <si>
    <t>BIB-098</t>
  </si>
  <si>
    <t>chupin2010sliding</t>
  </si>
  <si>
    <t>Influence of sliding interfaces on the response of a layered viscoelastic medium under a moving load</t>
  </si>
  <si>
    <t>Chupin, O.; Chabot, A.; Piau, J.-M.; Duhamel, D.</t>
  </si>
  <si>
    <t>25-26</t>
  </si>
  <si>
    <t>3435-3446</t>
  </si>
  <si>
    <t>10.1016/j.ijsolstr.2010.08.020</t>
  </si>
  <si>
    <t>https://hal.science/hal-00561917</t>
  </si>
  <si>
    <t>Version auteur sur HAL ; version éditeur en accès libre chez Elsevier.</t>
  </si>
  <si>
    <t>Étend la méthode de ViscoRoute aux interfaces glissantes entre couches viscoélastiques. Lien avec ta thèse : l'hypothèse d'interfaces collées de ton modèle COMSOL est à discuter, en particulier pour le cisaillement près de la surface.</t>
  </si>
  <si>
    <t>Chabot et al. (2010) ; Yoo et al. (2006)</t>
  </si>
  <si>
    <t>https://scholar.google.com/scholar?q=%22Influence+of+sliding+interfaces+on+the+response+of+a+layered+viscoelastic+medium+under+a+moving+load%22</t>
  </si>
  <si>
    <t>BIB-099</t>
  </si>
  <si>
    <t>duhamel2005viscoroute</t>
  </si>
  <si>
    <t>ViscoRoute : modélisation des chaussées bitumineuses</t>
  </si>
  <si>
    <t>Duhamel, D.; Chabot, A.; Tamagny, P.; Harfouche, L.</t>
  </si>
  <si>
    <t>Bulletin des laboratoires des ponts et chaussées</t>
  </si>
  <si>
    <t>258-259</t>
  </si>
  <si>
    <t>89-103</t>
  </si>
  <si>
    <t>https://www.ifsttar.fr/collections/BLPCpdfs/blpc_258-259_89-103.pdf</t>
  </si>
  <si>
    <t>PDF libre dans les archives du BLPC (boucle de redirection possible : ouvrir le lien en http). Version anglaise de l'article diffusée par l'université du Nevada : http://www.arc.unr.edu/Workshops/Wide-Base_Tires/ViscoRoute-bl258-259-089-en.pdf</t>
  </si>
  <si>
    <t>Fichier officiel IFSTTAR (numéro, pages) ; auteurs et titre d'après citations</t>
  </si>
  <si>
    <t>Première présentation de ViscoRoute : méthode semi-analytique pour une chaussée multicouche viscoélastique sous charge mobile. Lien avec ta thèse : version détaillée en français du principe de ViscoRoute 2.0. NON VÉRIFIÉ (partiel) : numéro et pages constatés sur le fichier officiel ; auteurs et titre exact relevés dans des citations, le PDF n'ayant pas pu être ouvert (boucle de redirection).</t>
  </si>
  <si>
    <t>Chabot et al. (2010)</t>
  </si>
  <si>
    <t>https://scholar.google.com/scholar?q=%22ViscoRoute+%3A+mod%C3%A9lisation+des+chauss%C3%A9es+bitumineuses%22</t>
  </si>
  <si>
    <t>BIB-100</t>
  </si>
  <si>
    <t>grenier2009sem</t>
  </si>
  <si>
    <t>Dynamic simulation of falling weight deflectometer tests on flexible pavements using the spectral element method: forward calculations</t>
  </si>
  <si>
    <t>Grenier, S.; Konrad, J.-M.; LeBœuf, D.</t>
  </si>
  <si>
    <t>Canadian Journal of Civil Engineering</t>
  </si>
  <si>
    <t>944-956</t>
  </si>
  <si>
    <t>10.1139/L08-118</t>
  </si>
  <si>
    <t>https://doi.org/10.1139/L08-118</t>
  </si>
  <si>
    <t>Canadian Science Publishing : abonnement ENTPE ou PEB.</t>
  </si>
  <si>
    <t>Simulation dynamique d'essais FWD par éléments spectraux, validée sur mesures. Lien avec ta thèse : second exemple de calcul en domaine fréquentiel de chaussées souples, utile pour comparer les approches.</t>
  </si>
  <si>
    <t>Al-Khoury et al. (2001) ; Roussel et al. (2020)</t>
  </si>
  <si>
    <t>https://scholar.google.com/scholar?q=%22Dynamic+simulation+of+falling+weight+deflectometer+tests+on+flexible+pavements+using+the+spectral+element+method%3A+forward+calculations%22</t>
  </si>
  <si>
    <t>BIB-101</t>
  </si>
  <si>
    <t>maina2004games</t>
  </si>
  <si>
    <t>Developing software for elastic analysis of pavement structure responses to vertical and horizontal surface loadings</t>
  </si>
  <si>
    <t>Maina, J. W.; Matsui, K.</t>
  </si>
  <si>
    <t>1896</t>
  </si>
  <si>
    <t>107-118</t>
  </si>
  <si>
    <t>10.3141/1896-11</t>
  </si>
  <si>
    <t>https://doi.org/10.3141/1896-11</t>
  </si>
  <si>
    <t>Logiciel (GAMES) de calcul multicouche élastique sous chargements verticaux et horizontaux de surface. Lien avec ta thèse : J. W. Maina a ensuite travaillé avec De Beer sur l'usage des contraintes de contact SIM en dimensionnement ; outil de contrôle pour les efforts tangentiels.</t>
  </si>
  <si>
    <t>De Beer et al. (2012)</t>
  </si>
  <si>
    <t>https://scholar.google.com/scholar?q=%22Developing+software+for+elastic+analysis+of+pavement+structure+responses+to+vertical+and+horizontal+surface+loadings%22</t>
  </si>
  <si>
    <t>BIB-102</t>
  </si>
  <si>
    <t>canestrari2020review</t>
  </si>
  <si>
    <t>A review of top-down cracking in asphalt pavements: Causes, models, experimental tools and future challenges</t>
  </si>
  <si>
    <t>Canestrari, F.; Ingrassia, L. P.</t>
  </si>
  <si>
    <t>Journal of Traffic and Transportation Engineering (English Edition)</t>
  </si>
  <si>
    <t>541-572</t>
  </si>
  <si>
    <t>10.1016/j.jtte.2020.08.002</t>
  </si>
  <si>
    <t>https://jtte.chd.edu.cn/article/doi/10.1016/j.jtte.2020.08.002</t>
  </si>
  <si>
    <t>Revue en libre accès.</t>
  </si>
  <si>
    <t>Page de l'article sur le site de la revue</t>
  </si>
  <si>
    <t>Synthèse sur la fissuration descendante : causes, modèles d'amorçage et de propagation, essais. Lien avec ta thèse : la meilleure porte d'entrée pour construire ton critère de surface et situer ton argument sur les directions principales.</t>
  </si>
  <si>
    <t>Roque et al. (2010) ; Myers et al. (2001) ; Sadoun et al. (2022)</t>
  </si>
  <si>
    <t>https://scholar.google.com/scholar?q=%22A+review+of+top-down+cracking+in+asphalt+pavements%3A+Causes%2C+models%2C+experimental+tools+and+future+challenges%22</t>
  </si>
  <si>
    <t>BIB-103</t>
  </si>
  <si>
    <t>wang2010nearsurface</t>
  </si>
  <si>
    <t>Near-surface pavement failure under multiaxial stress state in thick asphalt pavement</t>
  </si>
  <si>
    <t>2154</t>
  </si>
  <si>
    <t>91-99</t>
  </si>
  <si>
    <t>10.3141/2154-08</t>
  </si>
  <si>
    <t>https://doi.org/10.3141/2154-08</t>
  </si>
  <si>
    <t>Modèle éléments finis 3D (contraintes de contact 3D mesurées, enrobé viscoélastique linéaire, charge mobile) et critère de Mohr-Coulomb pour la rupture près de la surface d'une chaussée épaisse : risque d'amorçage en surface croissant avec la température, rupture par cisaillement un peu sous la surface à chaud, pression uniforme qui sous-estime ce risque. Lien avec ta thèse : tu t'appuies dessus pour ton maximum de cisaillement vers 50 mm sous le profil hétérogène (valeur à retrouver dans le texte : elle n'est pas dans le résumé) ; base d'un futur critère de surface.</t>
  </si>
  <si>
    <t>Wang &amp; Al-Qadi (2009) ; Sadoun et al. (2022) ; Yoo et al. (2006)</t>
  </si>
  <si>
    <t>https://scholar.google.com/scholar?q=%22Near-surface+pavement+failure+under+multiaxial+stress+state+in+thick+asphalt+pavement%22</t>
  </si>
  <si>
    <t>BIB-104</t>
  </si>
  <si>
    <t>dibenedetto2004fatigue</t>
  </si>
  <si>
    <t>Fatigue of bituminous mixtures</t>
  </si>
  <si>
    <t>Di Benedetto, H.; de La Roche, C.; Baaj, H.; Pronk, A.; Lundström, R.</t>
  </si>
  <si>
    <t>37</t>
  </si>
  <si>
    <t>202-216</t>
  </si>
  <si>
    <t>10.1007/BF02481620</t>
  </si>
  <si>
    <t>https://doi.org/10.1007/BF02481620</t>
  </si>
  <si>
    <t>Campagne interlaboratoires du comité RILEM 182-PEB : onze essais de fatigue (traction-compression, flexion 2, 3 et 4 points, traction indirecte), plus de 150 essais à 10 Hz et 10 °C ; l'approche classique dépend du type d'essai, l'endommagement continu isole mieux la fatigue intrinsèque. Lien avec ta thèse : cadre de la loi de fatigue sur laquelle repose ton calcul de durée de vie.</t>
  </si>
  <si>
    <t>Di Benedetto et al. (2011) ; Miner (1945) ; AFNOR (2019)</t>
  </si>
  <si>
    <t>https://scholar.google.com/scholar?q=%22Fatigue+of+bituminous+mixtures%22</t>
  </si>
  <si>
    <t>BIB-105</t>
  </si>
  <si>
    <t>kim2009topdown</t>
  </si>
  <si>
    <t>Viscoelastic analysis of flexible pavements and its effects on top-down cracking</t>
  </si>
  <si>
    <t>Kim, J.; Roque, R.; Byron, T.</t>
  </si>
  <si>
    <t>21</t>
  </si>
  <si>
    <t>324-332</t>
  </si>
  <si>
    <t>10.1061/(ASCE)0899-1561(2009)21:7(324)</t>
  </si>
  <si>
    <t>https://doi.org/10.1061/(ASCE)0899-1561(2009)21:7(324)</t>
  </si>
  <si>
    <t>Montre ce que change une analyse viscoélastique (plutôt qu'élastique) pour les contraintes associées à la fissuration descendante. Lien avec ta thèse : appuie ton choix viscoélastique pour tout critère de surface.</t>
  </si>
  <si>
    <t>Elseifi et al. (2006) ; Roque et al. (2010)</t>
  </si>
  <si>
    <t>https://scholar.google.com/scholar?q=%22Viscoelastic+analysis+of+flexible+pavements+and+its+effects+on+top-down+cracking%22</t>
  </si>
  <si>
    <t>BIB-106</t>
  </si>
  <si>
    <t>myers2001propagation</t>
  </si>
  <si>
    <t>Propagation mechanisms for surface-initiated longitudinal wheelpath cracks</t>
  </si>
  <si>
    <t>Myers, L. A.; Roque, R.; Birgisson, B.</t>
  </si>
  <si>
    <t>1778</t>
  </si>
  <si>
    <t>113-122</t>
  </si>
  <si>
    <t>10.3141/1778-14</t>
  </si>
  <si>
    <t>https://doi.org/10.3141/1778-14</t>
  </si>
  <si>
    <t>Mécanismes de propagation des fissures longitudinales amorcées en surface dans les traces de roue (éléments finis et mécanique de la rupture) : propagation surtout en traction, cisaillement non déterminant ; rôle majeur de la position de la charge. Lien avec ta thèse : l'amorçage y est attribué aux fortes contraintes de contact des pneus radiaux ; à confronter à ton argument sur le cisaillement, qui porte sur l'amorçage.</t>
  </si>
  <si>
    <t>Roque et al. (2010) ; Canestrari &amp; Ingrassia (2020)</t>
  </si>
  <si>
    <t>https://scholar.google.com/scholar?q=%22Propagation+mechanisms+for+surface-initiated+longitudinal+wheelpath+cracks%22</t>
  </si>
  <si>
    <t>BIB-107</t>
  </si>
  <si>
    <t>oubahdou2021bend</t>
  </si>
  <si>
    <t>Effect of the tire – pavement contact at the surface layer when the tire is tilted in bend</t>
  </si>
  <si>
    <t>Oubahdou, Y.; Wallace, E.-R.; Reynaud, P.; Picoux, B.; Dopeux, J.; Petit, C.; Nélias, D.</t>
  </si>
  <si>
    <t>305</t>
  </si>
  <si>
    <t>124765</t>
  </si>
  <si>
    <t>10.1016/j.conbuildmat.2021.124765</t>
  </si>
  <si>
    <t>https://hal.science/hal-03660005</t>
  </si>
  <si>
    <t>Version auteur sur HAL ; version éditeur chez Elsevier.</t>
  </si>
  <si>
    <t>Contact d'un pneu incliné en virage : modèle semi-analytique (géométrie du pneu par photogrammétrie, module équivalent fonction du gonflage) comparé à des mesures de contrainte verticale sous presse, pour plusieurs charges et inclinaisons. Lien avec ta thèse : illustre l'asymétrie des contraintes en virage, un cas de charge que ton profil symétrique ne couvre pas encore. Le résumé parle de mesures sous presse (statiques) sans nommer de nappe Tekscan : à vérifier avant de le citer pour des mesures en dynamique (TFE §1.3.5).</t>
  </si>
  <si>
    <t>Manyo et al. (2021) ; Cardoso da Silva et al. (2025) ; He et al. (2021)</t>
  </si>
  <si>
    <t>https://scholar.google.com/scholar?q=%22Effect+of+the+tire+%E2%80%93+pavement+contact+at+the+surface+layer+when+the+tire+is+tilted+in+bend%22</t>
  </si>
  <si>
    <t>BIB-108</t>
  </si>
  <si>
    <t>nchrp2010topdown</t>
  </si>
  <si>
    <t>Top-down cracking of hot-mix asphalt layers: Models for initiation and propagation</t>
  </si>
  <si>
    <t>Roque, R.; Zou, J.; Kim, Y. R.; Baek, C.; Thirunavukkarasu, S.; Underwood, B. S.; Guddati, M. N.</t>
  </si>
  <si>
    <t>Transportation Research Board</t>
  </si>
  <si>
    <t>NCHRP Web-Only Document 162 (projet NCHRP 1-42A), 286 p.</t>
  </si>
  <si>
    <t>https://nap.nationalacademies.org/catalog/22935</t>
  </si>
  <si>
    <t>PDF gratuit sur le site des National Academies (création de compte possible).</t>
  </si>
  <si>
    <t>TRID (notice) + page NAP</t>
  </si>
  <si>
    <t>Rapport de recherche qui développe des modèles d'amorçage et de propagation de la fissuration descendante dans les enrobés. Lien avec ta thèse : cadre le plus complet pour passer de tes champs de contraintes de surface à une prévision d'endommagement.</t>
  </si>
  <si>
    <t>Canestrari &amp; Ingrassia (2020) ; Myers et al. (2001) ; Kim et al. (2009)</t>
  </si>
  <si>
    <t>https://scholar.google.com/scholar?q=%22Top-down+cracking+of+hot-mix+asphalt+layers%3A+Models+for+initiation+and+propagation%22</t>
  </si>
  <si>
    <t>BIB-109</t>
  </si>
  <si>
    <t>weissman1999</t>
  </si>
  <si>
    <t>Influence of tire-pavement contact stress distribution on development of distress mechanisms in pavements</t>
  </si>
  <si>
    <t>Weissman, S. L.</t>
  </si>
  <si>
    <t>1655</t>
  </si>
  <si>
    <t>161-167</t>
  </si>
  <si>
    <t>10.3141/1655-21</t>
  </si>
  <si>
    <t>https://doi.org/10.3141/1655-21</t>
  </si>
  <si>
    <t>Étudie comment la distribution des contraintes de contact pneu-chaussée modifie les mécanismes de dégradation, notamment près de la surface. Lien avec ta thèse : un des premiers travaux reliant empreinte non uniforme et endommagement de surface, à citer en introduction de ton chapitre sur les critères.</t>
  </si>
  <si>
    <t>Wang &amp; Al-Qadi (2010) ; Siddharthan et al. (2002)</t>
  </si>
  <si>
    <t>https://scholar.google.com/scholar?q=%22Influence+of+tire-pavement+contact+stress+distribution+on+development+of+distress+mechanisms+in+pavements%22</t>
  </si>
  <si>
    <t>BIB-110</t>
  </si>
  <si>
    <t>faa2021ac6g</t>
  </si>
  <si>
    <t>Airport Pavement Design and Evaluation</t>
  </si>
  <si>
    <t>FAA</t>
  </si>
  <si>
    <t>U.S. Department of Transportation, Federal Aviation Administration</t>
  </si>
  <si>
    <t>Advisory Circular AC 150/5320-6G</t>
  </si>
  <si>
    <t>https://www.faa.gov/documentLibrary/media/Advisory_Circular/150-5320-6G-Pavement-Design.pdf</t>
  </si>
  <si>
    <t>PDF public sur le site de la FAA.</t>
  </si>
  <si>
    <t>PDF FAA (page de garde)</t>
  </si>
  <si>
    <t>Circulaire FAA de conception et d'évaluation des chaussées aéroportuaires, fondée sur FAARFIELD 2.0 et calée sur les essais du NAPTF ; annule la 6F de 2016. Lien avec ta thèse : méthode américaine, critères en base de couche et au sommet du sol support.</t>
  </si>
  <si>
    <t>FAA (2024) ; FAA (2022)</t>
  </si>
  <si>
    <t>https://scholar.google.com/scholar?q=%22Airport+Pavement+Design+and+Evaluation%22</t>
  </si>
  <si>
    <t>BIB-111</t>
  </si>
  <si>
    <t>faa2022ac5335</t>
  </si>
  <si>
    <t>Standardized Method of Reporting Airport Pavement Strength – PCR</t>
  </si>
  <si>
    <t>Advisory Circular AC 150/5335-5D</t>
  </si>
  <si>
    <t>https://www.faa.gov/documentLibrary/media/Advisory_Circular/150-5335-5D-Pavement-Strength-202501.pdf</t>
  </si>
  <si>
    <t>PDF public sur le site de la FAA (version mise à jour en 2025).</t>
  </si>
  <si>
    <t>Circulaire FAA sur le report de la portance par la méthode ACR-PCR ; annule la 5C de 2014. Selon la lettre FAA du 17/10/2024, l'OACI a adopté l'ACR-PCR en juillet 2020, avec une pleine applicabilité le 28/11/2024. Lien avec ta thèse : cadre réglementaire actuel de l'aéronautique.</t>
  </si>
  <si>
    <t>OACI (2022) ; Travailleur &amp; Broutin (2022)</t>
  </si>
  <si>
    <t>https://scholar.google.com/scholar?q=%22Standardized+Method+of+Reporting+Airport+Pavement+Strength+%E2%80%93+PCR%22</t>
  </si>
  <si>
    <t>BIB-112</t>
  </si>
  <si>
    <t>hosang1975wander</t>
  </si>
  <si>
    <t>Field survey and analysis of aircraft distribution on airport pavements</t>
  </si>
  <si>
    <t>HoSang, V. A.</t>
  </si>
  <si>
    <t>U.S. Army Engineer Waterways Experiment Station, pour la FAA</t>
  </si>
  <si>
    <t>FAA-RD-74-036 ; DTIC ADA011488</t>
  </si>
  <si>
    <t>https://www.airporttech.tc.faa.gov/Products/Airport-Safety-Papers-Publications/Airport-Safety-Detail/ArtMID/3682/ArticleID/152/Field-Survey-and-Analysis-of-Aircraft-Distribution-on-Airport-Pavements</t>
  </si>
  <si>
    <t>Notice FAA Airport Technology ; le rapport est référencé sur DTIC sous ADA011488.</t>
  </si>
  <si>
    <t>FAA AC 150/5320-6E, annexe 4 + page FAA Airport Technology</t>
  </si>
  <si>
    <t>Relevé de terrain de la répartition transversale des passages d'avions (balayage latéral) sur les chaussées. Lien avec ta thèse : base des hypothèses de balayage, indispensable pour cumuler un dommage de surface très localisé.</t>
  </si>
  <si>
    <t>https://scholar.google.com/scholar?q=%22Field+survey+and+analysis+of+aircraft+distribution+on+airport+pavements%22</t>
  </si>
  <si>
    <t>BIB-113</t>
  </si>
  <si>
    <t>icao2022annex14</t>
  </si>
  <si>
    <t>Annexe 14 — Aérodromes, Volume I : Conception et exploitation technique des aérodromes (9e édition)</t>
  </si>
  <si>
    <t>OACI</t>
  </si>
  <si>
    <t>Organisation de l'aviation civile internationale</t>
  </si>
  <si>
    <t>Annex 14 Vol. I, 9th edition; ISBN 978-92-9265-735-2</t>
  </si>
  <si>
    <t>https://store.icao.int/en/annex-14-aerodromes</t>
  </si>
  <si>
    <t>Boutique OACI ; le STAC en dispose.</t>
  </si>
  <si>
    <t>Boutique OACI</t>
  </si>
  <si>
    <t>Normes internationales des aérodromes, dont le report de portance par la méthode ACR-PCR, pleinement applicable depuis le 28/11/2024 (date donnée par la lettre FAA du 17/10/2024). Lien avec ta thèse : cadre réglementaire international.</t>
  </si>
  <si>
    <t>OACI (2022) ; FAA (2022)</t>
  </si>
  <si>
    <t>https://scholar.google.com/scholar?q=%22Annexe+14+%E2%80%94+A%C3%A9rodromes%2C+Volume+I+%3A+Conception+et+exploitation+technique+des+a%C3%A9rodromes+%289e+%C3%A9dition%29%22</t>
  </si>
  <si>
    <t>BIB-114</t>
  </si>
  <si>
    <t>icao2022doc9157p3</t>
  </si>
  <si>
    <t>Aerodrome Design Manual, Part 3 — Pavements (3rd edition)</t>
  </si>
  <si>
    <t>Doc 9157 Part 3, 3e édition</t>
  </si>
  <si>
    <t>https://store.icao.int/en/aerodrome-design-manual-part-3-pavements-doc-9157-part-3</t>
  </si>
  <si>
    <t>Manuel OACI de conception des chaussées, incluant l'évaluation et le report de la portance (ACR-PCR). Lien avec ta thèse : référence technique internationale.</t>
  </si>
  <si>
    <t>OACI (2022)</t>
  </si>
  <si>
    <t>https://scholar.google.com/scholar?q=%22Aerodrome+Design+Manual%2C+Part+3+%E2%80%94+Pavements+%283rd+edition%29%22</t>
  </si>
  <si>
    <t>BIB-115</t>
  </si>
  <si>
    <t>roginski2007tire</t>
  </si>
  <si>
    <t>Effects of aircraft tire pressures on flexible pavements</t>
  </si>
  <si>
    <t>Roginski, M. J.</t>
  </si>
  <si>
    <t>Airfield Pavement Workshop (AP01), XXIIIe Congrès mondial de la route AIPCR, Paris 2007</t>
  </si>
  <si>
    <t>AIPCR</t>
  </si>
  <si>
    <t>Communication AP01</t>
  </si>
  <si>
    <t>https://proceedings-paris2007.piarc.org/ressources/files/3/AP01-ROGINSKI-E.pdf</t>
  </si>
  <si>
    <t>PDF public (actes AIPCR Paris 2007).</t>
  </si>
  <si>
    <t>PDF de la communication</t>
  </si>
  <si>
    <t>Point de vue de Boeing : les catégories de pression de pneu de l'ACN/PCN ne représentent plus la flotte ; essais au centre de la FAA (roue simple, 18,1 à 24,9 t, pressions croissantes) sans effet néfaste jusqu'à 1,65 MPa sur des chaussées souples conformes aux minima (10 à 15 cm d'enrobé). Lien avec ta thèse : contexte de la hausse des pressions et contre-point direct à ton argument, à discuter (critères globaux d'ornière et de PCI, pas de critère de surface).</t>
  </si>
  <si>
    <t>https://scholar.google.com/scholar?q=%22Effects+of+aircraft+tire+pressures+on+flexible+pavements%22</t>
  </si>
  <si>
    <t>BIB-116</t>
  </si>
  <si>
    <t>travailleur2022rgra</t>
  </si>
  <si>
    <t>Méthode ACR/PCR d'admissibilité des aéronefs</t>
  </si>
  <si>
    <t>Travailleur, L.; Broutin, M.</t>
  </si>
  <si>
    <t>RGRA — Revue générale des routes et de l'aménagement</t>
  </si>
  <si>
    <t>993</t>
  </si>
  <si>
    <t>https://www.editions-rgra.com/revue/993/aeroports/methode-acrpcr-dadmissibilite-des-aeronefs</t>
  </si>
  <si>
    <t>Revue payante : demander à la documentation de l'ENTPE (ou à M. Broutin).</t>
  </si>
  <si>
    <t>Page de l'éditeur (RGRA)</t>
  </si>
  <si>
    <t>Présentation par le STAC de la méthode ACR/PCR, effective en novembre 2024. Lien avec ta thèse : vision du partenaire industriel, co-écrite par ton encadrant.</t>
  </si>
  <si>
    <t>FAA (2022)</t>
  </si>
  <si>
    <t>https://scholar.google.com/scholar?q=%22M%C3%A9thode+ACR%2FPCR+d%27admissibilit%C3%A9+des+a%C3%A9ronefs%22</t>
  </si>
  <si>
    <t>BIB-117</t>
  </si>
  <si>
    <t>afnor2019en1269724</t>
  </si>
  <si>
    <t>NF EN 12697-24 — Mélanges bitumineux — Méthodes d'essai — Partie 24 : résistance à la fatigue</t>
  </si>
  <si>
    <t>NF EN 12697-24</t>
  </si>
  <si>
    <t>https://norminfo.afnor.org/norme/nf-en-12697-24/melanges-bitumineux-methodes-dessai-pour-melange-hydrocarbone-a-chaud-partie-24-resistance-a-la-fatigue/107546</t>
  </si>
  <si>
    <t>Norm'Info AFNOR (en réexamen)</t>
  </si>
  <si>
    <t>Norme des essais de fatigue des enrobés (dont la flexion deux points sur éprouvette trapézoïdale pratiquée en France). Lien avec ta thèse : essai qui fournit les paramètres de fatigue des matériaux utilisés en dimensionnement, donc dans ton calcul de durée de vie.</t>
  </si>
  <si>
    <t>Di Benedetto et al. (2004) ; AFNOR (2019)</t>
  </si>
  <si>
    <t>https://scholar.google.com/scholar?q=%22NF+EN+12697-24+%E2%80%94+M%C3%A9langes+bitumineux+%E2%80%94+M%C3%A9thodes+d%27essai+%E2%80%94+Partie+24+%3A+r%C3%A9sistance+%C3%A0+la+fatigue%22</t>
  </si>
  <si>
    <t>BIB-118</t>
  </si>
  <si>
    <t>garg2018rutting</t>
  </si>
  <si>
    <t>Rutting evaluation of hot and warm mix asphalt concrete under high aircraft tire pressure and temperature at National Airport Pavement and Materials Research Center</t>
  </si>
  <si>
    <t>Garg, N.; Kazmee, H.; Ricalde, L.; Parsons, T. A.</t>
  </si>
  <si>
    <t>2672</t>
  </si>
  <si>
    <t>117-127</t>
  </si>
  <si>
    <t>10.1177/0361198118794293</t>
  </si>
  <si>
    <t>https://doi.org/10.1177/0361198118794293</t>
  </si>
  <si>
    <t>Évaluation de l'orniérage d'enrobés chauds et tièdes sous pneus d'avion à haute pression et à température élevée, au centre de recherche de la FAA (NAPMRC). Lien avec ta thèse : pendant américain du programme HTPT, pour l'orniérage des couches de surface.</t>
  </si>
  <si>
    <t>Airbus S.A.S. (2010) ; STAC (2011) ; Bazi et al. (2021)</t>
  </si>
  <si>
    <t>https://scholar.google.com/scholar?q=%22Rutting+evaluation+of+hot+and+warm+mix+asphalt+concrete+under+high+aircraft+tire+pressure+and+temperature+at+National+Airport+Pavement+and+Materials+Research+Center%22</t>
  </si>
  <si>
    <t>BIB-119</t>
  </si>
  <si>
    <t>guo2025rutting</t>
  </si>
  <si>
    <t>Analysis of tire contact stresses and asphalt pavement rutting under gradient temperature and typical driving conditions</t>
  </si>
  <si>
    <t>Guo, M.; Liu, P.; Feng, W.; Li, X.; Ge, H.</t>
  </si>
  <si>
    <t>Scientific Reports</t>
  </si>
  <si>
    <t>15</t>
  </si>
  <si>
    <t>2985</t>
  </si>
  <si>
    <t>10.1038/s41598-025-87453-2</t>
  </si>
  <si>
    <t>https://www.nature.com/articles/s41598-025-87453-2.pdf</t>
  </si>
  <si>
    <t>Libre accès (Nature Portfolio).</t>
  </si>
  <si>
    <t>Contraintes de contact pneu-chaussée et orniérage sous gradient de température et différentes conditions de roulage. Lien avec ta thèse : cité dans ton TFE pour la forme elliptique de l'empreinte ; aussi un exemple de couplage température-contact pour l'orniérage.</t>
  </si>
  <si>
    <t>Garg et al. (2018)</t>
  </si>
  <si>
    <t>https://scholar.google.com/scholar?q=%22Analysis+of+tire+contact+stresses+and+asphalt+pavement+rutting+under+gradient+temperature+and+typical+driving+conditions%22</t>
  </si>
  <si>
    <t>BIB-120</t>
  </si>
  <si>
    <t>miner1945</t>
  </si>
  <si>
    <t>Cumulative damage in fatigue</t>
  </si>
  <si>
    <t>Miner, M. A.</t>
  </si>
  <si>
    <t>Journal of Applied Mechanics</t>
  </si>
  <si>
    <t>A159-A164</t>
  </si>
  <si>
    <t>10.1115/1.4009458</t>
  </si>
  <si>
    <t>https://doi.org/10.1115/1.4009458</t>
  </si>
  <si>
    <t>ASME Digital Collection : vérifier l'accès ENTPE, sinon PEB.</t>
  </si>
  <si>
    <t>Loi de cumul linéaire des dommages en fatigue. Lien avec ta thèse : base du cumul des dommages de passages différents, notamment pour intégrer le balayage transversal des avions.</t>
  </si>
  <si>
    <t>Di Benedetto et al. (2004) ; HoSang (1975)</t>
  </si>
  <si>
    <t>https://scholar.google.com/scholar?q=%22Cumulative+damage+in+fatigue%22</t>
  </si>
  <si>
    <t>BIB-121</t>
  </si>
  <si>
    <t>bazi2021naptf</t>
  </si>
  <si>
    <t>Instrumented flexible pavement responses under aircraft loading</t>
  </si>
  <si>
    <t>Bazi, G.; Mansour, E.; Sebaaly, P. E.; Ji, R.; Garg, N.</t>
  </si>
  <si>
    <t>22</t>
  </si>
  <si>
    <t>1213-1225</t>
  </si>
  <si>
    <t>10.1080/10298436.2019.1671589</t>
  </si>
  <si>
    <t>https://doi.org/10.1080/10298436.2019.1671589</t>
  </si>
  <si>
    <t>OpenAlex (DOI ; mise en ligne 2019)</t>
  </si>
  <si>
    <t>Réponses mesurées de chaussées souples instrumentées sous charges d'avion à l'installation d'essais de la FAA. Lien avec ta thèse : données de validation en profondeur, comparables à celles du PEP.</t>
  </si>
  <si>
    <t>https://scholar.google.com/scholar?q=%22Instrumented+flexible+pavement+responses+under+aircraft+loading%22</t>
  </si>
  <si>
    <t>BIB-122</t>
  </si>
  <si>
    <t>faa2024faarfield</t>
  </si>
  <si>
    <t>FAARFIELD 2.1 — Airport pavement thickness design and evaluation software</t>
  </si>
  <si>
    <t>FAA Airport Technology Research and Development Branch</t>
  </si>
  <si>
    <t>Version courante 2.1.2 (fiche technique 2.1 de mai 2024)</t>
  </si>
  <si>
    <t>https://www.airporttech.tc.faa.gov/Products/Airport-Pavement-Papers-Publications/Airport-Pavement-Detail/FAARFIELD-212</t>
  </si>
  <si>
    <t>Logiciel gratuit, téléchargeable sur le site FAA Airport Technology.</t>
  </si>
  <si>
    <t>Page FAA Airport Technology</t>
  </si>
  <si>
    <t>Logiciel FAA de dimensionnement et d'évaluation des chaussées aéroportuaires. Lien avec ta thèse : comparer ses hypothèses de charge (empreinte, pression) aux tiennes.</t>
  </si>
  <si>
    <t>FAA (2021)</t>
  </si>
  <si>
    <t>https://scholar.google.com/scholar?q=%22FAARFIELD+2.1+%E2%80%94+Airport+pavement+thickness+design+and+evaluation+software%22</t>
  </si>
  <si>
    <t>Lecture détaillée — une fiche par référence, d'après les résumés</t>
  </si>
  <si>
    <t>Analyse rédigée à partir des résumés publiés (ou, à défaut, de la notice ou de la page de présentation) : elle dit ce que les auteurs annoncent, pas ce que tu en retiendras après lecture complète. 70 références ont un résumé complet, 18 un texte partiel (résumé reconstruit, chapeau, pages lues en partie) et 34 n'ont aucun résumé en ligne (normes, ouvrages, thèses anciennes, manuels, rapport confidentiel) : celles-là n'interviennent ici que pour ce que dit leur notice. Tout est reformulé, sans citation longue.</t>
  </si>
  <si>
    <t>Texte lu : Complet = résumé publié en entier · Partiel = résumé reconstruit, chapeau ou pages lues en partie · Aucun = pas de résumé en ligne (fiche de repérage : ce que la notice dit du document et ce qu'il faudra y chercher). Colonnes grises : reprises de Références par l'ID. Les fiches sont modifiables.</t>
  </si>
  <si>
    <t>Statut</t>
  </si>
  <si>
    <t>Texte lu</t>
  </si>
  <si>
    <t>Source du texte lu</t>
  </si>
  <si>
    <t>Objectif</t>
  </si>
  <si>
    <t>Méthode</t>
  </si>
  <si>
    <t>Résultats annoncés</t>
  </si>
  <si>
    <t>Limites</t>
  </si>
  <si>
    <t>Pour ta thèse</t>
  </si>
  <si>
    <t>À vérifier en lisant</t>
  </si>
  <si>
    <t>Pneu</t>
  </si>
  <si>
    <t>Contact</t>
  </si>
  <si>
    <t>Loi de comportement</t>
  </si>
  <si>
    <t>Méthode (catégorie)</t>
  </si>
  <si>
    <t>Chargement</t>
  </si>
  <si>
    <t>Cible</t>
  </si>
  <si>
    <t>Validation</t>
  </si>
  <si>
    <t>Résumé (OpenAlex ; texte reconstruit)</t>
  </si>
  <si>
    <t>Montrer, mesures à l'appui, que la charge d'un pneu doit être représentée de façon réaliste pour concevoir la partie supérieure des chaussées.</t>
  </si>
  <si>
    <t>Mesures tridimensionnelles des contraintes de contact sous pneus de camion en vraie grandeur avec le système SIM (plot à picots, surface texturée), puis calcul d'une chaussée sud-africaine à revêtement bitumineux mince avec quatre représentations idéalisées d'un même pneu, contraintes verticales seules.</t>
  </si>
  <si>
    <t>L'empreinte est rarement circulaire et les contraintes ne sont pas uniformes. La forme dépend surtout de la charge et du gonflage : en surcharge ou en sous-gonflage, les maxima se placent vers les bords de l'empreinte ; à gonflage élevé et charge faible, le maximum est au centre. Selon la représentation du pneu, la durée de vie en fatigue de la couche bitumineuse calculée baisse jusqu'à 94 % et l'énergie de distorsion est multipliée jusqu'à 2,8.</t>
  </si>
  <si>
    <t>Pneus de camion ; chaussée à revêtement mince ; seules les contraintes verticales entrent dans les calculs.</t>
  </si>
  <si>
    <t>C'est le socle de ton profil hétérogène : le passage d'un maximum central (profil en n) à des maxima de bord (profil en M) avec la charge. L'ordre de grandeur de l'effet sur la durée de vie (jusqu'à −94 %) est à mettre en regard de celui que tu as calculé.</t>
  </si>
  <si>
    <t>Définition des quatre modèles de pneu, critère de fatigue utilisé, charge à partir de laquelle le profil devient en M.</t>
  </si>
  <si>
    <t>Camion</t>
  </si>
  <si>
    <t>Non uniforme mesuré</t>
  </si>
  <si>
    <t>Élastique</t>
  </si>
  <si>
    <t>Mesure du contact ; calcul de structure</t>
  </si>
  <si>
    <t>Mobile (mesure)</t>
  </si>
  <si>
    <t>Contact ; surface ; fatigue</t>
  </si>
  <si>
    <t>Mesures de contact</t>
  </si>
  <si>
    <t>Complet</t>
  </si>
  <si>
    <t>Résumé éditeur (ScienceDirect)</t>
  </si>
  <si>
    <t>Décrire complètement le système Stress-In-Motion de mesure des contraintes de contact tri-axiales.</t>
  </si>
  <si>
    <t>Plot de mesure à surface texturée : 1 020 picots d'appui et une rangée transversale de 21 capteurs d'environ 9,7 mm de diamètre (63 voies), montage modulaire jusqu'à l'essieu complet, étalonnage des capteurs et logiciel de traitement.</t>
  </si>
  <si>
    <t>Les trois composantes (verticale, longitudinale, transversale) sont captées simultanément en roulement réel, sur une surface qui reproduit la texture d'une chaussée ; l'article donne des exemples de distributions tri-axiales.</t>
  </si>
  <si>
    <t>Conçu et exploité pour des pneus de camion ; la résolution transversale est fixée par la taille et l'espacement des capteurs.</t>
  </si>
  <si>
    <t>Indispensable pour juger la résolution et l'incertitude des données que tu as lissées en cinq gaussiennes, et pour écrire le cahier des charges d'une mesure sous pneu d'avion.</t>
  </si>
  <si>
    <t>Résolution longitudinale et vitesse de passage, précision de l'étalonnage, capacité en charge (compatible avec 370 kN par roue ?).</t>
  </si>
  <si>
    <t>Non uniforme mesuré (3D)</t>
  </si>
  <si>
    <t>—</t>
  </si>
  <si>
    <t>Mesure du contact</t>
  </si>
  <si>
    <t>Mobile</t>
  </si>
  <si>
    <t>Étalonnage</t>
  </si>
  <si>
    <t>Page de documentation et résumé (PDF DTIC)</t>
  </si>
  <si>
    <t>Calculer la distribution de pression pneu-chaussée de pneus d'avion de l'US Air Force.</t>
  </si>
  <si>
    <t>Modèle de pneu de Tielking appliqué à sept pneus de train principal : T-38, F-16, F-4C/G, F-15E, C-5B, C-130E et B-1B.</t>
  </si>
  <si>
    <t>Les distributions sont fortement non uniformes et sensibles au gonflage et à la charge ; la raideur du pneu en est la cause principale. En général la pression est plus faible au centre et maximale aux épaulements ; le pneu radial du F-15E donne une distribution nettement plus uniforme que les pneus diagonaux.</t>
  </si>
  <si>
    <t>Avions militaires ; pneus surtout diagonaux ; pressions calculées, pas mesurées.</t>
  </si>
  <si>
    <t>Avec les cartes calculées du HTPT, une des rares sources publiques qui montrent des maxima d'épaulement sous pneus d'avion ; l'effet radial / diagonal est à prendre en compte avant de transposer au pneu radial d'A340.</t>
  </si>
  <si>
    <t>Cartes par pneu, rapport pression maximale / gonflage, conditions de charge.</t>
  </si>
  <si>
    <t>Avion (militaire)</t>
  </si>
  <si>
    <t>Non uniforme calculé</t>
  </si>
  <si>
    <t>Modèle de pneu (EF)</t>
  </si>
  <si>
    <t>Statique</t>
  </si>
  <si>
    <t>Aucun</t>
  </si>
  <si>
    <t>Rapport confidentiel du CSIR, jamais consulté : repérage d'après la base (NON VÉRIFIÉ)</t>
  </si>
  <si>
    <t>Mesurer les contraintes de contact de pneus radiaux de camion 11.00-R22.5 sur le simulateur HVS de Gautrans avec le système VRSPTA.</t>
  </si>
  <si>
    <t>Matrice charge × pression de gonflage (d'après les citations des auteurs).</t>
  </si>
  <si>
    <t>Texte non lu ici : aucune conclusion n'est rapportée.</t>
  </si>
  <si>
    <t>Source directe de ton empreinte hétérogène (Fig. 1-22, 3-6 et annexe II) ; désignation du pneu à harmoniser (11.00-R22.5 dans le titre, 11R22.5 dans ton texte).</t>
  </si>
  <si>
    <t>Retrouver la copie utilisée pour le TFE : charges, pressions, vitesse, résolution, conditions de mesure.</t>
  </si>
  <si>
    <t>Camion (radial)</t>
  </si>
  <si>
    <t>Mobile (HVS)</t>
  </si>
  <si>
    <t>Résumé et conclusions (PDF du CSIR)</t>
  </si>
  <si>
    <t>Présenter la technologie SIM et son usage pour mieux décrire l'action réelle des poids lourds, dans un contexte de surcharges fréquentes (jusqu'à 70 %).</t>
  </si>
  <si>
    <t>Mesures SIM sur camions réels, dont des campagnes sur deux routes nationales sud-africaines ; comparaison entre un disque unique et plusieurs cercles pour représenter le pneu dans le calcul.</t>
  </si>
  <si>
    <t>À très forte charge, les contraintes de bord deviennent élevées ; la contrainte verticale maximale atteint environ deux fois la pression de gonflage en surcharge extrême et la dépasse d'environ 30 % en charge normale. La longueur de l'empreinte croît avec la charge, sa largeur reste constante. Représenter le pneu par plusieurs cercles change nettement la durée de vie estimée ; plus la contrainte normalisée (NCP = contrainte / gonflage) est élevée, plus la durée de vie baisse.</t>
  </si>
  <si>
    <t>Pneus et charges de camion ; conclusions qualitatives dans le résumé.</t>
  </si>
  <si>
    <t>Les rapports contrainte maximale / gonflage (1,3 en charge normale, 2 en surcharge) sont à rapprocher du 1,7 à 2,1 des cartes calculées du HTPT ; la notion de NCP te donne une façon de normaliser tes profils.</t>
  </si>
  <si>
    <t>Types de pneus et charges exacts, définition et usage de la NCP, calage des cercles multiples.</t>
  </si>
  <si>
    <t>Mesure du contact ; multicouche</t>
  </si>
  <si>
    <t>Contact ; fatigue</t>
  </si>
  <si>
    <t>Mesures in situ</t>
  </si>
  <si>
    <t>Résumé éditeur (MDPI)</t>
  </si>
  <si>
    <t>Faire le point sur le comportement du contact pneu-chaussée.</t>
  </si>
  <si>
    <t>Revue : caractéristiques du contact et facteurs d'influence, méthodes de mesure et modèles théoriques comparés, applications en ingénierie des chaussées.</t>
  </si>
  <si>
    <t>Les mesures restent surtout statiques et non normalisées ; les modèles intègrent rarement l'environnement ; les auteurs appellent à des analyses multiphysiques, à des instruments dynamiques précis et peu coûteux, et à des indicateurs de performance fondés sur le contact.</t>
  </si>
  <si>
    <t>Revue généraliste, centrée sur la route.</t>
  </si>
  <si>
    <t>Bonne carte du domaine pour ton chapitre bibliographique ; confirme le manque de mesures dynamiques, a fortiori sous pneus d'avion.</t>
  </si>
  <si>
    <t>Tableau comparatif des méthodes de mesure (résolution, dynamique, coût).</t>
  </si>
  <si>
    <t>Revue</t>
  </si>
  <si>
    <t>Résumé (notice TRID, reformulé en partie par l'outil de lecture)</t>
  </si>
  <si>
    <t>Mesurer la distribution de la pression de contact de pneus de camion, alors que charges et gonflages ont augmenté.</t>
  </si>
  <si>
    <t>Essais statiques à l'université du Texas sur un pneu lisse Armstrong 11R24.5 et un super single Goodyear 18-22.5, à plusieurs gonflages et charges ; film sensible Fuji et analyse d'image.</t>
  </si>
  <si>
    <t>Une charge plus forte rend la pression plus uniforme et allonge l'empreinte ; un gonflage plus élevé réduit l'aire et augmente la pression au centre. D'après la notice, à faible gonflage la charge se concentre au centre pour le pneu radial et vers les flancs pour le pneu diagonal.</t>
  </si>
  <si>
    <t>Mesure statique ; film sensible (résolution, saturation) ; pneus de camion.</t>
  </si>
  <si>
    <t>Jeu de données historique cité avec De Beer ; son constat sur le pneu radial sous-gonflé semble aller à l'inverse de De Beer : c'est une divergence à éclaircir avant de généraliser le profil en M.</t>
  </si>
  <si>
    <t>Courbes de pression par gonflage et charge, et les conditions exactes du cas radial sous-gonflé.</t>
  </si>
  <si>
    <t>Mesure du contact (film)</t>
  </si>
  <si>
    <t>Résumé (OpenAlex)</t>
  </si>
  <si>
    <t>Faire le point sur les trois composantes de la pression de contact d'un pneu en roulement libre et mesurer leur effet sur les déformations de chaussée.</t>
  </si>
  <si>
    <t>Modèle éléments finis de pneu pour calculer la pression de contact, injectée comme chargement dans ILLI-PAVE (chaussée souple sur assise granulaire), surtout sur chaussées minces.</t>
  </si>
  <si>
    <t>Pour un pneu de camion diagonal 10.00-20 à 517 et 862 kPa, la zone la plus chargée atteint environ deux fois la pression de gonflage. La pression non uniforme réelle donne des déformations nettement plus fortes que l'hypothèse de pression uniforme, avec de fortes tractions en base de revêtement.</t>
  </si>
  <si>
    <t>Pneu diagonal de camion ; chaussées minces ; réponse du modèle ILLI-PAVE.</t>
  </si>
  <si>
    <t>Origine des « paramètres de profil » de Tielking que tu cites parmi tes références de départ (absents de la bibliographie du TFE) ; un des premiers travaux qui comparent pression réelle et pression uniforme.</t>
  </si>
  <si>
    <t>Forme exacte des distributions calculées et paramétrage utilisé ensuite dans la littérature.</t>
  </si>
  <si>
    <t>Camion (diagonal)</t>
  </si>
  <si>
    <t>Élastique non linéaire (granulaire)</t>
  </si>
  <si>
    <t>EF (pneu et chaussée)</t>
  </si>
  <si>
    <t>Base de couche</t>
  </si>
  <si>
    <t>Mesurer en conditions réelles les contraintes tri-axiales à l'interface pneu-chaussée.</t>
  </si>
  <si>
    <t>Capteur tri-axial conçu pour l'étude et chaîne de mesure complète, sous pneu en roulement stationnaire.</t>
  </si>
  <si>
    <t>Les contraintes des trois directions sont plus fortes près de l'épaulement qu'au centre de la bande de roulement ; le pic se déplace de l'avant vers l'arrière de l'empreinte au cours du roulement.</t>
  </si>
  <si>
    <t>Pneu, charges et résolution du réseau de capteurs non précisés dans le résumé.</t>
  </si>
  <si>
    <t>Confirme, par une mesure indépendante du SIM, des contraintes maximales aux épaulements, cohérentes avec ton profil en M.</t>
  </si>
  <si>
    <t>Type de pneu, charge, gonflage, vitesse, étalonnage.</t>
  </si>
  <si>
    <t>Proposer un modèle de contact pneu-chaussée plus général pour l'étude de l'adhérence.</t>
  </si>
  <si>
    <t>Films sensibles à la pression pour la distribution des contraintes et scan laser de la texture, sur trois types d'enrobés ; modèle fondé sur la théorie de Persson et l'élasticité linéaire, calé sur des essais de la gomme (UTM-30).</t>
  </si>
  <si>
    <t>Écart inférieur à 0,2 mm entre profondeur de contact calculée et mesurée ; la profondeur de contact augmente d'environ 0,15 mm par tranche de 10 °C en moins (de −30 à 25 °C) ; le SMA-13 donne la plus grande profondeur de contact.</t>
  </si>
  <si>
    <t>Micro-contact avec la texture, orienté adhérence ; pas de réponse de structure.</t>
  </si>
  <si>
    <t>Cité dans ton TFE pour les films sensibles ; son échelle (texture) diffère de celle de ton empreinte, donc usage limité.</t>
  </si>
  <si>
    <t>Pneu et charge utilisés pour les films sensibles.</t>
  </si>
  <si>
    <t>Non uniforme mesuré et calculé (texture)</t>
  </si>
  <si>
    <t>Modèle de contact ; mesure du contact (film)</t>
  </si>
  <si>
    <t>Contact (texture)</t>
  </si>
  <si>
    <t>Essais labo</t>
  </si>
  <si>
    <t>Mesurer finement la contrainte normale dans la zone de contact pneu-route et décrire sa distribution dans l'espace et en fréquence.</t>
  </si>
  <si>
    <t>Scan 3D combiné à la courbe de portance (bearing area curve) pour estimer la pénétration du caoutchouc dans la texture et en déduire la contrainte ; analyse par intervalles de contrainte et par fréquence spatiale.</t>
  </si>
  <si>
    <t>Quand la profondeur moyenne de texture (MPD) augmente, la part de surface à plus de 1 MPa croît, avec un effet qui sature au-delà de 0,7 mm ; charge et dureté du caoutchouc déplacent la distribution vers les fortes contraintes ; les composantes de basse fréquence (&lt; 800 m⁻¹) suivent la MPD jusqu'à 0,7 mm.</t>
  </si>
  <si>
    <t>Échelle de la texture (micro-contact), pas de l'empreinte du pneu ; application à l'adhérence.</t>
  </si>
  <si>
    <t>Cité dans ton TFE avec Luo et al. (2025) pour les films sensibles superposés : le résumé décrit plutôt un scan 3D associé à la courbe de portance, à vérifier. L'analyse fréquentielle porte sur la texture, pas sur l'empreinte : analogie de méthode pour ta piste en domaine fréquentiel, pas donnée directement utilisable.</t>
  </si>
  <si>
    <t>Dispositif de charge et taille de l'échantillon mesuré.</t>
  </si>
  <si>
    <t>Non uniforme mesuré (texture)</t>
  </si>
  <si>
    <t>Mesure du contact (scan 3D)</t>
  </si>
  <si>
    <t>Résumé (SAE Mobilus)</t>
  </si>
  <si>
    <t>Examiner les pressions de contact de pneus d'avion chargés statiquement.</t>
  </si>
  <si>
    <t>Modèle éléments finis de pneu ; courbes charge-déflexion et distributions de pression pour trois pneus d'avion, comparées à des mesures.</t>
  </si>
  <si>
    <t>La non-uniformité augmente dès que le pneu travaille au-dessus ou au-dessous de sa pression ou de sa charge nominale.</t>
  </si>
  <si>
    <t>Chargement statique ; trois pneus seulement.</t>
  </si>
  <si>
    <t>Argument pour relier ta forme d'empreinte à l'écart aux conditions nominales du pneu d'A340 (charge, gonflage).</t>
  </si>
  <si>
    <t>Lesquels des sept pneus du rapport AFESC sont repris, et l'écart calcul / mesure.</t>
  </si>
  <si>
    <t>Avion</t>
  </si>
  <si>
    <t>Comparer la réponse dynamique d'une chaussée bitumineuse sèche et saturée sous chargement accéléré en vraie grandeur.</t>
  </si>
  <si>
    <t>Système d'essai accéléré à trajectoire contrôlée ; mesures de déformations, contraintes et pressions interstitielles ; comparaison à une simulation.</t>
  </si>
  <si>
    <t>Réponses plus fortes en condition saturée ; pression interstitielle surtout sensible à la vitesse ; la sculpture du pneu marque la répartition transversale de la pression interstitielle (baisse de 86 % entre deux points distants de 100 mm).</t>
  </si>
  <si>
    <t>Sujet éloigné du tien (eau dans la chaussée).</t>
  </si>
  <si>
    <t>Cité seulement pour une figure d'aire de contact ; pertinence faible au-delà.</t>
  </si>
  <si>
    <t>Camion (véhicule d'essai)</t>
  </si>
  <si>
    <t>Essai en vraie grandeur</t>
  </si>
  <si>
    <t>Réponse dynamique</t>
  </si>
  <si>
    <t>Relier pression de gonflage et charge verticale à la surface de contact réelle de pneus d'avion sur chaussée aéroportuaire.</t>
  </si>
  <si>
    <t>Mesures sur quatre pneus : PZL M28 Skytruck/Bryza, Sukhoi Su-22 et deux pneus de l'appareil de mesure d'adhérence ASFT ; gonflage de 200 à 800 kPa ; charges de 3,2 à 25,9 kN pour les pneus d'avion.</t>
  </si>
  <si>
    <t>Gonflage et charge influencent fortement l'aire de contact ; la forme et la taille de l'empreinte dépendent aussi d'autres facteurs. Les auteurs notent l'absence d'études antérieures sur pneus d'avion.</t>
  </si>
  <si>
    <t>Surface de contact seulement (pas de carte de pression) ; charges au plus 26 kN, contre 370 kN par roue pour ton A340.</t>
  </si>
  <si>
    <t>Rare donnée expérimentale sur pneu d'avion, mais très loin de la gamme de charge d'un gros porteur.</t>
  </si>
  <si>
    <t>Méthode de relevé de l'empreinte, forme obtenue.</t>
  </si>
  <si>
    <t>Avion (léger et militaire)</t>
  </si>
  <si>
    <t>Aire de contact mesurée</t>
  </si>
  <si>
    <t>Actes ICAP 1997 non consultés : repérage d'après la base</t>
  </si>
  <si>
    <t>Présenter la mesure des trois composantes de contrainte à l'interface pneu-chaussée sous charge roulante lente (VRSPTA) et de premiers effets sur des chaussées à revêtement mince.</t>
  </si>
  <si>
    <t>Origine des cartographies en n et en M que tu as transposées ; principe de mesure et limites (vitesse, plots).</t>
  </si>
  <si>
    <t>Principe de mesure, vitesse, résolution ; pagination 179-227 à constater.</t>
  </si>
  <si>
    <t>Mobile (lente)</t>
  </si>
  <si>
    <t>Contact ; surface</t>
  </si>
  <si>
    <t>Résumé (notice TRID)</t>
  </si>
  <si>
    <t>Quantifier l'effet de contraintes de contact non uniformes et non circulaires sur la réponse de chaussées à revêtement bitumineux mince.</t>
  </si>
  <si>
    <t>Calculs par éléments finis, dont un code éléments finis semi-analytique adapté ; chaussée intacte ou fissurée ; charges circulaires et rectangulaires à plusieurs niveaux ; plusieurs modules d'enrobé ; comparaison à la théorie multicouche élastique.</t>
  </si>
  <si>
    <t>La forme de la charge et le niveau de contrainte de contact modifient sensiblement la performance calculée ; les auteurs plaident pour exploiter les données réelles de contact en conception.</t>
  </si>
  <si>
    <t>Chaussées minces d'Afrique australe, élasticité ; le résumé ne donne pas de chiffres.</t>
  </si>
  <si>
    <t>Référence de ton §3.1 pour l'empreinte hétérogène ; elle compare aussi empreintes circulaires et rectangulaires, comme tes trois cas.</t>
  </si>
  <si>
    <t>Niveaux de contrainte et de charge testés, écarts chiffrés entre empreintes, rôle de la fissure.</t>
  </si>
  <si>
    <t>EF ; multicouche</t>
  </si>
  <si>
    <t>Surface ; base de couche</t>
  </si>
  <si>
    <t>Comparaison à la théorie</t>
  </si>
  <si>
    <t>Résumé (rapport NASA)</t>
  </si>
  <si>
    <t>Caractériser les propriétés mécaniques de pneus d'avion radiaux de la flotte commerciale.</t>
  </si>
  <si>
    <t>Essais à la NASA Langley sur trois dimensions de pneus radiaux d'avions de ligne : charge-déflexion, empreinte (aire, élancement, demi-largeur), rapport de pression de contact, roulement, dérive ; variables : charge, gonflage, vitesse, angle de dérive, surface mouillée.</t>
  </si>
  <si>
    <t>Aire d'empreinte et rapport de pression de contact restent stables sur la plage de gonflage ; les pressions de contact dépassent la pression de gonflage ; résistance au roulement voisine de 0,015.</t>
  </si>
  <si>
    <t>Grandeurs globales de l'empreinte, pas de carte de pression.</t>
  </si>
  <si>
    <t>Référence expérimentale la plus proche de ton cas (pneus radiaux d'avions de ligne) pour contrôler les dimensions d'empreinte et le rapport contact / gonflage de ton A340.</t>
  </si>
  <si>
    <t>Dimensions des pneus testés, valeurs du rapport de pression de contact.</t>
  </si>
  <si>
    <t>Avion (ligne, radial)</t>
  </si>
  <si>
    <t>Empreinte mesurée (global)</t>
  </si>
  <si>
    <t>Essais labo (pneu)</t>
  </si>
  <si>
    <t>Statique et roulement</t>
  </si>
  <si>
    <t>Pneu ; empreinte</t>
  </si>
  <si>
    <t>Essais</t>
  </si>
  <si>
    <t>Résumé éditeur (Springer)</t>
  </si>
  <si>
    <t>Étudier les contraintes de contact en roulement libre, accélération et freinage.</t>
  </si>
  <si>
    <t>Modèle éléments finis 3D (ABAQUS) d'un pneu radial de tourisme 205/55 R16 avec sa sculpture.</t>
  </si>
  <si>
    <t>En roulement libre, les contraintes sont bien plus fortes qu'en statique ; en accélération, le pic se place au bord intérieur des nervures extérieures ; le pic de freinage dépasse celui d'accélération et croît avec le temps.</t>
  </si>
  <si>
    <t>Pneu de tourisme ; le virage n'est pas traité dans le résumé.</t>
  </si>
  <si>
    <t>Illustre l'effet des sollicitations tangentielles, ta perspective n° 2, sur un pneu très différent de celui d'un avion.</t>
  </si>
  <si>
    <t>Validation du modèle et niveaux de charge.</t>
  </si>
  <si>
    <t>Tourisme</t>
  </si>
  <si>
    <t>3D calculé (tangentiel)</t>
  </si>
  <si>
    <t>— (matériaux du pneu)</t>
  </si>
  <si>
    <t>EF 3D (pneu)</t>
  </si>
  <si>
    <t>Modéliser et prédire le roulement et la dérive d'un pneu d'avion à forte pression sous charge concentrée, sur sol plan rigide.</t>
  </si>
  <si>
    <t>Éléments finis avec incompressibilité, grandes transformations, contact unilatéral et frottement de Coulomb ; géométrie interne obtenue par imagerie de la section ; comparaison aux essais et aux données du fabricant.</t>
  </si>
  <si>
    <t>Les prédictions dépendent fortement des propriétés des matériaux et de la géométrie du pneu.</t>
  </si>
  <si>
    <t>Sol rigide ; efforts globaux plutôt que carte de pression dans le résumé.</t>
  </si>
  <si>
    <t>Point d'entrée pour un modèle de pneu d'avion qui fournirait des empreintes réalistes (gonflage élevé, forte déflexion).</t>
  </si>
  <si>
    <t>Existence de cartes de pression de contact dans l'article et dimension du pneu.</t>
  </si>
  <si>
    <t>Contact calculé</t>
  </si>
  <si>
    <t>Hyperélastique</t>
  </si>
  <si>
    <t>Mobile (roulement, dérive)</t>
  </si>
  <si>
    <t>Essais + données fabricant</t>
  </si>
  <si>
    <t>Construire un modèle pneu-chaussée 3D qui prédit les contraintes de contact en statique et en roulement.</t>
  </si>
  <si>
    <t>Pneu radial nervuré modélisé comme un composite caoutchouc-renforts, calé sur des courbes charge-déflexion ; roulement stationnaire en formulation ALE.</t>
  </si>
  <si>
    <t>Résultats cohérents avec des mesures antérieures : contraintes verticales non uniformes et contraintes tangentielles localisées. La non-uniformité diminue quand la charge augmente et augmente avec le gonflage ; freinage et accélération créent de fortes contraintes longitudinales, le virage décale le pic vers un côté.</t>
  </si>
  <si>
    <t>Type de pneu non précisé dans le résumé.</t>
  </si>
  <si>
    <t>Référence de méthode pour un modèle de pneu couplé ; son constat « non-uniformité décroissante avec la charge » paraît contredire De Beer : il faut comparer les définitions de la non-uniformité.</t>
  </si>
  <si>
    <t>Définition de la non-uniformité, pneu et charges utilisés.</t>
  </si>
  <si>
    <t>Radial (type non précisé)</t>
  </si>
  <si>
    <t>Hyperélastique (composite)</t>
  </si>
  <si>
    <t>Mesures antérieures</t>
  </si>
  <si>
    <t>Résumé (OpenAlex ; texte reconstruit en partie confus)</t>
  </si>
  <si>
    <t>Obtenir des distributions de contraintes de contact plus justes selon le type de pneu, la charge et le gonflage.</t>
  </si>
  <si>
    <t>Modèles éléments finis 3D d'un pneu diagonal et d'un pneu radial, validés sur des contraintes de contact mesurées ; neuf conditions de charge et de gonflage.</t>
  </si>
  <si>
    <t>Bon accord calcul-mesure. Quand la charge augmente, le maximum passe de l'intérieur vers l'extérieur de la bande de roulement pour un type de pneu, alors qu'il reste au centre pour l'autre (le résumé reconstruit ne dit pas clairement lequel ; ton TFE l'attribue au pneu diagonal, maximum central pour le radial) ; à conditions égales, le pneu radial donne le maximum le plus fort ; la variation entre nervures est plus faible pour le pneu diagonal.</t>
  </si>
  <si>
    <t>Caoutchouc élastique linéaire et charges limitées (37,5 kN d'après ton TFE) ; pneus de camion.</t>
  </si>
  <si>
    <t>Base de ton §1.3.3. Un maximum central pour le radial jusqu'à 37,5 kN sous 0,81 MPa est cohérent avec De Beer (maximum central à faible charge et fort gonflage) ; ton pneu d'A340 étant radial et très chargé, c'est le cas « forte charge » qui t'intéresse.</t>
  </si>
  <si>
    <t>Position exacte des maxima selon la charge, données de validation.</t>
  </si>
  <si>
    <t>Camion (diagonal, radial)</t>
  </si>
  <si>
    <t>Élastique (caoutchouc)</t>
  </si>
  <si>
    <t>Mesurer l'effet du niveau de détail d'un modèle éléments finis de pneu d'avion.</t>
  </si>
  <si>
    <t>Trois modèles (simple, standard, complexe), caoutchouc et nappes hyperélastiques (Yeoh), en 2D et 3D sous Abaqus ; validation par essais d'éclatement et relevés de profil.</t>
  </si>
  <si>
    <t>Déformations bien prédites et pression d'éclatement correcte ; la contrainte maximale dans les nappes et la déflexion sont peu sensibles au maillage, alors que la contrainte maximale dans le caoutchouc l'est fortement.</t>
  </si>
  <si>
    <t>Gonflage et éclatement, pas de contact avec le sol.</t>
  </si>
  <si>
    <t>Le constat sur la sensibilité des pics de contrainte au maillage rejoint le tien : les grandeurs de surface sont les plus sensibles à la finesse du maillage.</t>
  </si>
  <si>
    <t>EF 2D et 3D (pneu)</t>
  </si>
  <si>
    <t>Statique (gonflage)</t>
  </si>
  <si>
    <t>Essais (éclatement, profil)</t>
  </si>
  <si>
    <t>Analyser l'essai de résistance au poinçonnement (plunger test) des pneus de véhicules.</t>
  </si>
  <si>
    <t>Essais sur cinq modèles de grandes marques, plus des essais de traction sur les mêmes pneus.</t>
  </si>
  <si>
    <t>L'énergie de rupture décroît linéairement avec la pression interne ; elle est corrélée au rapport module / résistance en traction et inversement liée à la densité d'énergie de déformation.</t>
  </si>
  <si>
    <t>Sujet de résistance du pneu, pas de contact avec la chaussée.</t>
  </si>
  <si>
    <t>Cité dans ton TFE pour une figure comparant carcasses radiale et diagonale ; pertinence secondaire.</t>
  </si>
  <si>
    <t>Véhicule (non précisé)</t>
  </si>
  <si>
    <t>Faire le point sur l'ingénierie des pneus de camion, près de vingt ans après la conférence de Davisson (1969).</t>
  </si>
  <si>
    <t>Synthèse : conception, performances, exigences d'usage ; point de vue d'un ingénieur de Goodyear.</t>
  </si>
  <si>
    <t>Les pneus radiaux, débutants en 1969 aux États-Unis, représentent 60 % du marché en 1988 ; l'ingénierie assistée par ordinateur est devenue centrale.</t>
  </si>
  <si>
    <t>Document daté, sans résultat quantitatif dans le résumé.</t>
  </si>
  <si>
    <t>Source de la déflexion nominale des pneus de camion (ta Fig. 1-24) qui sert à ta transposition vers le pneu d'avion.</t>
  </si>
  <si>
    <t>Valeurs de déflexion nominale et leur définition.</t>
  </si>
  <si>
    <t>Synthèse</t>
  </si>
  <si>
    <t>Ouvrage (PDF public) sans résumé : repérage d'après la base</t>
  </si>
  <si>
    <t>Ouvrage de référence sur la mécanique des pneumatiques : structures radiale et diagonale, contact, empreinte.</t>
  </si>
  <si>
    <t>Bases de mécanique du pneu pour l'axe 2 : pourquoi la déflexion et la structure (radiale ou diagonale) pilotent la répartition de pression.</t>
  </si>
  <si>
    <t>Chapitres sur l'empreinte et la répartition des pressions, effet de la déflexion.</t>
  </si>
  <si>
    <t>Pneumatique (général)</t>
  </si>
  <si>
    <t>Ouvrage</t>
  </si>
  <si>
    <t>Quantifier l'effet de la vitesse et de la température sur le contact d'un pneu large en roulement libre.</t>
  </si>
  <si>
    <t>Modèle éléments finis (caoutchouc hyperviscoélastique, renforts élastiques) validé sur la déflexion et l'aire de contact ; 81 cas croisant charges, gonflages, vitesses et températures.</t>
  </si>
  <si>
    <t>La vitesse agit plus sur l'aire de contact que sur la déflexion ; les contraintes longitudinales sont les plus affectées, puis les transversales ; à charge et gonflage constants, la vitesse compte plus que la température.</t>
  </si>
  <si>
    <t>Pneu large de camion.</t>
  </si>
  <si>
    <t>Montre que la carte de contact dépend du roulement : à garder en tête avant d'utiliser une carte statique pour un avion en roulage.</t>
  </si>
  <si>
    <t>Amplitude des variations de contrainte verticale avec la vitesse.</t>
  </si>
  <si>
    <t>Camion (pneu large)</t>
  </si>
  <si>
    <t>3D calculé</t>
  </si>
  <si>
    <t>Hyperviscoélastique</t>
  </si>
  <si>
    <t>Mesures (déflexion, aire)</t>
  </si>
  <si>
    <t>Résumé de la thèse (OpenAlex, theses.fr)</t>
  </si>
  <si>
    <t>Construire un modèle éléments finis statique et dynamique d'un pneu d'avion gros porteur.</t>
  </si>
  <si>
    <t>Géométrie, structure et matériaux identifiés par essais ; contact, frottement et couplage thermomécanique ; approche mixte eulérienne-lagrangienne validée pour le roulement en dérapage.</t>
  </si>
  <si>
    <t>Le modèle donne le torseur des efforts au contact et l'influence de la charge, du gonflage, de la vitesse et de l'angle de dérive sur le moment d'autoalignement et le potentiel d'adhérence ; la prise en compte thermique reproduit la chute de l'adhérence au-delà d'un angle critique.</t>
  </si>
  <si>
    <t>Orienté dynamique du véhicule (efforts, moments), pas chargement de la chaussée.</t>
  </si>
  <si>
    <t>Seul modèle de pneu de gros porteur de ta base : c'est le point de départ si tu veux calculer toi-même une empreinte d'A340.</t>
  </si>
  <si>
    <t>Pneu modélisé (dimension), sorties de pression de contact disponibles.</t>
  </si>
  <si>
    <t>Avion (gros porteur)</t>
  </si>
  <si>
    <t>Hyperélastique thermomécanique</t>
  </si>
  <si>
    <t>Mobile (dérapage)</t>
  </si>
  <si>
    <t>Modéliser simplement un pneu radial poids lourd à fort rapport de section et sa raideur.</t>
  </si>
  <si>
    <t>Anneau flexible sur fondation élastique non linéaire, avec un élément de flanc à raideur bidimensionnelle issu de la théorie des poutres précontraintes ; résolution itérative du contact au sol.</t>
  </si>
  <si>
    <t>Le modèle reproduit l'empreinte et les raideurs mesurées ; la fonction de raideur du flanc peut enrichir d'autres modèles de pneu (FTire, CDTire).</t>
  </si>
  <si>
    <t>Modèle plan de l'empreinte ; pas de carte de pression détaillée.</t>
  </si>
  <si>
    <t>Piste pour relier déflexion du pneu et forme de l'empreinte à moindre coût qu'un modèle éléments finis complet.</t>
  </si>
  <si>
    <t>Ce que le modèle prédit de la distribution de pression.</t>
  </si>
  <si>
    <t>Empreinte calculée</t>
  </si>
  <si>
    <t>Élastique non linéaire</t>
  </si>
  <si>
    <t>Modèle analytique de pneu</t>
  </si>
  <si>
    <t>Prédire rapidement des contraintes de contact non uniformes par apprentissage profond.</t>
  </si>
  <si>
    <t>Réseau déconvolutif (ContactNet) entraîné sur 1 800 résultats de modèles éléments finis de deux pneus de camion (charges, gonflages, taux de glissement).</t>
  </si>
  <si>
    <t>Erreurs moyennes inférieures à 1 % sur la contrainte verticale maximale, l'aire de contact et les contraintes longitudinale et transversale maximales ; nettement meilleur que quatre méthodes d'apprentissage classiques.</t>
  </si>
  <si>
    <t>N'apprend que ce que contient la base de modèles de camion.</t>
  </si>
  <si>
    <t>Piste pour générer des empreintes à des couples charge-gonflage non mesurés, si une base de modèles de pneu d'avion existait.</t>
  </si>
  <si>
    <t>Généralisation hors du domaine d'entraînement.</t>
  </si>
  <si>
    <t>3D calculé (prédit)</t>
  </si>
  <si>
    <t>Apprentissage sur base EF</t>
  </si>
  <si>
    <t>Mobile (glissement)</t>
  </si>
  <si>
    <t>Base EF</t>
  </si>
  <si>
    <t>Étudier l'échauffement d'un pneu d'avion roulant à grande vitesse, jusqu'au décollage.</t>
  </si>
  <si>
    <t>Essais sur tambour d'acier (vitesse, charge, angle de dérive) et modèle éléments finis thermomécanique (caoutchouc hyperviscoélastique, échauffement par déformation inélastique et frottement) sous Abaqus.</t>
  </si>
  <si>
    <t>Même tendance calcul-essai sur la température de la bande de roulement ; certaines données numériques restent confidentielles.</t>
  </si>
  <si>
    <t>Sujet thermique, sol en acier.</t>
  </si>
  <si>
    <t>Montre les ingrédients d'un modèle de pneu d'avion validé ; pertinence limitée pour la pression de contact.</t>
  </si>
  <si>
    <t>Dimension du pneu, carte de contact éventuelle.</t>
  </si>
  <si>
    <t>Hyperviscoélastique (thermique)</t>
  </si>
  <si>
    <t>EF 3D (pneu) ; essais</t>
  </si>
  <si>
    <t>Mobile (grande vitesse)</t>
  </si>
  <si>
    <t>Pneu (thermique)</t>
  </si>
  <si>
    <t>Essais sur tambour</t>
  </si>
  <si>
    <t>Prédire les contraintes de contact 3D d'un pneu radial de camion selon le mode de conduite.</t>
  </si>
  <si>
    <t>Modèle éléments finis d'un pneu 11R22.5 (caoutchouc néo-hookéen, nappes en éléments Rebar) en statique, roulement libre, accélération, freinage et virage.</t>
  </si>
  <si>
    <t>Gonflage, charge à l'essieu et coefficient de frottement pèsent fortement sur la distribution 3D, qui n'est jamais uniforme ; les contraintes transversales sont maximales en virage et les longitudinales en freinage.</t>
  </si>
  <si>
    <t>Pneu de camion ; validation non précisée dans le résumé.</t>
  </si>
  <si>
    <t>Même désignation de pneu que celle de ton TFE (11R22.5) : utile pour la question 11.00-R22.5 / 11R22.5, et pour tes efforts tangentiels.</t>
  </si>
  <si>
    <t>Validation, charges et gonflages exacts.</t>
  </si>
  <si>
    <t>Synthétiser le comportement viscoélastique linéaire des matériaux bitumineux, du liant à l'enrobé.</t>
  </si>
  <si>
    <t>Campagne d'essais de module complexe (liants, mastic, enrobé) et modèle 2S2P1D, généralisation du modèle de Huet-Sayegh.</t>
  </si>
  <si>
    <t>Le 2S2P1D décrit bien liants, mastic et enrobé ; la transformation liant → enrobé est confirmée.</t>
  </si>
  <si>
    <t>Même périmètre que l'article de 2003, présenté sous forme de synthèse.</t>
  </si>
  <si>
    <t>Cadre théorique de ton §1.2 ; version synthétique à citer à côté d'Olard &amp; Di Benedetto (2003).</t>
  </si>
  <si>
    <t>Nouveautés par rapport à 2003 (mastic, échelle intermédiaire).</t>
  </si>
  <si>
    <t>Viscoélastique (2S2P1D)</t>
  </si>
  <si>
    <t>Essais labo ; modèle rhéologique</t>
  </si>
  <si>
    <t>Cyclique (labo)</t>
  </si>
  <si>
    <t>Module complexe</t>
  </si>
  <si>
    <t>Relier le comportement viscoélastique linéaire des liants et des enrobés par un modèle unique.</t>
  </si>
  <si>
    <t>Large campagne d'essais de module complexe à plusieurs températures et fréquences ; neuf liants et quatre enrobés d'une même formulation ; modèle généralisant le modèle analogique de Huet-Sayegh.</t>
  </si>
  <si>
    <t>Le modèle 2S2P1D reproduit bien les mesures des liants et des enrobés ; une transformation indépendante du modèle permet de prédire le module complexe de l'enrobé à partir de celui du liant.</t>
  </si>
  <si>
    <t>Domaine des petites déformations (linéaire) ; matériaux de l'étude.</t>
  </si>
  <si>
    <t>Ton modèle de calage : les 7 paramètres de ton chapitre 2 et leur signification physique viennent de là.</t>
  </si>
  <si>
    <t>Rôle de chaque paramètre, contraintes de calage, forme de la transformation liant → enrobé.</t>
  </si>
  <si>
    <t>Résumé (OpenAlex ; texte reconstruit, en partie répétitif)</t>
  </si>
  <si>
    <t>Rendre utilisable en éléments finis un modèle viscoélastique à spectre continu.</t>
  </si>
  <si>
    <t>Approximation du 2S2P1D par des modèles de Kelvin-Voigt ou de Maxwell généralisés à n corps, étendue au cas tridimensionnel.</t>
  </si>
  <si>
    <t>La méthode fournit des analogues discrets du 2S2P1D ; l'article étudie l'influence du nombre de corps retenu.</t>
  </si>
  <si>
    <t>Le résumé ne chiffre pas la précision obtenue selon n.</t>
  </si>
  <si>
    <t>C'est la méthode suivie pour tes 9 branches (TFE §2.7) : leurs exemples permettent de contrôler ta mise en œuvre (nombre de branches, plage de fréquences, cas 3D).</t>
  </si>
  <si>
    <t>Critère de choix de n et des temps caractéristiques, erreur en fonction de n, traitement de la partie sphérique.</t>
  </si>
  <si>
    <t>Viscoélastique (KVG / MG)</t>
  </si>
  <si>
    <t>Méthode numérique</t>
  </si>
  <si>
    <t>Thèse sans version numérique connue : repérage d'après la base</t>
  </si>
  <si>
    <t>Caractériser le comportement viscoélastique des matériaux hydrocarbonés par une méthode d'impédance.</t>
  </si>
  <si>
    <t>Modèle à deux éléments paraboliques en série avec un ressort, identifié par une méthode d'impédance (d'après la base).</t>
  </si>
  <si>
    <t>Origine du modèle de Huet de ton chapitre 1.</t>
  </si>
  <si>
    <t>Forme du modèle, essais d'impédance, plages de fréquence et de température.</t>
  </si>
  <si>
    <t>Viscoélastique (Huet)</t>
  </si>
  <si>
    <t>Proposer une méthode numérique d'interconversion entre fonctions viscoélastiques fondée sur les séries de Prony.</t>
  </si>
  <si>
    <t>Méthode applicable entre modules et complaisances, dans les domaines temporel, fréquentiel et de Laplace ; illustrée sur des données de PMMA et de polyisobutylène ; choix des temps de relaxation et de retard discuté.</t>
  </si>
  <si>
    <t>Accord entre solutions obtenues dans les différents domaines ; procédure détaillée et recommandations sur le choix des paramètres ; méthode valable pour solides et liquides viscoélastiques.</t>
  </si>
  <si>
    <t>Polymères, pas d'enrobés.</t>
  </si>
  <si>
    <t>Outil pour passer du 2S2P1D aux séries de Prony de G(t) et K(t) demandées par COMSOL, et pour contrôler ta conversion.</t>
  </si>
  <si>
    <t>Règle de répartition des temps caractéristiques (une par décade ?) et gestion des coefficients négatifs.</t>
  </si>
  <si>
    <t>Viscoélastique (Prony)</t>
  </si>
  <si>
    <t>Données de polymères</t>
  </si>
  <si>
    <t>Étudier les propriétés viscoélastiques des bitumes purs et des bétons bitumineux.</t>
  </si>
  <si>
    <t>Ajout au modèle de Huet d'un ressort de module statique : modèle de Huet-Sayegh (d'après la base).</t>
  </si>
  <si>
    <t>Étape entre Huet et le 2S2P1D.</t>
  </si>
  <si>
    <t>Forme du modèle, données, calage.</t>
  </si>
  <si>
    <t>Viscoélastique (Huet-Sayegh)</t>
  </si>
  <si>
    <t>Ouvrage payant sans résumé : repérage d'après la base</t>
  </si>
  <si>
    <t>Constitution et propriétés thermomécaniques des enrobés (tome 2).</t>
  </si>
  <si>
    <t>Source de tes figures 1-1 et 1-5 ; préciser le tome dans ta référence.</t>
  </si>
  <si>
    <t>Chapitres module complexe, fatigue et orniérage ; figures reprises dans ton TFE.</t>
  </si>
  <si>
    <t>Viscoélastique (général)</t>
  </si>
  <si>
    <t>Loi de comportement ; matériaux</t>
  </si>
  <si>
    <t>Thèse en libre accès (TEL) ; résumé non récupéré (serveur inaccessible d'ici) : repérage d'après la base</t>
  </si>
  <si>
    <t>Comportement thermomécanique des enrobés à basse température et relations entre propriétés du liant et de l'enrobé ; thèse d'origine du 2S2P1D.</t>
  </si>
  <si>
    <t>Version détaillée de l'article de 2003, avec les données et la démarche de calage.</t>
  </si>
  <si>
    <t>Procédure de calage du 2S2P1D, passage liant-enrobé, domaine de température.</t>
  </si>
  <si>
    <t>Ouvrage sans résumé : repérage d'après la base</t>
  </si>
  <si>
    <t>Traité de viscoélasticité linéaire : modèles analogiques, spectres, relations entre fonctions.</t>
  </si>
  <si>
    <t>Référence de fond pour les conversions entre Maxwell et Kelvin-Voigt généralisés.</t>
  </si>
  <si>
    <t>Chapitres sur les spectres discrets et les conversions entre fonctions.</t>
  </si>
  <si>
    <t>Viscoélastique (théorie)</t>
  </si>
  <si>
    <t>Ouvrage (théorie)</t>
  </si>
  <si>
    <t>Étudier le comportement linéaire tridimensionnel des matériaux bitumineux.</t>
  </si>
  <si>
    <t>Mesure du coefficient de Poisson complexe en fonction de la température et de la fréquence sur un bitume, un mastic et un enrobé ; extension du modèle DBN au cas 3D isotrope, calé dans le domaine fréquentiel.</t>
  </si>
  <si>
    <t>Le principe d'équivalence temps-température s'applique en 3D avec le même facteur de translation pour E*, G* et ν*.</t>
  </si>
  <si>
    <t>Isotropie.</t>
  </si>
  <si>
    <t>Appuie ta décomposition K/G avec temps de relaxation communs ; à confronter à Graziani et al. (2014), qui trouvent parfois des facteurs différents.</t>
  </si>
  <si>
    <t>Plage de variation de ν* avec la fréquence.</t>
  </si>
  <si>
    <t>Viscoélastique 3D (DBN)</t>
  </si>
  <si>
    <t>Essais labo ; modèle</t>
  </si>
  <si>
    <t>Caractériser séparément les comportements volumique et déviatorique des enrobés dans le domaine linéaire.</t>
  </si>
  <si>
    <t>Essais harmoniques uniaxiaux avec mesure des déformations axiale et transversale ; principe de correspondance élastique-viscoélastique ; traction-compression sur enrobés de compositions volumétriques différentes.</t>
  </si>
  <si>
    <t>Les modules complexes de compressibilité et de cisaillement se mesurent simultanément ; le principe d'équivalence temps-température vaut pour les deux modes ; l'énergie dissipée se décompose en parts volumique et déviatorique.</t>
  </si>
  <si>
    <t>Isotropie supposée.</t>
  </si>
  <si>
    <t>Directement lié à ta décomposition sphérique / déviatorique dans COMSOL, où tu as supposé des temps de relaxation communs : cet article permet de le vérifier.</t>
  </si>
  <si>
    <t>Écart entre facteurs de translation de K* et de G*, forme des courbes maîtresses.</t>
  </si>
  <si>
    <t>Viscoélastique 3D (K*, G*)</t>
  </si>
  <si>
    <t>Mesurer et modéliser le coefficient de Poisson complexe des enrobés en même temps que le module complexe.</t>
  </si>
  <si>
    <t>Essais de compression cyclique sur éprouvettes cylindriques, déformations axiale et transversale, balayage en fréquence aux températures intermédiaires, deux niveaux de déformation, plusieurs teneurs en vides.</t>
  </si>
  <si>
    <t>Le principe d'équivalence temps-température est confirmé, mais des facteurs de translation différents peuvent être nécessaires pour les différentes fonctions (E* et ν*).</t>
  </si>
  <si>
    <t>Compression seule ; températures intermédiaires.</t>
  </si>
  <si>
    <t>Ton hypothèse ν = 0,35 constant se discute à partir d'ici ; la question des facteurs de translation distincts est une divergence avec l'école ENTPE (voir Di Benedetto et al. 2007, Pham et al. 2015).</t>
  </si>
  <si>
    <t>Amplitude de variation de ν* et ampleur de l'écart entre facteurs de translation.</t>
  </si>
  <si>
    <t>Viscoélastique 3D (ν*)</t>
  </si>
  <si>
    <t>Texte de la recommandation lu en partie (PDF Springer ; le document ne comporte pas de résumé)</t>
  </si>
  <si>
    <t>Recommander une méthode de caractérisation du comportement viscoélastique linéaire 3D (isotrope) des enrobés.</t>
  </si>
  <si>
    <t>Mesure simultanée du module d'Young et du coefficient de Poisson complexes par essai axial sinusoïdal sur cylindre ; déformations axiale et transversale mesurées localement (jauges ou capteurs sans contact) avec acquisition synchronisée.</t>
  </si>
  <si>
    <t>Recommandations : rester dans le domaine linéaire (amplitude axiale généralement inférieure à 100 µm/m), traiter les signaux par régression sinusoïdale, documenter compactage et carottage.</t>
  </si>
  <si>
    <t>Document de méthode, pas de résultats.</t>
  </si>
  <si>
    <t>Protocole de référence pour les mesures radiales sans contact de ton essai Instron.</t>
  </si>
  <si>
    <t>Tolérances sur le déphasage entre voies et critères d'acceptation.</t>
  </si>
  <si>
    <t>Viscoélastique 3D</t>
  </si>
  <si>
    <t>Recommandation d'essai</t>
  </si>
  <si>
    <t>Analyser et modéliser des essais de module complexe 3D sur enrobés chauds et tièdes contenant des agrégats d'enrobés.</t>
  </si>
  <si>
    <t>Traction-compression sur cylindres à environ 50 µm/m, de −25 à +45 °C et de 0,03 à 10 Hz, avec déformations radiales dans deux directions ; modèle 2S2P1D.</t>
  </si>
  <si>
    <t>Pas d'anisotropie du coefficient de Poisson ; principe d'équivalence temps-température vérifié en 1D et 3D avec les mêmes facteurs de translation ; l'endommagement créé pendant l'essai équivaut à une hausse de température d'environ 0,25 °C.</t>
  </si>
  <si>
    <t>Enrobés avec agrégats d'enrobés.</t>
  </si>
  <si>
    <t>Protocole et traitement très proches des tiens ; l'équivalence 0,25 °C donne un ordre de grandeur pour discuter l'auto-échauffement de ta campagne.</t>
  </si>
  <si>
    <t>Méthode de calcul de l'équivalence en température.</t>
  </si>
  <si>
    <t>Viscoélastique 3D (2S2P1D)</t>
  </si>
  <si>
    <t>Actes RILEM (papier), sans résumé : repérage d'après la base</t>
  </si>
  <si>
    <t>Classer les domaines de comportement des enrobés selon l'amplitude de déformation et le nombre de cycles.</t>
  </si>
  <si>
    <t>Source de ta Figure 1-8.</t>
  </si>
  <si>
    <t>Domaines et seuils proposés ; pagination 387-401 à constater.</t>
  </si>
  <si>
    <t>Domaines de comportement</t>
  </si>
  <si>
    <t>Essais labo ; formulation rhéologique</t>
  </si>
  <si>
    <t>Résumé (OpenAlex ; texte reconstruit, lacunaire)</t>
  </si>
  <si>
    <t>Mesurer l'influence du choix du modèle rhéologique sur les réponses calculées de chaussées souples.</t>
  </si>
  <si>
    <t>Modèles de Burgers et de Huet-Sayegh calés sur des enrobés à plusieurs températures (diagrammes de Black et Cole-Cole), puis réponses calculées avec VEROAD pour plusieurs températures, vitesses et structures.</t>
  </si>
  <si>
    <t>Le modèle de Burgers ne décrit qu'une plage de fréquences limitée, le Huet-Sayegh couvre l'essentiel des conditions réelles ; les réponses diffèrent peu dans la plage commune, beaucoup en dehors.</t>
  </si>
  <si>
    <t>Deux modèles seulement ; calcul multicouche.</t>
  </si>
  <si>
    <t>Justifie un modèle à spectre large (2S2P1D) plutôt qu'un modèle simple, car une charge mobile sollicite une large gamme de fréquences.</t>
  </si>
  <si>
    <t>Écarts chiffrés hors de la plage de validité.</t>
  </si>
  <si>
    <t>Uniforme (probable)</t>
  </si>
  <si>
    <t>Viscoélastique (Burgers, Huet-Sayegh)</t>
  </si>
  <si>
    <t>Multicouche viscoélastique (VEROAD)</t>
  </si>
  <si>
    <t>Réponse de structure</t>
  </si>
  <si>
    <t>Pas de résumé en ligne (article de 1955) : fiche d'après la notice vérifiée</t>
  </si>
  <si>
    <t>Décrire la dépendance à la température des mécanismes de relaxation des polymères amorphes.</t>
  </si>
  <si>
    <t>Article d'origine de la loi WLF de translation temps-température.</t>
  </si>
  <si>
    <t>Polymères ; la loi est empirique au-dessus de la transition vitreuse.</t>
  </si>
  <si>
    <t>Loi de tes coefficients de translation aT.</t>
  </si>
  <si>
    <t>Domaine de validité en température.</t>
  </si>
  <si>
    <t>Viscoélastique (équivalence temps-température)</t>
  </si>
  <si>
    <t>Théorie ; essais</t>
  </si>
  <si>
    <t>Norme (payante), sans résumé : repérage</t>
  </si>
  <si>
    <t>Méthodes de mesure de la rigidité des enrobés, dont le module complexe, en version consolidée avec l'amendement A1.</t>
  </si>
  <si>
    <t>Cadre normatif de ta campagne Instron.</t>
  </si>
  <si>
    <t>Annexe correspondant à ton essai, conditions (fréquences, températures, amplitude), exigences de précision.</t>
  </si>
  <si>
    <t>Norme d'essai</t>
  </si>
  <si>
    <t>Expliquer l'évolution du module complexe pendant un essai cyclique sur enrobé.</t>
  </si>
  <si>
    <t>Campagne d'essais à l'ENTPE pour identifier et quantifier non-linéarité, échauffement, thixotropie et fatigue.</t>
  </si>
  <si>
    <t>Échauffement et thixotropie sont deux effets réversibles importants, à ne pas confondre avec la fatigue ; jusqu'à 122 µm/m la non-linéarité est aussi réversible ; au début de l'essai, la hausse de température est proportionnelle à l'énergie dissipée ; la thixotropie est modélisée par une hausse de température équivalente.</t>
  </si>
  <si>
    <t>Amplitudes modérées.</t>
  </si>
  <si>
    <t>Grille de lecture de ta campagne Instron (amplitude, nombre de cycles, repos) ; utile aussi pour lire tes paramètres de fatigue.</t>
  </si>
  <si>
    <t>Ordres de grandeur de l'échauffement par cycle et durée des repos.</t>
  </si>
  <si>
    <t>Viscoélastique (non linéaire)</t>
  </si>
  <si>
    <t>Module complexe ; fatigue</t>
  </si>
  <si>
    <t>Comparer trois modes de sollicitation sinusoïdale pour les essais de module complexe 3D.</t>
  </si>
  <si>
    <t>Essais à l'ENTPE en traction seule, compression seule (pilotés en contrainte) et traction-compression (pilotée en déformation), à moins de 60 µm/m ; E* et ν* entre 1 et 30 °C et de 0,03 à 10 Hz.</t>
  </si>
  <si>
    <t>Modules identiques pour les trois modes aux basses et moyennes températures ; petits écarts à chaud, dus à la non-linéarité et aux déformations accumulées ; pas de différence notable sur ν*.</t>
  </si>
  <si>
    <t>Plage de température limitée à 30 °C.</t>
  </si>
  <si>
    <t>Protocole le plus proche du tien (traction-compression pilotée en déformation) ; appuie la mesure de ν* sans biais de mode.</t>
  </si>
  <si>
    <t>Amplitude des écarts à chaud.</t>
  </si>
  <si>
    <t>Pas de résumé (rapport de comité RILEM) : fiche d'après la notice vérifiée</t>
  </si>
  <si>
    <t>Rendre compte de l'essai interlaboratoires RILEM sur la mesure de rigidité des enrobés.</t>
  </si>
  <si>
    <t>Rapport du comité TC 182-PEB.</t>
  </si>
  <si>
    <t>Le texte n'a pas pu être lu ici.</t>
  </si>
  <si>
    <t>Ordre de grandeur de la dispersion entre laboratoires et essais, utile pour discuter tes résultats.</t>
  </si>
  <si>
    <t>Dispersion inter-laboratoires sur |E*| et φ.</t>
  </si>
  <si>
    <t>Viscoélastique</t>
  </si>
  <si>
    <t>Essai interlaboratoires</t>
  </si>
  <si>
    <t>Évaluer les effets transitoires au début des essais de module complexe.</t>
  </si>
  <si>
    <t>Simulations avec un Kelvin-Voigt généralisé de 40 éléments calé sur le 2S2P1D (modèle DBN), pour des sinusoïdes parfaites et pour les signaux d'essai réels.</t>
  </si>
  <si>
    <t>Il faut écarter les quatre premiers cycles pour obtenir un module complexe correct ; le nombre de cycles doit ensuite rester faible pour une caractérisation linéaire correcte.</t>
  </si>
  <si>
    <t>Simulation de la chaîne d'essai.</t>
  </si>
  <si>
    <t>Justifie le rejet des premiers cycles dans ton traitement des sinus.</t>
  </si>
  <si>
    <t>Nombre de cycles utilisés dans tes essais comparé à la recommandation.</t>
  </si>
  <si>
    <t>Viscoélastique (KVG 40 éléments)</t>
  </si>
  <si>
    <t>Simulation d'essai</t>
  </si>
  <si>
    <t>Valider le principe d'équivalence temps-température en 3D et au-delà du domaine linéaire.</t>
  </si>
  <si>
    <t>Courbes maîtresses du module complexe et du coefficient de Poisson ; essais en grandes déformations et de propagation de fissure dans des conditions équivalentes de temps et de température.</t>
  </si>
  <si>
    <t>L'équivalence temps-température s'étend au domaine non linéaire et à la propagation de fissure.</t>
  </si>
  <si>
    <t>Matériaux de l'étude.</t>
  </si>
  <si>
    <t>Justifie tes courbes maîtresses et, au-delà, l'usage de l'équivalence pour des critères d'endommagement.</t>
  </si>
  <si>
    <t>Écarts résiduels en non linéaire.</t>
  </si>
  <si>
    <t>Module complexe ; fissuration</t>
  </si>
  <si>
    <t>Essai de point de fragilité Fraass des liants bitumineux.</t>
  </si>
  <si>
    <t>Cité au chapitre 1 de ton TFE ; édition d'août 2015, toujours en vigueur.</t>
  </si>
  <si>
    <t>Principe et conditions d'essai, si tu discutes le comportement du liant à froid.</t>
  </si>
  <si>
    <t>Norme d'essai (liant)</t>
  </si>
  <si>
    <t>Liant</t>
  </si>
  <si>
    <t>Essai de point de ramollissement bille et anneau des liants bitumineux.</t>
  </si>
  <si>
    <t>Cité au chapitre 1 ; l'édition de janvier 2018 a été annulée en juin 2026.</t>
  </si>
  <si>
    <t>Édition réellement appliquée par le laboratoire.</t>
  </si>
  <si>
    <t>Essai de pénétrabilité à l'aiguille des liants bitumineux.</t>
  </si>
  <si>
    <t>Cité au chapitre 1 sans figurer dans ta bibliographie : à ajouter avec son édition.</t>
  </si>
  <si>
    <t>Édition appliquée par le laboratoire (janvier 2018 ou novembre 2024).</t>
  </si>
  <si>
    <t>Construire les courbes maîtresses du module complexe sans ajustement manuel.</t>
  </si>
  <si>
    <t>Méthode fondée sur les relations de Kramers-Kronig entre module et angle de phase ; trois bitumes purs, un liant modifié et deux enrobés.</t>
  </si>
  <si>
    <t>Courbes maîtresses obtenues sans erreur d'ajustement manuel dès que le matériau respecte l'équivalence temps-température ; interprétation des constantes WLF.</t>
  </si>
  <si>
    <t>Suppose l'équivalence temps-température.</t>
  </si>
  <si>
    <t>Contrôle indépendant de ta translation des isothermes.</t>
  </si>
  <si>
    <t>Mise en œuvre pratique (discrétisation, bruit de mesure).</t>
  </si>
  <si>
    <t>Méthode de traitement</t>
  </si>
  <si>
    <t>Intégrer la viscoélasticité linéaire des enrobés dans l'analyse des essais F/HWD, dans une coopération STAC-LTDS.</t>
  </si>
  <si>
    <t>Analyse de l'appareil par instrumentation externe ; deux outils de simulation, éléments finis temporels et méthode spectrale fréquentielle, en quasi-statique ou dynamique, élastique ou viscoélastique ; méthode d'analyse inverse viscoélastique et dynamique.</t>
  </si>
  <si>
    <t>La méthode inverse, vérifiée puis appliquée aux essais HWD d'une planche du STAC entre 0 et 30 °C, donne des propriétés comparées aux modules complexes mesurés à l'ENTPE.</t>
  </si>
  <si>
    <t>Chargement HWD (impulsionnel, circulaire), pas de pneu.</t>
  </si>
  <si>
    <t>L'autre base de ton modèle, et déjà une méthode spectrale fréquentielle viscoélastique dans ton équipe : ta piste a peut partir de ce code.</t>
  </si>
  <si>
    <t>Formulation spectrale (2D axisymétrique ?), loi viscoélastique retenue, validation.</t>
  </si>
  <si>
    <t>Uniforme circulaire (HWD)</t>
  </si>
  <si>
    <t>EF temporels ; éléments spectraux</t>
  </si>
  <si>
    <t>Impulsionnelle (HWD)</t>
  </si>
  <si>
    <t>Déflexion</t>
  </si>
  <si>
    <t>Mesures in situ ; essais labo</t>
  </si>
  <si>
    <t>Donner à l'ingénieur une théorie des contraintes et déplacements dans un sol en couches, les équations de Boussinesq ne valant que pour un massif homogène.</t>
  </si>
  <si>
    <t>Théorie d'un système à deux couches, dérivée dans le contexte des chantiers d'aérodromes et de fondations en temps de guerre ; première exploitation numérique du tassement de surface pour un coefficient de Poisson de 0,5.</t>
  </si>
  <si>
    <t>Équations générales et abaques d'influence pour les cas pratiques.</t>
  </si>
  <si>
    <t>Bicouche, élasticité, symétrie axiale.</t>
  </si>
  <si>
    <t>Le multicouche élastique est né pour les aérodromes : c'est l'origine lointaine d'Alizé et de FAARFIELD, et donc de l'empreinte circulaire uniforme que ton travail remet en cause.</t>
  </si>
  <si>
    <t>Hypothèses d'interface (collée) et de chargement.</t>
  </si>
  <si>
    <t>Uniforme circulaire</t>
  </si>
  <si>
    <t>Multicouche analytique</t>
  </si>
  <si>
    <t>Déplacements ; contraintes</t>
  </si>
  <si>
    <t>Introduire des propriétés viscoélastiques mesurées en laboratoire dans un modèle éléments finis 3D et le valider sur site.</t>
  </si>
  <si>
    <t>Caractérisation viscoélastique des enrobés aux températures intermédiaires et élevées, modèle EF 3D sous charge de véhicule, comparaison aux mesures de la Virginia Smart Road.</t>
  </si>
  <si>
    <t>L'élasticité sous-estime fortement les réponses à chaud ; le modèle viscoélastique reste à moins de 15 % des mesures et reproduit le retard transversal et la relaxation longitudinale rapide, ainsi que l'orniérage primaire et sa récupération partielle.</t>
  </si>
  <si>
    <t>Pneus de camion, chaussée routière.</t>
  </si>
  <si>
    <t>Justifie le choix viscoélastique (tes 22 % d'écart élastique / viscoélastique) et l'asymétrie transversale que ton modèle reproduit sur le PEP.</t>
  </si>
  <si>
    <t>Forme de la charge (uniforme ?), loi viscoélastique utilisée.</t>
  </si>
  <si>
    <t>EF 3D</t>
  </si>
  <si>
    <t>Déformations ; orniérage</t>
  </si>
  <si>
    <t>Comparer distributions de pression uniforme et non uniformes sur une chaussée à assise non traitée.</t>
  </si>
  <si>
    <t>Modèle 3D sous EverStressFE ; distributions convexes et concaves (dont demi-sinus) ; déflexion, cisaillement, traction en base d'enrobé, compression du sol ; conséquences sur la durée de vie.</t>
  </si>
  <si>
    <t>Par rapport à la charge uniforme, la distribution convexe accroît la déflexion et la traction maximale, la concave le cisaillement dans la structure ; peu d'effet sur le sol support sauf pour le demi-sinus convexe, qui donne aussi la plus faible durée de vie en orniérage.</t>
  </si>
  <si>
    <t>Élasticité ; distributions idéalisées.</t>
  </si>
  <si>
    <t>L'étude élastique que tu cites pour la sensibilité des déformations de surface ; montre que la forme (convexe = profil en n, concave = profil en M) change le mode de sollicitation dominant.</t>
  </si>
  <si>
    <t>Formes exactes des distributions et niveaux de charge.</t>
  </si>
  <si>
    <t>Non uniforme idéalisé (convexe, concave)</t>
  </si>
  <si>
    <t>EF 3D (EverStressFE)</t>
  </si>
  <si>
    <t>Surface ; base de couche ; orniérage</t>
  </si>
  <si>
    <t>Résumé de la thèse (OpenAlex ; texte reconstruit, en partie confus)</t>
  </si>
  <si>
    <t>Évaluer la pertinence des hypothèses simplificatrices du calcul des chaussées sous charges réelles.</t>
  </si>
  <si>
    <t>Mesures de déformations sur plusieurs structures en faisant varier la charge, le gonflage et le type de roues, à plusieurs températures ; deux structures modélisées selon la méthode française ; déformations horizontales en base d'assise et en base de couche de roulement ; décomposition des signaux en séries de Fourier.</t>
  </si>
  <si>
    <t>Une relation entre vitesse de la charge et fréquence équivalente est établie ; des « irrégularités » apparaissent en base de couche de roulement, où les matériaux proches de la surface seraient plus sollicités horizontalement que verticalement ; le modèle de Huet n'améliore pas nettement la qualité de modélisation dans cette étude ; les conditions d'interface comptent.</t>
  </si>
  <si>
    <t>Le résumé reconstruit est lacunaire : les conclusions sont à confirmer au texte.</t>
  </si>
  <si>
    <t>Source de ta relation fréquence-vitesse (module à 1 Hz) ; et un constat de sollicitation particulière près de la surface qui rejoint ta problématique.</t>
  </si>
  <si>
    <t>La relation fréquence-vitesse exacte et son domaine de validité, l'effet de la répartition réelle de la charge.</t>
  </si>
  <si>
    <t>Camion (plusieurs types)</t>
  </si>
  <si>
    <t>Charges réelles (contact non mesuré)</t>
  </si>
  <si>
    <t>Élastique ; viscoélastique (Huet)</t>
  </si>
  <si>
    <t>Mesures in situ ; multicouche</t>
  </si>
  <si>
    <t>Base de couche ; surface</t>
  </si>
  <si>
    <t>Thèse non diffusée en ligne : repérage d'après la base</t>
  </si>
  <si>
    <t>Influence des propriétés élastiques ou viscoélastiques des revêtements sur le comportement des ponts à dalle orthotrope.</t>
  </si>
  <si>
    <t>Loi viscoélastique linéaire implémentée dans un calcul de structure (d'après la base).</t>
  </si>
  <si>
    <t>Une des deux bases méthodologiques de ton modèle COMSOL (loi viscoélastique, empreinte rectangulaire, hypothèse sur le coefficient de Poisson).</t>
  </si>
  <si>
    <t>Implémentation de la loi, empreinte et chargement, hypothèse sur ν.</t>
  </si>
  <si>
    <t>EF</t>
  </si>
  <si>
    <t>Revêtement sur pont</t>
  </si>
  <si>
    <t>Mesurer l'effet de la dynamique et de la viscoélasticité sur la simulation des essais F/HWD.</t>
  </si>
  <si>
    <t>Éléments finis temporels sur une structure existante ; quatre cas : élastique statique, élastique dynamique, viscoélastique, viscoélastique dynamique.</t>
  </si>
  <si>
    <t>Les effets dynamiques et viscoélastiques modifient nettement l'historique et les pics de déflexion.</t>
  </si>
  <si>
    <t>Chargement impulsionnel.</t>
  </si>
  <si>
    <t>Version courte de la thèse de Roussel, plus rapide à citer.</t>
  </si>
  <si>
    <t>Écarts chiffrés entre les quatre cas.</t>
  </si>
  <si>
    <t>EF temporels</t>
  </si>
  <si>
    <t>Impulsionnelle</t>
  </si>
  <si>
    <t>Résumé (World Transit Research, reprise de la notice TRR)</t>
  </si>
  <si>
    <t>Évaluer l'effet combiné de la charge roulante et des contraintes de contact 3D mesurées sur une chaussée épaisse.</t>
  </si>
  <si>
    <t>Modèle EF 3D avec contraintes de contact 3D mesurées (35, 44 et 53 kN, 720 kPa), enrobé viscoélastique, charge mobile continue et analyse dynamique implicite ; chaussée de 254 mm d'enrobé sur 305 mm de sol traité à la chaux, sous jumelage.</t>
  </si>
  <si>
    <t>Les contraintes 3D donnent des cisaillements et des contraintes octaédriques plus forts près de la surface que la charge uniforme ; pour les grandeurs profondes (traction transversale, compression), la formulation du résumé (« comparable ») est ambiguë. La charge uniforme sous-estimerait donc le dommage, surtout la fissuration près de la surface. Les contraintes tangentielles transversales créent un écoulement de cisaillement vers l'extérieur ; une charge plus forte accroît surtout les contraintes de bord ; l'écart uniforme / 3D diminue quand la charge augmente.</t>
  </si>
  <si>
    <t>Pneus de camion jumelés.</t>
  </si>
  <si>
    <t>Travail le plus proche du tien (empreinte mesurée dans un EF viscoélastique sous charge mobile) et qui conclut comme toi sur la surface ; point d'appui central de ta discussion.</t>
  </si>
  <si>
    <t>Écarts chiffrés, maillage et domaine, forme des contraintes tangentielles.</t>
  </si>
  <si>
    <t>Camion (jumelé)</t>
  </si>
  <si>
    <t>3D mesuré (tangentiel)</t>
  </si>
  <si>
    <t>EF 3D (dynamique implicite)</t>
  </si>
  <si>
    <t>Résumé (PDF de l'éditeur, Hindawi)</t>
  </si>
  <si>
    <t>Prédire rapidement les réponses viscoélastiques sous charge mobile et contraintes de contact non uniformes.</t>
  </si>
  <si>
    <t>Éléments finis 2,5D validés par deux solutions analytiques (élastique et viscoélastique) ; charges ponctuelle, rectangulaire uniforme, sinusoïdale et non uniforme réaliste ; quatre épaisseurs d'enrobé.</t>
  </si>
  <si>
    <t>Calcul bien plus rapide qu'en 3D ; la charge ponctuelle donne des réponses bien plus fortes que les charges réparties ; pour un rectangle uniforme, la traction maximale dépend du rapport largeur / longueur ; les réponses sous charge sinusoïdale et sous contraintes non uniformes réalistes sont très proches ; les déformations baissent quand la vitesse augmente.</t>
  </si>
  <si>
    <t>Réponses de structure classiques (déflexion, traction en base, compression du sol).</t>
  </si>
  <si>
    <t>Méthode intermédiaire entre ton EF 3D et la piste a ; leur constat « sinusoïde ≈ empreinte réaliste » appuie ta représentation lissée en cinq gaussiennes, au moins pour les grandeurs profondes.</t>
  </si>
  <si>
    <t>Grandeurs de surface et effet du rapport largeur / longueur sur ton empreinte rectangulaire de référence.</t>
  </si>
  <si>
    <t>Non uniforme mesuré ; idéalisé</t>
  </si>
  <si>
    <t>EF 2,5D</t>
  </si>
  <si>
    <t>Base de couche ; déflexion</t>
  </si>
  <si>
    <t>Solutions analytiques</t>
  </si>
  <si>
    <t>Quantifier l'effet de la forme d'amplitude de la charge, des interfaces et des forces latérales sur les réponses viscoélastiques.</t>
  </si>
  <si>
    <t>Étude paramétrique EF 3D : pneus jumelés et larges, 5, 25 et 40 °C, 8 et 72 km/h ; amplitude continue ou trapézoïdale ; interfaces à frottement simple ou collage élastique ; forces de surface latérales.</t>
  </si>
  <si>
    <t>L'amplitude continue, asymétrique entre entrée et sortie du pneu, représente mieux le passage d'un véhicule ; le collage élastique améliore les prédictions (le frottement simple convient mieux au pneu large) ; les forces de cisaillement améliorent la prédiction en base de couche de roulement ; résultats validés sur site.</t>
  </si>
  <si>
    <t>Pneus de camion.</t>
  </si>
  <si>
    <t>Deux de tes hypothèses (interfaces collées, pas d'efforts tangentiels) sont évaluées ici ; argument aussi pour ta façon d'appliquer la charge mobile.</t>
  </si>
  <si>
    <t>Effet chiffré des forces latérales près de la surface.</t>
  </si>
  <si>
    <t>Camion (jumelé, large)</t>
  </si>
  <si>
    <t>Non uniforme ; tangentiel</t>
  </si>
  <si>
    <t>Surface ; interfaces</t>
  </si>
  <si>
    <t>Préciser le bon usage des éléments finis en calcul de chaussées.</t>
  </si>
  <si>
    <t>Comparaison de modèles en déformations planes, axisymétriques et 3D (ABAQUS) à la théorie multicouche (BISAR) ; influence des simplifications, du maillage, du type et de l'élancement des éléments.</t>
  </si>
  <si>
    <t>Les modèles 3D et axisymétriques conviennent au calcul sous trafic ; la solution dépend des choix de maillage.</t>
  </si>
  <si>
    <t>Élasticité, étude ancienne.</t>
  </si>
  <si>
    <t>À citer pour justifier ton domaine et ta convergence de maillage (60 éléments dans la zone raffinée, écart inférieur à 2 % avec 30).</t>
  </si>
  <si>
    <t>Recommandations chiffrées (taille d'élément, étendue du domaine).</t>
  </si>
  <si>
    <t>Uniforme</t>
  </si>
  <si>
    <t>EF (2D, axisymétrique, 3D)</t>
  </si>
  <si>
    <t>BISAR</t>
  </si>
  <si>
    <t>Résumé (PDF Springer, reformulé par l'outil de lecture)</t>
  </si>
  <si>
    <t>Modéliser les revêtements bitumineux sur dalles orthotropes (projet Orthoplus).</t>
  </si>
  <si>
    <t>Modèle viscoélastique linéaire de l'ENTPE implémenté dans un code éléments finis de structures orthotropes ; validation sur deux ouvrages dont le viaduc de Millau (mesures in situ) et sur l'essai de flexion cinq points.</t>
  </si>
  <si>
    <t>Comparaisons entre mesures et simulations sur ouvrage et en laboratoire.</t>
  </si>
  <si>
    <t>Ponts orthotropes, pas de chaussée.</t>
  </si>
  <si>
    <t>Forme publiée de la thèse de Pouget : c'est l'implémentation EF viscoélastique dont ton modèle hérite.</t>
  </si>
  <si>
    <t>Nombre de branches du modèle discret et mise en œuvre dans le code.</t>
  </si>
  <si>
    <t>Viscoélastique (2S2P1D discrétisé)</t>
  </si>
  <si>
    <t>Mobile ; essai labo</t>
  </si>
  <si>
    <t>Mesures in situ ; essais</t>
  </si>
  <si>
    <t>Ouvrage du domaine public (PDF libre) sans résumé : repérage d'après la base</t>
  </si>
  <si>
    <t>Solution du demi-espace élastique sous une force ponctuelle normale.</t>
  </si>
  <si>
    <t>Brique élémentaire de ta deuxième piste d'ouverture ; corrige le titre dans ton TFE (« solides élastiques »).</t>
  </si>
  <si>
    <t>Expressions des déplacements et des contraintes utilisées pour la superposition.</t>
  </si>
  <si>
    <t>Théorie (solution analytique)</t>
  </si>
  <si>
    <t>Contraintes ; déplacements</t>
  </si>
  <si>
    <t>Évaluer la fissuration de surface d'une chaussée souple selon les conditions de roulage.</t>
  </si>
  <si>
    <t>Amorçage de fissuration descendante traité par un endommagement continu couplé à un modèle semi-analytique du contact roulant ; pneu et chaussée en demi-espaces multicouches élastiques linéaires ; scénarios d'accélération, de freinage et de virage.</t>
  </si>
  <si>
    <t>Les zones critiques et les directions de fissures sont identifiées pour chaque scénario ; un essieu standard causerait environ 9 fois plus de dommage dans un giratoire qu'en ligne droite ; coût de calcul compatible avec un usage industriel.</t>
  </si>
  <si>
    <t>Élasticité linéaire (pas de viscoélasticité).</t>
  </si>
  <si>
    <t>La source de ton argument sur le cisaillement aux bords du pneu ; état de l'art le plus récent de ta piste b, qu'une version viscoélastique prolongerait.</t>
  </si>
  <si>
    <t>Loi d'endommagement et son calage, définition des scénarios, position exacte des pics.</t>
  </si>
  <si>
    <t>Camion (essieu standard)</t>
  </si>
  <si>
    <t>Semi-analytique ; endommagement</t>
  </si>
  <si>
    <t>Roulement (accélération, freinage, virage)</t>
  </si>
  <si>
    <t>Fissuration descendante ; surface</t>
  </si>
  <si>
    <t>Expliquer les déformations transversales asymétriques, parfois supérieures aux longitudinales, mesurées en base de chaussées aéronautiques sous charges multiples lentes.</t>
  </si>
  <si>
    <t>Logiciel ViscoRoute : demi-espace multicouche, comportement thermo-viscoélastique de Huet-Sayegh, charges se déplaçant à vitesse constante ; comparaisons avec la littérature.</t>
  </si>
  <si>
    <t>Pour les chaussées bitumineuses épaisses et plusieurs configurations de charges mobiles, la viscoélasticité est indispensable pour prédire le comportement et anticiper les dégradations.</t>
  </si>
  <si>
    <t>Charges idéalisées dans le résumé ; interfaces collées dans cette version.</t>
  </si>
  <si>
    <t>Il part du même constat que ta validation sur le PEP (asymétrie transversale mesurée) : solution de référence pour contrôler COMSOL et base de ta piste a.</t>
  </si>
  <si>
    <t>Forme des charges admises (empreintes non uniformes ?), temps de calcul, comparaison aux mesures d'aérodrome.</t>
  </si>
  <si>
    <t>Avion (charges multiples)</t>
  </si>
  <si>
    <t>Uniforme (idéalisé)</t>
  </si>
  <si>
    <t>Semi-analytique (domaine fréquentiel)</t>
  </si>
  <si>
    <t>Littérature ; mesures d'aérodrome</t>
  </si>
  <si>
    <t>Supprimer l'erreur de périodicité qui apparaît aux bords du domaine quand on utilise la FFT en mécanique du contact.</t>
  </si>
  <si>
    <t>Remplacer convolution continue et transformée de Fourier par une convolution discrète calculée par FFT (DC-FFT) ; plusieurs variantes comparées numériquement.</t>
  </si>
  <si>
    <t>La DC-FFT évite d'agrandir artificiellement le domaine de calcul et gagne en efficacité.</t>
  </si>
  <si>
    <t>Élasticité, contact en tribologie.</t>
  </si>
  <si>
    <t>Outil de base de ta piste b : superposer rapidement des solutions de Boussinesq sur ton empreinte discrétisée.</t>
  </si>
  <si>
    <t>Conditions de validité (maillage régulier, taille de zone de remplissage).</t>
  </si>
  <si>
    <t>Quelconque (discrétisé)</t>
  </si>
  <si>
    <t>Semi-analytique (FFT)</t>
  </si>
  <si>
    <t>Contact ; contraintes</t>
  </si>
  <si>
    <t>Comparaisons numériques</t>
  </si>
  <si>
    <t>Disposer d'un outil de calcul direct rapide et précis pour l'identification des couches de chaussée.</t>
  </si>
  <si>
    <t>Analyse spectrale par éléments spectraux axisymétriques et de demi-espace pour la réponse dynamique d'un multicouche sous force transitoire.</t>
  </si>
  <si>
    <t>Une couche entière est représentée par un seul élément : la taille du modèle égale le nombre de couches, d'où des calculs très rapides, adaptés aux problèmes inverses.</t>
  </si>
  <si>
    <t>Axisymétrie (charge circulaire).</t>
  </si>
  <si>
    <t>Méthode fréquentielle où un module complexe s'introduit tel quel ; mais l'axisymétrie ne convient pas à ton empreinte hétérogène sans extension 3D.</t>
  </si>
  <si>
    <t>Possibilité d'étendre à des charges non axisymétriques.</t>
  </si>
  <si>
    <t>Élastique / amortie</t>
  </si>
  <si>
    <t>Éléments spectraux (domaine fréquentiel)</t>
  </si>
  <si>
    <t>Présenter le programme multicouche viscoélastique linéaire VEROAD.</t>
  </si>
  <si>
    <t>Mêmes principes qu'un programme multicouche élastique, la viscosité étant traitée par transformation de Fourier (calcul complexe) ; vitesse du trafic prise en compte explicitement ; partie viscoélastique suivant un modèle de Burgers.</t>
  </si>
  <si>
    <t>Accès aux déplacements, contraintes et déformations dépendant du temps, aux déformations permanentes et à l'énergie dissipée, en fonction de la vitesse.</t>
  </si>
  <si>
    <t>Modèle de Burgers, peu adapté aux enrobés sur une large plage de fréquences (voir Nilsson et al., 2002).</t>
  </si>
  <si>
    <t>Précédent direct de ta piste a : la viscoélasticité traitée par transformée de Fourier dans un multicouche sous charge mobile.</t>
  </si>
  <si>
    <t>Forme de charge admise (uniforme ? quelconque ?).</t>
  </si>
  <si>
    <t>Viscoélastique (Burgers)</t>
  </si>
  <si>
    <t>Multicouche en domaine fréquentiel</t>
  </si>
  <si>
    <t>Développer un code semi-analytique 3D de contact élasto-plastique.</t>
  </si>
  <si>
    <t>Contact résolu dans un cadre de Hertz, théorème de réciprocité avec déformations initiales, formulation incrémentale de la plasticité, expressions fermées des contraintes résiduelles ; validation par nano-indentation ; contact roulant sur surfaces lisses ou indentées.</t>
  </si>
  <si>
    <t>Temps de calcul bien plus court qu'en éléments finis, même avec un maillage fin, ce qui rend abordables les calculs 3D transitoires.</t>
  </si>
  <si>
    <t>Tribologie métallique.</t>
  </si>
  <si>
    <t>Généalogie des méthodes semi-analytiques reprises pour le pneu-chaussée par Manyo et Cardoso da Silva (même école de D. Nélias).</t>
  </si>
  <si>
    <t>Ce qui change pour un massif multicouche (coefficients d'influence).</t>
  </si>
  <si>
    <t>Hertzien / rugueux</t>
  </si>
  <si>
    <t>Élasto-plastique</t>
  </si>
  <si>
    <t>Semi-analytique</t>
  </si>
  <si>
    <t>Essais (nano-indentation)</t>
  </si>
  <si>
    <t>Ouvrage de référence de la mécanique du contact : solutions de Boussinesq et de Cerruti, contact de Hertz, contact roulant, matériaux viscoélastiques.</t>
  </si>
  <si>
    <t>Cadre théorique commun à tes deux pistes et à la prise en compte des efforts tangentiels.</t>
  </si>
  <si>
    <t>Chapitres Cerruti (efforts tangentiels), contact roulant, viscoélasticité.</t>
  </si>
  <si>
    <t>Normal et tangentiel (théorie)</t>
  </si>
  <si>
    <t>Élastique ; viscoélastique</t>
  </si>
  <si>
    <t>Calculer les contraintes produites dans un solide semi-infini par une pression sur une partie de sa surface.</t>
  </si>
  <si>
    <t>Solution générale fondée sur le potentiel de Boussinesq et, pour les charges à symétrie de révolution, méthode par fonctions de Bessel.</t>
  </si>
  <si>
    <t>Cas particuliers de la pression uniforme sur des aires rectangulaires et circulaires, jugés les plus utiles en pratique.</t>
  </si>
  <si>
    <t>Demi-espace homogène élastique.</t>
  </si>
  <si>
    <t>Solution fermée pour valider une superposition numérique : ton empreinte rectangulaire uniforme de référence a une solution exacte en demi-espace.</t>
  </si>
  <si>
    <t>Expressions du rectangle uniformément chargé.</t>
  </si>
  <si>
    <t>Uniforme (rectangle, cercle)</t>
  </si>
  <si>
    <t>Contraintes</t>
  </si>
  <si>
    <t>Relier les paramètres du contact pneu-chaussée aux dégradations de surface (fissuration descendante, décollement).</t>
  </si>
  <si>
    <t>Contact roulant avec frottement traité par la théorie de Kalker dans une méthode semi-analytique ; profil du pneu numérisé par franges ou photogrammétrie.</t>
  </si>
  <si>
    <t>Les déformations d'extension en surface atteignent environ 200 µdef dans la zone de contact, au-delà du seuil d'amorçage de fissures ; les directions principales indiquent une orientation longitudinale ou transversale des fissures.</t>
  </si>
  <si>
    <t>Critère d'amorçage en déformation, sans calcul de propagation.</t>
  </si>
  <si>
    <t>Exemple abouti de ta piste b, avec le même argument que ton TFE (directions principales et fissuration descendante).</t>
  </si>
  <si>
    <t>Loi de comportement de la chaussée, pneu et charge, seuil d'amorçage retenu.</t>
  </si>
  <si>
    <t>Camion (non précisé)</t>
  </si>
  <si>
    <t>3D calculé (frottement)</t>
  </si>
  <si>
    <t>Roulement</t>
  </si>
  <si>
    <t>Surface ; fissuration descendante</t>
  </si>
  <si>
    <t>Résumé éditeur (Springer ; actes de Mairepav9)</t>
  </si>
  <si>
    <t>Comparer éléments spectraux et éléments finis pour simuler l'essai HWD avec couches bitumineuses viscoélastiques.</t>
  </si>
  <si>
    <t>Méthode des éléments spectraux, semi-analytique en domaine fréquentiel : fonction de réponse calculée pour une charge unitaire de 1 à 200 Hz à chaque géophone, puis pondérée par la FFT de la charge HWD mesurée ; module complexe donné par une expression analytique dépendant de la fréquence ; planche d'essai du STAC instrumentée en température.</t>
  </si>
  <si>
    <t>Résultats validés contre des éléments finis temporels ; la méthode spectrale est bien plus rapide et prometteuse pour le calcul inverse.</t>
  </si>
  <si>
    <t>Problème axisymétrique (charge HWD circulaire).</t>
  </si>
  <si>
    <t>C'est le prototype de ta piste a, dans ton équipe : module complexe analytique, calcul par fréquence, FFT du chargement. Reste à passer d'une charge circulaire à ton empreinte non uniforme (nombres d'onde en 2D).</t>
  </si>
  <si>
    <t>Expression du module complexe utilisée (2S2P1D ?), écarts spectral / EF.</t>
  </si>
  <si>
    <t>Viscoélastique (module complexe analytique)</t>
  </si>
  <si>
    <t>EF temporels ; mesures</t>
  </si>
  <si>
    <t>Calculer la déformation de la chaussée sous un trafic réel.</t>
  </si>
  <si>
    <t>Approche en couches finies continues intégrant les variations dynamiques de la charge, des contraintes de contact complexes (normales et de cisaillement), la vitesse et la viscoélasticité ; étude paramétrique sur chaussées mince et épaisse, dont pneus larges et jumelés.</t>
  </si>
  <si>
    <t>Contrairement aux études précédentes, le cisaillement de contact a un effet négligeable sur la traction en base de béton bitumineux.</t>
  </si>
  <si>
    <t>La conclusion porte sur la base de couche, pas sur la surface.</t>
  </si>
  <si>
    <t>Montre comment injecter une empreinte non uniforme dans un calcul semi-analytique sous charge mobile (piste a) ; sa conclusion en base est cohérente avec ta faible sensibilité en profondeur.</t>
  </si>
  <si>
    <t>Formulation exacte (transformée de Fourier en repère mobile ?) et réponses en surface.</t>
  </si>
  <si>
    <t>Camion (pneus larges, jumelés)</t>
  </si>
  <si>
    <t>3D mesuré ou idéalisé</t>
  </si>
  <si>
    <t>Couches finies (semi-analytique)</t>
  </si>
  <si>
    <t>Mobile (dynamique)</t>
  </si>
  <si>
    <t>Constituer une base de réponses de chaussée selon le pneu et la distribution des contraintes de contact.</t>
  </si>
  <si>
    <t>Modèle en couches finies 3D-Move ; pneus classiques et larges ; distributions uniformes et non uniformes ; plusieurs vitesses.</t>
  </si>
  <si>
    <t>Écarts de 6 à 30 % entre distributions uniforme et non uniforme ; hors traction en base de béton bitumineux, les réponses sont plus faibles avec la distribution non uniforme, ce qui rend l'hypothèse uniforme conservative, au moins pour l'orniérage ; les cisaillements de contact n'influencent pas les réponses ; la vitesse compte beaucoup.</t>
  </si>
  <si>
    <t>Réponses de structure classiques ; pas de critère de surface.</t>
  </si>
  <si>
    <t>Conclusion en partie opposée à la tienne (cisaillement de surface sous-estimé par la pression uniforme) et à Wang &amp; Al-Qadi (2009) : à discuter dans ton chapitre de résultats, en comparant les grandeurs et les profondeurs examinées ; leurs grandeurs sont celles du dimensionnement, pas des critères de surface.</t>
  </si>
  <si>
    <t>Profondeurs et grandeurs comparées (surface ou non), forme des distributions utilisées.</t>
  </si>
  <si>
    <t>Camion (classique, large)</t>
  </si>
  <si>
    <t>Non uniforme (3D, avec cisaillements)</t>
  </si>
  <si>
    <t>— (non précisée dans le résumé)</t>
  </si>
  <si>
    <t>Couches finies (3D-Move)</t>
  </si>
  <si>
    <t>Base de couche ; orniérage</t>
  </si>
  <si>
    <t>Mesures de terrain (vitesse)</t>
  </si>
  <si>
    <t>Calculer la réponse d'un multicouche viscoélastique sous charge mobile quand les interfaces glissent.</t>
  </si>
  <si>
    <t>Équations de Navier résolues par couche dans le domaine fréquentiel, retour à l'espace par FFT et quadratures ; toutes les conditions d'interface et aux limites dans une matrice globale résolue par couple de nombres d'onde ; validation élastique contre Alizé-LCPC (Burmister).</t>
  </si>
  <si>
    <t>L'extension maximale ne se situe pas toujours à une interface ; les faibles vitesses et le glissement d'interface sont plus endommageants, pour un critère en déformation comme en contrainte.</t>
  </si>
  <si>
    <t>Charge idéalisée.</t>
  </si>
  <si>
    <t>Mode d'emploi de ta piste a (nombres d'onde, matrice globale, FFT) ; et la question de tes interfaces collées.</t>
  </si>
  <si>
    <t>Forme de la charge, coût de calcul, modèle d'interface.</t>
  </si>
  <si>
    <t>Déformations ; interfaces</t>
  </si>
  <si>
    <t>Alizé-LCPC (cas élastique)</t>
  </si>
  <si>
    <t>Article (PDF libre) non ouvert ici (boucle de redirection) : repérage d'après la base</t>
  </si>
  <si>
    <t>Première présentation de ViscoRoute : méthode semi-analytique pour chaussée multicouche viscoélastique sous charge mobile.</t>
  </si>
  <si>
    <t>Version détaillée en français du principe de ViscoRoute 2.0 (Chabot et al. 2010).</t>
  </si>
  <si>
    <t>Formulation, loi de comportement, cas de validation.</t>
  </si>
  <si>
    <t>Simuler dynamiquement l'essai FWD sur chaussée souple.</t>
  </si>
  <si>
    <t>Méthode des éléments spectraux (code DYNAPAV-UL) avec amortissement hystérétique ou visqueux dépendant de la fréquence ; étude paramétrique sur une chaussée à quatre couches.</t>
  </si>
  <si>
    <t>L'historique des déflexions, et pas seulement le bassin, doit servir à l'interprétation : inertie et viscosité ne se voient que dans le temps.</t>
  </si>
  <si>
    <t>Charge FWD circulaire.</t>
  </si>
  <si>
    <t>Second exemple de calcul fréquentiel, qui montre la place de la viscosité dans la réponse dynamique.</t>
  </si>
  <si>
    <t>Modèle viscoélastique utilisé pour l'enrobé.</t>
  </si>
  <si>
    <t>Viscoélastique / hystérétique</t>
  </si>
  <si>
    <t>Impulsionnelle (FWD)</t>
  </si>
  <si>
    <t>Développer un logiciel de calcul élastique multicouche sous charges verticales et horizontales de surface.</t>
  </si>
  <si>
    <t>Solution analytique par fonctions de Michell et de Boussinesq et transformées de Hankel ; superposition des charges verticales et horizontales (freinage) circulaires uniformes ; glissement d'interface par ressort de cisaillement ; logiciel GAMES validé contre BISAR.</t>
  </si>
  <si>
    <t>Calcul de 10 000 points, 100 charges et 100 couches.</t>
  </si>
  <si>
    <t>Élasticité, charges circulaires uniformes.</t>
  </si>
  <si>
    <t>Outil de contrôle pour tes efforts tangentiels, et exemple concret de superposition (piste b).</t>
  </si>
  <si>
    <t>Temps de calcul, représentation d'une empreinte par cercles multiples.</t>
  </si>
  <si>
    <t>Uniforme circulaire (vertical + horizontal)</t>
  </si>
  <si>
    <t>Multicouche analytique (superposition)</t>
  </si>
  <si>
    <t>Résumé du chapitre (PDF Springer)</t>
  </si>
  <si>
    <t>Documenter la fissuration descendante apparue sous les trains d'avions lourds sur des chaussées aéronautiques françaises, alors que la méthode de dimensionnement suppose des fissures qui partent de la base des couches bitumineuses.</t>
  </si>
  <si>
    <t>Expérimentation sur la piste 14R-32L de Toulouse-Blagnac (aéroport, Cerema, Airbus, STAC) : ovalisation, bassins de déflexion par inclinomètres et déplacements verticaux des dalles en béton sous circulation d'un A319 ; essais HWD au centre, au bord et au coin des dalles sous-jacentes ; modèle éléments finis 2D, statique ou impulsionnel, avec enrobés de surface viscoélastiques.</t>
  </si>
  <si>
    <t>Le résumé décrit le dispositif et le modèle, sans résultat chiffré.</t>
  </si>
  <si>
    <t>La piste 14R-32L est une chaussée rigide renforcée par une couche bitumineuse : les fissures peuvent aussi tenir au comportement des dalles (bords, coins). Modèle 2D ; avion d'essai A319, bien plus léger qu'un A340.</t>
  </si>
  <si>
    <t>C'est la photo de ta Fig. 1-27 et le point de départ d'un critère de surface. Mais ta simulation porte sur une chaussée souple épaisse : la comparaison de ton §3.6 avec cette piste doit rester qualitative, et le TFE doit dire que la structure est composite.</t>
  </si>
  <si>
    <t>Épaisseur d'enrobé sur les dalles, position des fissures par rapport aux joints, conclusions du modèle 2D sur l'origine des fissures.</t>
  </si>
  <si>
    <t>Avion (A319) ; HWD</t>
  </si>
  <si>
    <t>— (mesures in situ)</t>
  </si>
  <si>
    <t>Viscoélastique (enrobés de surface)</t>
  </si>
  <si>
    <t>Mesures in situ ; EF 2D</t>
  </si>
  <si>
    <t>Mobile (avion) ; impulsionnelle (HWD)</t>
  </si>
  <si>
    <t>Fissuration descendante ; déflexion ; interfaces</t>
  </si>
  <si>
    <t>Début du résumé et synthèse de la page de la revue (résumé non lu en entier)</t>
  </si>
  <si>
    <t>Faire le point sur la fissuration descendante : fissures longitudinales amorcées en surface puis propagées vers le bas, rattachées à la fatigue.</t>
  </si>
  <si>
    <t>Revue de littérature : stades d'évolution, facteurs, modèles mécaniques, outils expérimentaux.</t>
  </si>
  <si>
    <t>Des relevés sur autoroutes italiennes indiquent que 20 à 30 % des voies lentes sont touchées ; la revue conclut sur des besoins en méthodes d'essai et en intégration dans les systèmes de gestion des chaussées.</t>
  </si>
  <si>
    <t>Revue routière ; résumé lu partiellement.</t>
  </si>
  <si>
    <t>Porte d'entrée pour ton critère de surface : classement des causes et des modèles d'amorçage et de propagation, et place de ton argument sur les directions principales.</t>
  </si>
  <si>
    <t>Modèles d'amorçage et de propagation recensés, essais proposés, rôle attribué aux pneus et aux pressions de contact.</t>
  </si>
  <si>
    <t>Fissuration descendante</t>
  </si>
  <si>
    <t>Relevés de terrain</t>
  </si>
  <si>
    <t>Résumé (OpenAlex ; texte reconstruit, quelques mots manquent)</t>
  </si>
  <si>
    <t>Analyser la rupture près de la surface (orniérage, fissuration) d'une chaussée bitumineuse épaisse sous état de contrainte multiaxial.</t>
  </si>
  <si>
    <t>Modèle éléments finis 3D : contraintes de contact 3D mesurées, enrobé viscoélastique linéaire, charge en mouvement continu, analyse dynamique implicite ; les états de contrainte normale et de cisaillement sont comparés à un critère de Mohr-Coulomb.</t>
  </si>
  <si>
    <t>Le risque de fissuration amorcée en surface augmente avec la température ; à chaud, une rupture par cisaillement peut apparaître un peu sous la surface, avec déformation de distorsion ; une pression uniforme sous-estime la rupture près de la surface, surtout à chaud ; un gradient de température négatif aggrave la situation par rapport à une température moyenne constante ; un décollement de la couche de surface augmente fortement le cisaillement près de l'interface et conduit à une rupture prématurée. Le passage lacunaire du résumé semble placer l'amorçage possible en surface entre les pneus jumelés.</t>
  </si>
  <si>
    <t>Chaussée routière épaisse sous pneus de camion ; critère de Mohr-Coulomb à paramètres de laboratoire ; pas de cumul de dommage.</t>
  </si>
  <si>
    <t>Ton TFE lui attribue un état de contrainte critique vers 50 mm sous la surface, cohérent avec ton maximum de cisaillement sous l'empreinte hétérogène : ce chiffre n'est pas dans le résumé, il faut le retrouver dans le texte. Le critère de Mohr-Coulomb est un candidat direct pour ton critère de surface, et le cas du décollement rejoint la question de tes interfaces collées.</t>
  </si>
  <si>
    <t>Profondeur exacte de l'état critique (50 mm ?), paramètres de Mohr-Coulomb, températures, charge et type de pneus, cas d'interface.</t>
  </si>
  <si>
    <t>Camion (jumelés, d'après le résumé)</t>
  </si>
  <si>
    <t>Surface ; cisaillement ; interfaces</t>
  </si>
  <si>
    <t>Résumé éditeur (SpringerLink)</t>
  </si>
  <si>
    <t>Comparer les méthodes d'essai de fatigue des enrobés dans une campagne interlaboratoires du comité RILEM 182-PEB.</t>
  </si>
  <si>
    <t>Onze méthodes (traction-compression, flexion 2, 3 et 4 points, traction indirecte) sur un même béton bitumineux, à 10 Hz et 10 °C, en déformation ou en contrainte imposée ; plus de 150 essais ; analyse classique et par endommagement continu.</t>
  </si>
  <si>
    <t>Avec l'approche classique, les résultats dépendent fortement du type d'essai et du mode de chargement, d'où un usage limité pour caractériser la fatigue réelle ; les modèles d'endommagement continu isolent mieux la fatigue intrinsèque des effets parasites propres à l'essai accéléré.</t>
  </si>
  <si>
    <t>Un seul enrobé ; une seule température et une seule fréquence.</t>
  </si>
  <si>
    <t>Cadre de la loi de fatigue sur laquelle repose ton calcul de durée de vie : ce calcul hérite de la dépendance de la loi au type d'essai (en France, flexion deux points).</t>
  </si>
  <si>
    <t>Écarts entre essais sur la durée de vie, critère de rupture, modèle d'endommagement retenu.</t>
  </si>
  <si>
    <t>Viscoélastique ; endommagement</t>
  </si>
  <si>
    <t>Fatigue</t>
  </si>
  <si>
    <t>Montrer ce qu'une analyse viscoélastique change dans la localisation des déformations critiques de traction.</t>
  </si>
  <si>
    <t>Analyse viscoélastique de structures souples, suivie dans le temps sous répétitions de charge ; étude de sensibilité sur les paramètres de conception.</t>
  </si>
  <si>
    <t>Les déformations de traction critiques apparaissent au sommet de la couche d'enrobé et croissent avec les répétitions du fait du comportement rhéologique, jusqu'à dépasser celles de la base ; leur développement dépend de la structure ; tendances cohérentes avec un modèle de fissuration descendante calé sur le terrain.</t>
  </si>
  <si>
    <t>Forme du chargement non précisée dans le résumé ; pas d'efforts tangentiels.</t>
  </si>
  <si>
    <t>Appuie ton choix viscoélastique : même sans empreinte hétérogène, la viscoélasticité ramène le point critique vers la surface. C'est un effet qui s'ajoute à celui de l'empreinte étudié dans ton TFE.</t>
  </si>
  <si>
    <t>Forme du chargement, loi viscoélastique, nombre de répétitions simulées, modèle de terrain de comparaison.</t>
  </si>
  <si>
    <t>— (non précisé)</t>
  </si>
  <si>
    <t>Calcul viscoélastique</t>
  </si>
  <si>
    <t>Répétée</t>
  </si>
  <si>
    <t>Surface ; base de couche ; fissuration descendante</t>
  </si>
  <si>
    <t>Modèle de terrain calé</t>
  </si>
  <si>
    <t>Expliquer la propagation des fissures longitudinales amorcées en surface dans les traces de roue.</t>
  </si>
  <si>
    <t>Observation de carottes et de tranchées sur chaussées autoroutières ; éléments finis et mécanique de la rupture sur une chaussée fissurée ; étude paramétrique sur la structure et le spectre de charge (intensité, position).</t>
  </si>
  <si>
    <t>L'amorçage était déjà attribué aux fortes contraintes de contact des pneus radiaux de camion ; la propagation apparaît surtout pilotée par la traction, le cisaillement n'étant pas déterminant quelle que soit la position de la charge ; la position de la charge et la rigidité de la couche de base influent le plus ; la direction de propagation change quand la fissure s'allonge ; le mécanisme est cohérent avec les observations de terrain.</t>
  </si>
  <si>
    <t>Loi de comportement non précisée dans le résumé ; pneus de camion ; propagation seulement.</t>
  </si>
  <si>
    <t>Nuance ton argument : le cisaillement de bord peut expliquer l'amorçage, mais cette étude attribue la propagation à la traction. Un critère de surface complet devra traiter les deux phases.</t>
  </si>
  <si>
    <t>Loi de comportement, représentation du pneu, part des modes I et II, lien avec les contraintes de contact mesurées.</t>
  </si>
  <si>
    <t>— (non précisée)</t>
  </si>
  <si>
    <t>EF ; mécanique de la rupture ; observations</t>
  </si>
  <si>
    <t>Statique (positions)</t>
  </si>
  <si>
    <t>Fissuration descendante (propagation)</t>
  </si>
  <si>
    <t>Observations de terrain</t>
  </si>
  <si>
    <t>Résumé et points clés (ScienceDirect)</t>
  </si>
  <si>
    <t>Étudier la forme de l'empreinte, la répartition des contraintes à l'interface et le cisaillement de surface quand le pneu est incliné en virage.</t>
  </si>
  <si>
    <t>Méthode semi-analytique alimentée par une géométrie précise du pneu (photogrammétrie) et par un module d'Young équivalent, fonction du gonflage, déduit d'essais sous presse ; contrainte verticale calculée comparée à des mesures sous presse pour plusieurs charges et angles d'inclinaison.</t>
  </si>
  <si>
    <t>L'inclinaison en virage modifie directement la répartition des contraintes de contact et des cisaillements de surface ; les auteurs y voient une base pour évaluer l'orniérage et la fissuration descendante de la couche de surface.</t>
  </si>
  <si>
    <t>Mesures sous presse, donc statiques ; pneu représenté par un module équivalent ; type de pneu non précisé dans le résumé.</t>
  </si>
  <si>
    <t>Illustre le cas du virage, absent de ton profil symétrique. Ton TFE range cet article parmi les mesures par nappes Tekscan en dynamique : le résumé parle de mesures sous presse sans nommer le capteur, à vérifier avant de le citer ainsi.</t>
  </si>
  <si>
    <t>Capteur utilisé, type de pneu et charges, angles testés, écart calcul-mesure.</t>
  </si>
  <si>
    <t>Non précisé</t>
  </si>
  <si>
    <t>3D calculé (pneu incliné)</t>
  </si>
  <si>
    <t>Élastique (module équivalent)</t>
  </si>
  <si>
    <t>Semi-analytique ; mesure sous presse</t>
  </si>
  <si>
    <t>Statique (presse) ; virage</t>
  </si>
  <si>
    <t>Mesures sous presse</t>
  </si>
  <si>
    <t>Finaliser deux modèles pour la fissuration descendante des enrobés : l'un pour l'amorçage, l'autre pour la propagation.</t>
  </si>
  <si>
    <t>Modèle d'endommagement continu viscoélastique (VECD) pour l'amorçage et modèle de mécanique de la rupture des enrobés (HMA-FM) pour la propagation ; sous-modèles propres aux mécanismes de fissuration descendante ; vérification des modèles ; intégration d'un modèle simplifié d'amorçage fondé sur l'énergie de rupture.</t>
  </si>
  <si>
    <t>Les deux approches peuvent fonder un modèle de fissuration descendante pour le guide MEPDG et aider à prévoir aussi la fissuration par le bas et la fissuration thermique ; calage et validation restent à faire.</t>
  </si>
  <si>
    <t>Rapport routier américain ; modèles non calés à ce stade.</t>
  </si>
  <si>
    <t>Cadre le plus complet pour passer de tes champs de contraintes de surface à une prévision d'endommagement, amorçage puis propagation.</t>
  </si>
  <si>
    <t>Sollicitations d'entrée (contraintes de contact, pneus), données matériau nécessaires, nature des sous-modèles.</t>
  </si>
  <si>
    <t>Viscoélastique (VECD)</t>
  </si>
  <si>
    <t>Modèles d'endommagement et de rupture</t>
  </si>
  <si>
    <t>Vérification des modèles</t>
  </si>
  <si>
    <t>Montrer qu'une description exacte des contraintes de contact pneu-chaussée est nécessaire pour prévoir l'évolution des dégradations.</t>
  </si>
  <si>
    <t>Analyse d'empreintes et de mesures de contact ; calcul en multicouche élastique linéaire comparant une charge uniforme sur un cercle aux contraintes mesurées publiées par De Beer et Fisher.</t>
  </si>
  <si>
    <t>La forme de l'aire de contact dépend de la charge et du gonflage ; la distribution non uniforme donne des contraintes nettement plus fortes dans la chaussée que le cas uniforme, donc une autre évolution de l'orniérage et de la fissuration ; pour les pneus surchargés, l'aire est rectangulaire et sa largeur, propre au pneu, ne dépend pas de la charge ; le cercle uniforme peut tromper sur l'orientation (transversale ou longitudinale) des fissures.</t>
  </si>
  <si>
    <t>Élasticité linéaire ; données de pneus de camion.</t>
  </si>
  <si>
    <t>Un des premiers travaux reliant empreinte non uniforme et dégradations, avec la même conclusion que ton TFE ; son constat sur la largeur d'empreinte indépendante de la charge rejoint De Beer (2004).</t>
  </si>
  <si>
    <t>Cas de charge, écarts chiffrés, mécanismes de fissuration considérés.</t>
  </si>
  <si>
    <t>Non uniforme mesuré ; uniforme circulaire</t>
  </si>
  <si>
    <t>Multicouche</t>
  </si>
  <si>
    <t>Contraintes ; orniérage ; fissuration</t>
  </si>
  <si>
    <t>Mesures de contact (De Beer)</t>
  </si>
  <si>
    <t>Essais de fatigue des enrobés, dont la flexion deux points sur éprouvette trapézoïdale pratiquée en France.</t>
  </si>
  <si>
    <t>Essai qui fournit les paramètres de fatigue des matériaux, donc ceux de ton calcul de durée de vie.</t>
  </si>
  <si>
    <t>Essai et critère de rupture de l'annexe utilisée en France.</t>
  </si>
  <si>
    <t>Résumé (OpenAlex ; quelques mots manquent)</t>
  </si>
  <si>
    <t>Évaluer l'orniérage d'enrobés à chaud et tièdes sous forte pression de pneu d'avion et température élevée.</t>
  </si>
  <si>
    <t>Essai accéléré au centre NAPMRC de la FAA : six voies (quatre en extérieur, deux en intérieur) de trois sections chacune, enrobés à chaud et tièdes avec deux grades de liant ; combinaisons de pression, de température et d'exposition ; simulateur de véhicule lourd conçu pour les chaussées aéroportuaires ; essais in situ et en laboratoire.</t>
  </si>
  <si>
    <t>Les enrobés tièdes se comportent comme les enrobés à chaud ; le vieillissement en extérieur favorise la maturation et améliore la résistance à l'orniérage de l'enrobé tiède modifié aux polymères.</t>
  </si>
  <si>
    <t>Orniérage seulement ; pressions et charges non données dans le résumé.</t>
  </si>
  <si>
    <t>Pendant américain du HTPT pour l'orniérage des couches de surface sous forte pression ; utile pour le volet orniérage d'un critère de surface.</t>
  </si>
  <si>
    <t>Pressions et charges du simulateur, profondeurs et profils transversaux d'ornière.</t>
  </si>
  <si>
    <t>Avion (simulateur, forte pression)</t>
  </si>
  <si>
    <t>Essai accéléré en vraie grandeur ; essais labo</t>
  </si>
  <si>
    <t>Mobile (simulateur)</t>
  </si>
  <si>
    <t>Orniérage</t>
  </si>
  <si>
    <t>Résumé (page de l'article, Scientific Reports)</t>
  </si>
  <si>
    <t>Analyser les contraintes de contact triaxiales et l'orniérage d'une chaussée bitumineuse sous gradient de température et conditions de conduite courantes.</t>
  </si>
  <si>
    <t>Modèles éléments finis 3D d'un pneu de camion-bus et de la chaussée avec son champ de température ; comparaison des déformations calculées à des mesures de laboratoire par capteurs ; procédure d'analyse de l'orniérage sous contraintes triaxiales (fluage en compression, déformations permanentes verticale et longitudinale).</t>
  </si>
  <si>
    <t>Les gradients de température diffèrent entre le jour et la nuit en été ; en freinage, la contrainte longitudinale pèse fortement sur la déformation permanente longitudinale et sur le fluage, surtout dans la couche intermédiaire ; le fluage en compression maximal se situe au sommet de cette couche.</t>
  </si>
  <si>
    <t>Pneu de camion-bus ; validation en laboratoire ; loi de comportement non précisée dans le résumé.</t>
  </si>
  <si>
    <t>Cité dans ton TFE pour l'empreinte elliptique ; exemple de couplage entre température et contact tangentiel pour l'orniérage, utile si tu étends ton critère aux efforts de freinage.</t>
  </si>
  <si>
    <t>Loi de fluage, forme et dimensions de l'empreinte, niveaux de contrainte longitudinale en freinage.</t>
  </si>
  <si>
    <t>Camion-bus</t>
  </si>
  <si>
    <t>3D calculé (triaxial)</t>
  </si>
  <si>
    <t>Fluage (loi non précisée)</t>
  </si>
  <si>
    <t>EF 3D (pneu et chaussée)</t>
  </si>
  <si>
    <t>Roulement (freinage)</t>
  </si>
  <si>
    <t>Orniérage ; déformations permanentes</t>
  </si>
  <si>
    <t>Proposer une règle de cumul des dommages de fatigue sous charges répétées de niveaux différents.</t>
  </si>
  <si>
    <t>Dommage relié au travail absorbé : chaque série de cycles consomme une fraction de la durée de vie à son niveau de contrainte, la rupture survenant quand la somme atteint 100 % ; vérification sur un alliage d'aluminium (plusieurs éprouvettes, rapports de contrainte et combinaisons de cycles).</t>
  </si>
  <si>
    <t>La règle permet une analyse simple et conservative du dommage ; l'article donne aussi de quoi passer d'une courbe S-N à d'autres rapports de contrainte.</t>
  </si>
  <si>
    <t>Métal ; cumul linéaire, sans effet de l'ordre des charges.</t>
  </si>
  <si>
    <t>Base du cumul des dommages de passages différents, en particulier pour intégrer le balayage transversal des avions dans un critère de surface très localisé.</t>
  </si>
  <si>
    <t>Hypothèse de linéarité et domaine de validité revendiqué.</t>
  </si>
  <si>
    <t>Cumul linéaire du dommage</t>
  </si>
  <si>
    <t>Cumul du dommage</t>
  </si>
  <si>
    <t>Essais labo (aluminium)</t>
  </si>
  <si>
    <t>Rapport lu en partie (PDF Airbus : objectifs, dispositif, §3.4.2) ; conclusions (p. 90) non atteintes</t>
  </si>
  <si>
    <t>Mieux connaître, par l'expérience et la théorie, l'effet de la pression de gonflage des pneus d'avion sur le comportement et l'endommagement des chaussées souples.</t>
  </si>
  <si>
    <t>Essai extérieur en vraie grandeur mené par Airbus avec le STAC, le LCPC, le LRPC de Toulouse, Michelin et Vancouver2 : sept sections instrumentées (déformations réversibles, déplacements réversibles et permanents) ; deux pressions (15 et 17,5 bars) et deux charges par roue (28,7 et 33,2 t) ; structure dimensionnée par la méthode française pour 10 000 passages de train de B747-400, circulation poursuivie jusqu'à ce que l'ornière empêche le simulateur de rouler. Le §3.4.2 traite de la mécanique du pneu (répartitions différentes pour pneus diagonaux et radiaux) ; la Fig. 26 donne la pression de contact calculée d'un 1400x530R23 40PR à 32 % de déflexion.</t>
  </si>
  <si>
    <t>Pas lus : les pages parcourues ne contiennent ni comparaison explicite entre 15 et 17,5 bars, ni rapport Pmax/Pgonflage écrit ; les conclusions sont en p. 90.</t>
  </si>
  <si>
    <t>Lecture partielle ; cartes de pression calculées, non mesurées.</t>
  </si>
  <si>
    <t>Source de ta déflexion de 32 % et des cartes que tu exploites. Ton TFE lit sur ces cartes un rapport Pmax/Pgonflage de 1,7 à 2,1 et les légende « mesurées » : ce sont des calculs. Les charges d'essai (28,7 et 33,2 t, soit environ 282 et 326 kN) ne correspondent pas aux 288 à 339 kN que ton TFE associe aux cartes : à vérifier sur les légendes.</t>
  </si>
  <si>
    <t>Conclusions p. 90 (ornière selon la pression et la section), charges et pressions des cartes de la Fig. 26, écart radial / diagonal.</t>
  </si>
  <si>
    <t>Avion (1400x530R23 radial ; diagonal)</t>
  </si>
  <si>
    <t>Essai en vraie grandeur ; modèle de pneu</t>
  </si>
  <si>
    <t>Orniérage ; déformations ; contact</t>
  </si>
  <si>
    <t>Brochure « Flexible » diffusée par Airbus (Issue 1.0, 25/10/2001, même date que le rapport du STAC) et page du STAC</t>
  </si>
  <si>
    <t>Préparer la compatibilité de l'A380 avec les chaussées souples en mesurant la réponse de structures instrumentées sous différents trains, pour des méthodes plus précises que l'ACN/PCN.</t>
  </si>
  <si>
    <t>Programme Airbus, LCPC et STBA sur la voie de circulation B20 de Toulouse-Blagnac (essais statiques d'octobre 1998 à mars 1999, fatigue à partir de septembre 1999) : véhicule simulateur de trains (jusqu'à 32 t par roue ; configurations A380, B747, B777, A340, MD11) ; quatre sections souples de 30 m sur sols de CBR 15, 10, 6 et 3, mêmes couches bitumineuses (8 cm de béton bitumineux, 24 cm de grave-bitume) sur une assise non traitée d'épaisseur variable ; environ 250 capteurs.</t>
  </si>
  <si>
    <t>Données présentées comme préliminaires ; bonne corrélation entre modèles multicouches élastiques et déformations mesurées ; l'analyse détaillée est renvoyée aux experts du LCPC et du STBA.</t>
  </si>
  <si>
    <t>Brochure de données plus que rapport d'analyse.</t>
  </si>
  <si>
    <t>Données de validation de ta simulation (déformations en base de couche bitumineuse) et source des modules ; vérifie à quelle section et quels capteurs correspond ta comparaison.</t>
  </si>
  <si>
    <t>Section et capteurs utilisés, températures, vitesse du simulateur, données sous la configuration A340.</t>
  </si>
  <si>
    <t>Avion (plusieurs trains)</t>
  </si>
  <si>
    <t>Élastique (comparaison)</t>
  </si>
  <si>
    <t>Statique et mobile (simulateur)</t>
  </si>
  <si>
    <t>Déformations ; base de couche</t>
  </si>
  <si>
    <t>Page de présentation du STAC (rapport non lu)</t>
  </si>
  <si>
    <t>Étudier l'influence de pressions de gonflage supérieures à 15 bars sur l'orniérage des couches bitumineuses.</t>
  </si>
  <si>
    <t>Planche de Toulouse-Blagnac : sept sections souples représentatives, différant par l'épaisseur de la couche de roulement, la sensibilité à l'orniérage de l'enrobé et la présence de rainurage ; dimensionnées pour 10 000 passages de B747-400 ; simulateur à 15 et 17,5 bars sous 28,7 et 33,2 t ; mesures de déformations et de déplacements réversibles et des ornières.</t>
  </si>
  <si>
    <t>Non décrits sur la page ; il s'agit de la version 1 du rapport, une version 2 avec analyses complémentaires étant annoncée.</t>
  </si>
  <si>
    <t>Seule la page de présentation a été lue.</t>
  </si>
  <si>
    <t>Version du partenaire STAC de la campagne décrite par Airbus ; les résultats par section (épaisseur, rainurage) sont ceux qui comptent pour un critère de surface.</t>
  </si>
  <si>
    <t>Ornières par section et par pression, fissuration de surface éventuelle, existence d'une version 2.</t>
  </si>
  <si>
    <t>Avion (simulateur)</t>
  </si>
  <si>
    <t>Orniérage ; déformations</t>
  </si>
  <si>
    <t>Guide technique (PDF libre) sans résumé : repérage d'après la base</t>
  </si>
  <si>
    <t>Méthode française rationnelle de dimensionnement des chaussées aéronautiques souples.</t>
  </si>
  <si>
    <t>Modèle multicouche élastique ; critères en base de couche et au sommet du sol support (d'après la base).</t>
  </si>
  <si>
    <t>Méthode en vigueur à laquelle un critère de surface devrait s'ajouter : lire comment la roue (pression, empreinte) y est représentée.</t>
  </si>
  <si>
    <t>Représentation de la roue, pression retenue, balayage, critères et niveaux de risque.</t>
  </si>
  <si>
    <t>Méthode de dimensionnement (multicouche)</t>
  </si>
  <si>
    <t>Base de couche ; sol support</t>
  </si>
  <si>
    <t>Manuel de logiciel (PDF libre) sans résumé : repérage d'après la base</t>
  </si>
  <si>
    <t>Manuel du logiciel qui applique le guide STAC de 2016.</t>
  </si>
  <si>
    <t>Hypothèses de charge et de calcul du dimensionnement aéronautique français.</t>
  </si>
  <si>
    <t>Représentation des roues et des trains, pression, balayage.</t>
  </si>
  <si>
    <t>Logiciel (multicouche)</t>
  </si>
  <si>
    <t>Thèse (notice theses.fr) ; résumé non récupéré : repérage d'après la base</t>
  </si>
  <si>
    <t>Évaluer les chaussées aéroportuaires souples au HWD par une analyse dynamique temporelle par éléments finis et un calcul inverse.</t>
  </si>
  <si>
    <t>Origine des travaux HWD du STAC repris par Roussel (2020) ; thèse de ton encadrant.</t>
  </si>
  <si>
    <t>Modèle éléments finis dynamique, lois de comportement, planches d'essai utilisées.</t>
  </si>
  <si>
    <t>EF dynamiques ; analyse inverse</t>
  </si>
  <si>
    <t>Synthèse (PDF libre) sans résumé : repérage d'après la base</t>
  </si>
  <si>
    <t>Présenter pas à pas la méthode rationnelle avec le logiciel Alizé-Aéronautique.</t>
  </si>
  <si>
    <t>Lecture rapide pour situer ton modèle par rapport à la pratique de dimensionnement.</t>
  </si>
  <si>
    <t>Étapes et données d'entrée (trafic, balayage, matériaux).</t>
  </si>
  <si>
    <t>Modéliser par éléments finis 3D les réponses d'une piste instrumentée sous pneu d'avion en mouvement.</t>
  </si>
  <si>
    <t>Piste de Cagliari-Elmas (Sardaigne) : 350 mm d'enrobé, 400 mm de grave, sol ; enrobé viscoélastique linéaire ; interfaces collées ou partiellement décollées ; contact non uniforme en longueur et en largeur sur cinq nervures ; plusieurs avions, charges et vitesses ; comparaison aux mesures de pression verticale et de déformation horizontale.</t>
  </si>
  <si>
    <t>La pression uniforme sous-estime les déformations critiques de cisaillement dans l'enrobé ; les fortes contraintes aux nervures de bord et les charges lourdes créent un cisaillement important près de la surface ; bon accord entre calcul et mesures ; le décollement augmente fortement la traction en base d'enrobé.</t>
  </si>
  <si>
    <t>Une seule piste ; profil de contact idéalisé, non mesuré sous le pneu.</t>
  </si>
  <si>
    <t>La démarche la plus proche de la tienne sur chaussée aéronautique, avec la même conclusion sur le cisaillement près de la surface ; son profil à cinq nervures est une alternative à tes cinq gaussiennes.</t>
  </si>
  <si>
    <t>Forme et origine du profil à cinq nervures, avions et charges, amplitudes de cisaillement.</t>
  </si>
  <si>
    <t>Avion (ligne)</t>
  </si>
  <si>
    <t>Non uniforme idéalisé (5 nervures)</t>
  </si>
  <si>
    <t>Surface ; base de couche ; interfaces</t>
  </si>
  <si>
    <t>Document technique (PDF libre) sans résumé : repérage d'après la base</t>
  </si>
  <si>
    <t>Caractéristiques de l'A340-200/-300 pour la planification aéroportuaire : train d'atterrissage (§2-9-0) et empreinte des pneus (§7-2-0).</t>
  </si>
  <si>
    <t>Source à citer pour la géométrie du bogie et la charge par roue de ta simulation.</t>
  </si>
  <si>
    <t>Géométrie du bogie, charge par roue à la masse maximale, pression de gonflage, taille de pneu.</t>
  </si>
  <si>
    <t>Avion (A340)</t>
  </si>
  <si>
    <t>Empreinte (données constructeur)</t>
  </si>
  <si>
    <t>Données constructeur</t>
  </si>
  <si>
    <t>Données de charge</t>
  </si>
  <si>
    <t>Résumé (page SpringerLink)</t>
  </si>
  <si>
    <t>Évaluer l'essai d'ovalisation pour caractériser le collage des interfaces d'une chaussée aéronautique souple sous charge dynamique.</t>
  </si>
  <si>
    <t>Mesure de la variation de diamètre d'une cavité à plusieurs profondeurs et dans trois directions (longitudinale, transversale, à 45°) ; premiers essais multi-hauteurs sous impulsion HWD sur la planche d'essai du STAC au CER de Rouen.</t>
  </si>
  <si>
    <t>Les résultats conduisent à proposer de nouveaux dispositifs d'ovalisation adaptés aux chaussées aéronautiques.</t>
  </si>
  <si>
    <t>Premiers essais ; charge HWD, pas de train d'avion.</t>
  </si>
  <si>
    <t>Ton modèle suppose des interfaces collées : cet outil du STAC permettrait de le vérifier in situ, alors que le décollement pèse fortement sur le cisaillement près de la surface (Wang &amp; Al-Qadi 2010 ; Wang et al. 2013).</t>
  </si>
  <si>
    <t>Sensibilité de la mesure au collage, profondeurs, résultats sous HWD.</t>
  </si>
  <si>
    <t>Mesures in situ (ovalisation)</t>
  </si>
  <si>
    <t>Interfaces ; déformations</t>
  </si>
  <si>
    <t>Circulaire FAA (PDF libre) sans résumé : repérage d'après la base</t>
  </si>
  <si>
    <t>Conception et évaluation des chaussées aéroportuaires, fondées sur FAARFIELD 2.0 et calées sur les essais du NAPTF ; annule la 6F.</t>
  </si>
  <si>
    <t>Méthode américaine : critères en base de couche et au sommet du sol support.</t>
  </si>
  <si>
    <t>Représentation du pneu (empreinte, pression), critères, prise en compte des fortes pressions.</t>
  </si>
  <si>
    <t>Méthode de dimensionnement</t>
  </si>
  <si>
    <t>Report de la portance des chaussées aéroportuaires par la méthode ACR-PCR ; annule la 5C.</t>
  </si>
  <si>
    <t>Cadre réglementaire actuel de l'aéronautique.</t>
  </si>
  <si>
    <t>Catégories de pression de pneu et leur justification.</t>
  </si>
  <si>
    <t>Méthode réglementaire</t>
  </si>
  <si>
    <t>Rapport (notice FAA et DTIC ; texte non localisé) : repérage d'après la base</t>
  </si>
  <si>
    <t>Relever sur le terrain la répartition transversale des passages d'avions sur les chaussées.</t>
  </si>
  <si>
    <t>Base des hypothèses de balayage, indispensable pour cumuler un dommage de surface très localisé.</t>
  </si>
  <si>
    <t>Écarts-types de balayage par type de voie (piste, voie de circulation), loi de répartition.</t>
  </si>
  <si>
    <t>Mobile (trafic réel)</t>
  </si>
  <si>
    <t>Balayage</t>
  </si>
  <si>
    <t>Texte réglementaire (payant), sans résumé : repérage</t>
  </si>
  <si>
    <t>Normes internationales des aérodromes, dont le report de portance par la méthode ACR-PCR.</t>
  </si>
  <si>
    <t>Cadre réglementaire international.</t>
  </si>
  <si>
    <t>Définition des catégories de pression de pneu.</t>
  </si>
  <si>
    <t>Norme réglementaire</t>
  </si>
  <si>
    <t>Manuel OACI (payant), sans résumé : repérage</t>
  </si>
  <si>
    <t>Manuel de conception des chaussées aéronautiques, avec l'évaluation et le report de la portance (ACR-PCR).</t>
  </si>
  <si>
    <t>Référence technique internationale.</t>
  </si>
  <si>
    <t>Calcul de l'ACR, représentation des roues et de la pression.</t>
  </si>
  <si>
    <t>Manuel technique</t>
  </si>
  <si>
    <t>Début du résumé et conclusions (PDF de la communication, lu en partie)</t>
  </si>
  <si>
    <t>Montrer que les catégories de pression de pneu de l'ACN/PCN (1981) ne représentent plus une flotte aux charges et pressions plus élevées, et proposer de les réviser.</t>
  </si>
  <si>
    <t>Essais de pression au centre technique William J. Hughes de la FAA : trois sections à couche de surface bitumineuse circulées par une roue simple, charge de 18,1 à 24,9 t et pression croissante ; ruine déclarée à 13-19 mm d'ornière ou à un PCI de 55 ou moins.</t>
  </si>
  <si>
    <t>Jusqu'à 1,65 MPa, pas d'effet néfaste sur les chaussées souples dont l'enrobé et la couche de base respectent les minima recommandés (10 à 15 cm d'enrobé) ; la qualité des matériaux est déterminante ; d'après les conclusions lues, proposition de relever la limite de la catégorie X de 1,50 à 1,65 MPa.</t>
  </si>
  <si>
    <t>Critères de ruine globaux (ornière, PCI) ; point de vue d'un constructeur ; roue simple.</t>
  </si>
  <si>
    <t>Contre-point direct à ta thèse : à ces pressions, pas de dommage mesurable sur des chaussées conformes. Ton argument doit porter sur des mécanismes de surface que ces critères ne voient pas, ou sur des pressions plus élevées (1,75 MPa pour ton A340).</t>
  </si>
  <si>
    <t>Proposition exacte de catégories, structures testées, profils d'ornière.</t>
  </si>
  <si>
    <t>Avion (roue simple)</t>
  </si>
  <si>
    <t>Mobile (roue simple)</t>
  </si>
  <si>
    <t>Orniérage ; fissuration (PCI)</t>
  </si>
  <si>
    <t>Chapeau de l'article (page RGRA) ; texte non lu</t>
  </si>
  <si>
    <t>Présenter la méthode ACR/PCR d'admissibilité des aéronefs, qui remplace l'ACN/PCN.</t>
  </si>
  <si>
    <t>Article de présentation par le STAC.</t>
  </si>
  <si>
    <t>Le chapeau annonce une méthode rationnelle effective dès novembre 2024, conformément à l'OACI.</t>
  </si>
  <si>
    <t>Seul le chapeau est accessible.</t>
  </si>
  <si>
    <t>Vision du STAC sur le cadre réglementaire actuel, co-écrite par ton encadrant.</t>
  </si>
  <si>
    <t>Critères mécaniques de l'ACR, place de la pression de pneu, calendrier d'application.</t>
  </si>
  <si>
    <t>Évaluer les capteurs dynamiques d'une section souple instrumentée du NAPTF et ses réponses sous trains de B777 et de B747.</t>
  </si>
  <si>
    <t>Section souple à base traitée au bitume sur sol de faible portance (premier cycle de construction : six sections souples et trois rigides) ; cellules de pression, jauges de déformation, extensomètres multiprofondeur ; procédure en plusieurs étapes (fiabilité, répétabilité, réponses par train, comparaison à un modèle éléments finis 3D) ; suivi de l'orniérage.</t>
  </si>
  <si>
    <t>Le modèle éléments finis 3D prédit bien les réponses avec des modules représentatifs ; 60 % des capteurs donnent des réponses acceptables ou marginales, 40 % inacceptables ; orniérage comparable sous les deux trains.</t>
  </si>
  <si>
    <t>Une seule section ; pas de mesure en surface.</t>
  </si>
  <si>
    <t>Données de validation en profondeur, comparables à celles du PEP ; le taux de survie des capteurs est à connaître si une instrumentation près de la surface est envisagée.</t>
  </si>
  <si>
    <t>Profondeurs et types de capteurs, modules retenus, vitesse et température.</t>
  </si>
  <si>
    <t>Avion (B777, B747)</t>
  </si>
  <si>
    <t>— (modules représentatifs)</t>
  </si>
  <si>
    <t>Mesures in situ ; EF 3D</t>
  </si>
  <si>
    <t>Mobile (trains d'avion)</t>
  </si>
  <si>
    <t>Réponse de structure ; orniérage</t>
  </si>
  <si>
    <t>Logiciel (gratuit) sans résumé : repérage d'après la base</t>
  </si>
  <si>
    <t>Logiciel de la FAA pour dimensionner et évaluer les chaussées aéroportuaires.</t>
  </si>
  <si>
    <t>Comparer ses hypothèses de charge (empreinte, pression) aux tiennes.</t>
  </si>
  <si>
    <t>Représentation de la roue et de la pression dans le logiciel.</t>
  </si>
  <si>
    <t>Logiciel</t>
  </si>
  <si>
    <t>Méthode française de dimensionnement rationnel des chaussées routières : familles de structures, essieu de référence, critères de fatigue et d'orniérage.</t>
  </si>
  <si>
    <t>Source de ta Figure 1-2 et de l'essieu de 32,5 kN par roue ; point de départ de la méthode du STAC.</t>
  </si>
  <si>
    <t>Représentation de l'essieu de référence (rayon, pression), critères et coefficients de calage.</t>
  </si>
  <si>
    <t>Camion (essieu de référence)</t>
  </si>
  <si>
    <t>Dimensionnement structurel des chaussées routières neuves, qui reprend la méthode rationnelle du guide LCPC-SETRA.</t>
  </si>
  <si>
    <t>À citer pour les valeurs réglementaires actuelles plutôt que le guide de 1994.</t>
  </si>
  <si>
    <t>Essieu de référence, lois de fatigue, coefficients de calage.</t>
  </si>
  <si>
    <t>Manuel du logiciel de calcul multicouche élastique du dimensionnement routier français.</t>
  </si>
  <si>
    <t>Ton TFE cite « Alizé v1.5 » sans préciser : garde celui-ci pour le calcul multicouche.</t>
  </si>
  <si>
    <t>Hypothèses d'interface et de chargement, sorties disponibles.</t>
  </si>
  <si>
    <t>Les références sont citées « Auteur (année) » ; leur fiche est dans Lecture détaillée (filtre sur la citation). Les nombres des deux premiers tableaux sont calculés depuis Matrice croisée.</t>
  </si>
  <si>
    <t>1. Répartition des références par axe et par catégorie (calculée)</t>
  </si>
  <si>
    <t>Catégorie (ligne) / axe (colonne)</t>
  </si>
  <si>
    <t>Références de l'axe</t>
  </si>
  <si>
    <t>Camion / bus</t>
  </si>
  <si>
    <t>Tourisme / autre</t>
  </si>
  <si>
    <t>Non uniforme calculé ou idéalisé</t>
  </si>
  <si>
    <t>Efforts tangentiels</t>
  </si>
  <si>
    <t>Loi</t>
  </si>
  <si>
    <t>Matériau du pneu (hyperélastique)</t>
  </si>
  <si>
    <t>Endommagement, fatigue</t>
  </si>
  <si>
    <t>Essai en vraie grandeur, mesures en place</t>
  </si>
  <si>
    <t>Essais de laboratoire</t>
  </si>
  <si>
    <t>Éléments finis</t>
  </si>
  <si>
    <t>Semi-analytique, multicouche</t>
  </si>
  <si>
    <t>Domaine fréquentiel, spectral</t>
  </si>
  <si>
    <t>Modèle de pneu</t>
  </si>
  <si>
    <t>Conversion, traitement numérique</t>
  </si>
  <si>
    <t>Revue, ouvrage, norme, méthode</t>
  </si>
  <si>
    <t>Mobile, roulement</t>
  </si>
  <si>
    <t>Cyclique (laboratoire)</t>
  </si>
  <si>
    <t>Impulsionnelle (F/HWD)</t>
  </si>
  <si>
    <t>Contact, pneu</t>
  </si>
  <si>
    <t>Surface, cisaillement, fissuration descendante</t>
  </si>
  <si>
    <t>Base de couche, sol support</t>
  </si>
  <si>
    <t>Fatigue, dommage</t>
  </si>
  <si>
    <t>Loi de comportement, module</t>
  </si>
  <si>
    <t>Déflexion, interfaces</t>
  </si>
  <si>
    <t>Réponse de structure (contraintes, déformations)</t>
  </si>
  <si>
    <t>Méthode, balayage, données</t>
  </si>
  <si>
    <t>Mesures en place</t>
  </si>
  <si>
    <t>Essais, mesures de contact</t>
  </si>
  <si>
    <t>Numérique, analytique</t>
  </si>
  <si>
    <t>Lecture : chaque case compte les références de l'axe (colonne) qui relèvent de la catégorie (ligne). Une référence peut relever de plusieurs catégories.</t>
  </si>
  <si>
    <t>2. Croisements clés : combien de références réunissent deux ou trois caractéristiques ?</t>
  </si>
  <si>
    <t>Croisement</t>
  </si>
  <si>
    <t>Références concernées (à la rédaction)</t>
  </si>
  <si>
    <t>Ce que cela montre</t>
  </si>
  <si>
    <t>Pneu d'avion et contact non uniforme mesuré</t>
  </si>
  <si>
    <t>Wesołowski et al. (2020) ; Daugherty (2003)</t>
  </si>
  <si>
    <t>Seules des grandeurs globales ou des aires sont mesurées sous pneu d'avion (lacune 1).</t>
  </si>
  <si>
    <t>Pneu d'avion, contact mesuré et loi viscoélastique</t>
  </si>
  <si>
    <t>Aucune</t>
  </si>
  <si>
    <t>La combinaison visée par ta thèse n'existe pas dans la base (lacune 2).</t>
  </si>
  <si>
    <t>Contact non uniforme mesuré et loi viscoélastique</t>
  </si>
  <si>
    <t>Wang &amp; Al-Qadi (2009) ; Wu et al. (2020) ; Siddharthan et al. (1998) ; Wang &amp; Al-Qadi (2010)</t>
  </si>
  <si>
    <t>Uniquement sous pneus de camion.</t>
  </si>
  <si>
    <t>Pneu d'avion et cible de surface</t>
  </si>
  <si>
    <t>Sadoun et al. (2022) ; Wang et al. (2013)</t>
  </si>
  <si>
    <t>Très peu de travaux regardent la surface sous charge aéronautique.</t>
  </si>
  <si>
    <t>Cible de surface et loi viscoélastique</t>
  </si>
  <si>
    <t>Sadoun et al. (2022) ; Perret (2003) ; Wang &amp; Al-Qadi (2009) ; Yoo et al. (2006) ; Wang et al. (2013) ; Wang &amp; Al-Qadi (2010) ; Kim et al. (2009) ; Roque et al. (2010)</t>
  </si>
  <si>
    <t>Le noyau de ta discussion sur les critères de surface.</t>
  </si>
  <si>
    <t>Domaine fréquentiel et contact non uniforme (calculé ou idéalisé)</t>
  </si>
  <si>
    <t>Aucune méthode fréquentielle lue n'est appliquée à une empreinte non uniforme (lacune 3, piste a).</t>
  </si>
  <si>
    <t>Domaine fréquentiel et contact non uniforme mesuré</t>
  </si>
  <si>
    <t>Idem avec une empreinte mesurée.</t>
  </si>
  <si>
    <t>Semi-analytique ou multicouche et loi viscoélastique</t>
  </si>
  <si>
    <t>Nilsson et al. (2002) ; Perret (2003) ; Chabot et al. (2010) ; Hopman (1996) ; Siddharthan et al. (1998) ; Chupin et al. (2010) ; Duhamel et al. (2005)</t>
  </si>
  <si>
    <t>Méthodes par couches viscoélastiques ; aucune superposition dans l'espace en viscoélasticité (piste b).</t>
  </si>
  <si>
    <t>Pneu d'avion et efforts tangentiels</t>
  </si>
  <si>
    <t>Un seul modèle de pneu d'avion avec frottement (lacune 7).</t>
  </si>
  <si>
    <t>Cible de surface et validation par mesures en place</t>
  </si>
  <si>
    <t>Sadoun et al. (2022) ; Perret (2003) ; Yoo et al. (2006) ; Wang et al. (2013) ; Canestrari &amp; Ingrassia (2020) ; Myers et al. (2001)</t>
  </si>
  <si>
    <t>Validations surtout indirectes (observations, réponses globales).</t>
  </si>
  <si>
    <t>3. Synthèses par thème</t>
  </si>
  <si>
    <t>Thème et question</t>
  </si>
  <si>
    <t>Références citées</t>
  </si>
  <si>
    <t>A. Mesurer la pression de contact
Que mesure-t-on sous un pneu, avec quelle résolution, et sous quels pneus ?</t>
  </si>
  <si>
    <t>Trois familles de mesures coexistent. Les plots à capteurs en roulement lent (VRSPTA puis SIM) donnent les trois composantes sous des pneus de camion réels (De Beer et al., 1997 ; De Beer &amp; Fisher, 2013 ; De Beer et al., 2004 ; De Beer et al., 2012) ; un réseau de capteurs tri-axiaux plus récent retrouve des contraintes plus fortes à l'épaulement qu'au centre (Guan et al., 2023). Les films sensibles et les relevés d'empreinte sont statiques (Hansen et al., 1989 ; Luo et al., 2025 ; Wesołowski et al., 2020 ; aire de contact sous véhicule d'essai : Wang et al., 2021) ; le scan 3D de la pénétration du caoutchouc travaille à l'échelle de la texture (Song et al., 2025). Tous concluent que l'empreinte n'est ni circulaire ni uniforme et que sa forme dépend du couple charge-gonflage ; sur chaussée mince, remplacer le cercle uniforme par l'empreinte mesurée change nettement la performance calculée (De Beer et al., 2002 ; De Beer et al., 2012). Sous pneu d'avion, les données publiques sont calculées (Tielking, 1989 [BIB-003] ; Tielking, 1989 [BIB-016] ; cartes du HTPT : Airbus S.A.S., 2010) ou globales (aire et rapport de pression de contact : Daugherty, 2003 ; aire seule, avions légers : Wesołowski et al., 2020). Aucune carte 3D mesurée sous pneu de gros porteur n'apparaît dans la base, et la revue Gong et al. (2024) souligne le manque de mesures dynamiques normalisées.</t>
  </si>
  <si>
    <t>De Beer et al. (1997) ; De Beer &amp; Fisher (2013) ; De Beer et al. (2004) ; De Beer et al. (2012) ; Guan et al. (2023) ; Hansen et al. (1989) ; Luo et al. (2025) ; Wesołowski et al. (2020) ; Wang et al. (2021) ; Song et al. (2025) ; De Beer et al. (2002) ; De Beer et al. (2012) ; Tielking (1989) [BIB-003] ; Tielking (1989) [BIB-016] ; Airbus S.A.S. (2010) ; Daugherty (2003) ; Wesołowski et al. (2020) ; Gong et al. (2024)</t>
  </si>
  <si>
    <t>B. Modéliser le pneu et son contact
Que peut-on attendre d'un modèle de pneu pour produire une empreinte d'A340 ?</t>
  </si>
  <si>
    <t>Calés sur des courbes charge-déflexion, les modèles éléments finis de pneus de camion ou de tourisme reproduisent l'empreinte et les contraintes tangentielles (Wang et al., 2012 ; Tang et al., 2022 ; Xie &amp; Yang, 2019 ; He et al., 2021 ; Hernandez &amp; Al-Qadi, 2016). Ils montrent que freinage, accélération et virage transforment la carte, et que la vitesse agit surtout sur l'aire et les composantes tangentielles (Hernandez &amp; Al-Qadi, 2016). Des modèles réduits (anneau : Liu et al., 2022 ; apprentissage sur une base éléments finis : Liu &amp; Al-Qadi, 2022) balaient vite de nombreux cas, mais seulement dans le domaine de leur base. Côté avion, les modèles publiés visent la dynamique du pneu (Kongo Kondé, 2011 ; Kongo Kondé et al., 2013), l'échauffement (Rosu et al., 2018) ou le gonflage et l'éclatement (Behroozi et al., 2012), plutôt que la carte transmise à la chaussée ; leurs auteurs insistent sur la sensibilité aux propriétés des matériaux et à la géométrie, rarement publiées. La structure radiale ou diagonale change la répartition (Xie &amp; Yang, 2019 ; Tielking, 1989 [BIB-003] ; §3.4.2 du rapport HTPT : Airbus S.A.S., 2010 ; comparaison des carcasses : El Fahham et al., 2023 ; ouvrage de fond : Gent &amp; Walter, 2006). Enfin, la déflexion relative sépare les deux mondes : 32 % pour le pneu d'avion du HTPT, 14 à 19 % pour un pneu de camion d'après la figure de Ford &amp; Charles (1988) reprise dans ton TFE.</t>
  </si>
  <si>
    <t>Wang et al. (2012) ; Tang et al. (2022) ; Xie &amp; Yang (2019) ; He et al. (2021) ; Hernandez &amp; Al-Qadi (2016) ; Hernandez &amp; Al-Qadi (2016) ; Liu et al. (2022) ; Liu &amp; Al-Qadi (2022) ; Kongo Kondé (2011) ; Kongo Kondé et al. (2013) ; Rosu et al. (2018) ; Behroozi et al. (2012) ; Xie &amp; Yang (2019) ; Tielking (1989) [BIB-003] ; Airbus S.A.S. (2010) ; El Fahham et al. (2023) ; Gent &amp; Walter (2006) ; Ford &amp; Charles (1988)</t>
  </si>
  <si>
    <t>C. Loi de comportement viscoélastique
Quel modèle viscoélastique, et quelle mise en œuvre 3D pour le calcul ?</t>
  </si>
  <si>
    <t>La filiation Huet, Huet-Sayegh puis 2S2P1D est établie (Huet, 1963 ; Sayegh, 1965 ; Olard &amp; Di Benedetto, 2003 ; Di Benedetto et al., 2004 [BIB-019]). Un modèle à spectre large s'impose, car une charge mobile sollicite une large gamme de fréquences (Nilsson et al., 2002). Pour un calcul temporel, le 2S2P1D se discrétise en Kelvin-Voigt ou Maxwell généralisés (Tiouajni et al., 2011) et se convertit en séries de Prony (Park &amp; Schapery, 1999). En 3D, les travaux de l'ENTPE trouvent un même facteur de translation pour E*, G* et ν* (Di Benedetto et al., 2007 ; Pham et al., 2015 ; Nguyen et al., 2017) et étendent l'équivalence temps-température au non linéaire et à la fissuration (Nguyen et al., 2013) ; les modules volumique et déviatorique se mesurent avec un essai uniaxial (Graziani et al., 2014 [BIB-049] ; recommandation Graziani et al., 2017). Pour l'essai : écarter les premiers cycles (Gayte et al., 2016) et distinguer échauffement, thixotropie et fatigue (Di Benedetto et al., 2011). Le cadre d'essai est normalisé (AFNOR, 2023) ; les domaines de comportement selon l'amplitude et le nombre de cycles sont classés depuis Di Benedetto (1990), et la dispersion entre laboratoires a été mesurée par le RILEM (Di Benedetto et al., 2001). Les courbes maîtresses reposent sur la loi WLF (Williams et al., 1955) et peuvent être construites sans ajustement manuel (Chailleux et al., 2006). Les ouvrages et thèses de fond (Tschoegl, 1989 ; Di Benedetto &amp; Corté, 2005 ; Olard, 2003) et les essais normalisés sur liant (AFNOR, 2015 ; AFNOR, 2018 ; AFNOR, 2024) complètent ce socle.</t>
  </si>
  <si>
    <t>Huet (1963) ; Sayegh (1965) ; Olard &amp; Di Benedetto (2003) ; Di Benedetto et al. (2004) [BIB-019] ; Nilsson et al. (2002) ; Tiouajni et al. (2011) ; Park &amp; Schapery (1999) ; Di Benedetto et al. (2007) ; Pham et al. (2015) ; Nguyen et al. (2017) ; Nguyen et al. (2013) ; Graziani et al. (2014) [BIB-049] ; Graziani et al. (2017) ; Gayte et al. (2016) ; Di Benedetto et al. (2011) ; AFNOR (2023) ; Di Benedetto (1990) ; Di Benedetto et al. (2001) ; Williams et al. (1955) ; Chailleux et al. (2006) ; Tschoegl (1989) ; Di Benedetto &amp; Corté (2005) ; Olard (2003) ; AFNOR (2015) ; AFNOR (2018) ; AFNOR (2024)</t>
  </si>
  <si>
    <t>D. Calculer la structure
Quelle méthode pour propager une empreinte non uniforme dans un multicouche viscoélastique sous charge mobile ?</t>
  </si>
  <si>
    <t>Trois familles. Les éléments finis 3D temporels sont les plus souples (géométrie, interfaces, charge mobile, empreinte quelconque) mais coûteux et sensibles au maillage (Cho et al., 1996 ; Elseifi et al., 2006 ; Wang &amp; Al-Qadi, 2009 ; Wang &amp; Al-Qadi, 2010 ; Wang et al., 2013 ; Yoo et al., 2006 ; Jiang et al., 2019) ; la variante 2,5D réduit fortement le coût (Wu et al., 2020). Les méthodes par couches ou en domaine fréquentiel prennent le module complexe tel quel : VEROAD (Hopman, 1996), couches finies (Siddharthan et al., 1998 ; Siddharthan et al., 2002), ViscoRoute (Duhamel et al., 2005 ; Chabot et al., 2010) et sa résolution par couples de nombres d'onde (Chupin et al., 2010), éléments spectraux axisymétriques pour le F/HWD (Al-Khoury et al., 2001 ; Grenier et al., 2009 ; Roussel et al., 2020 ; Roussel, 2020). Les méthodes semi-analytiques dans l'espace superposent des solutions élémentaires (Boussinesq, 1885 ; Love, 1929 ; Maina &amp; Matsui, 2004), accélérées par FFT (Liu et al., 2000 ; Jacq et al., 2002) et appliquées au contact roulant avec frottement (Manyo et al., 2021 ; Cardoso da Silva et al., 2025), mais en élasticité ; leur cadre théorique commun (Boussinesq, Cerruti, contact roulant) est chez Johnson (1985). Le multicouche élastique, né pour les aérodromes (Burmister, 1945), reste l'outil de référence (IFSTTAR, 2016) ; l'implémentation d'une loi viscoélastique de l'ENTPE dans un code éléments finis, dont hérite ton modèle, vient de Pouget (2011) et Pouget et al. (2012). Tous concordent sur la nécessité de la viscoélasticité (Elseifi et al., 2006 ; Chabot et al., 2010 ; Roussel et al., 2019).</t>
  </si>
  <si>
    <t>Cho et al. (1996) ; Elseifi et al. (2006) ; Wang &amp; Al-Qadi (2009) ; Wang &amp; Al-Qadi (2010) ; Wang et al. (2013) ; Yoo et al. (2006) ; Jiang et al. (2019) ; Wu et al. (2020) ; Hopman (1996) ; Siddharthan et al. (1998) ; Siddharthan et al. (2002) ; Duhamel et al. (2005) ; Chabot et al. (2010) ; Chupin et al. (2010) ; Al-Khoury et al. (2001) ; Grenier et al. (2009) ; Roussel et al. (2020) ; Roussel (2020) ; Boussinesq (1885) ; Love (1929) ; Maina &amp; Matsui (2004) ; Liu et al. (2000) ; Jacq et al. (2002) ; Manyo et al. (2021) ; Cardoso da Silva et al. (2025) ; Johnson (1985) ; Burmister (1945) ; IFSTTAR (2016) ; Pouget (2011) ; Pouget et al. (2012) ; Elseifi et al. (2006) ; Chabot et al. (2010) ; Roussel et al. (2019)</t>
  </si>
  <si>
    <t>E. Fissuration descendante et critères de surface
Quel mécanisme et quel critère pour l'endommagement amorcé en surface ?</t>
  </si>
  <si>
    <t>Le phénomène est documenté sur route (Canestrari &amp; Ingrassia, 2020 : 20 à 30 % des voies lentes d'autoroutes italiennes touchées) et sur chaussée aéronautique (Sadoun et al., 2022). Les études relient l'amorçage aux fortes contraintes de contact en bord de pneu (Myers et al., 2001 ; Wang &amp; Al-Qadi, 2009 ; Wang et al., 2013) et montrent qu'une pression uniforme sous-estime les sollicitations près de la surface (Weissman, 1999 ; Wang &amp; Al-Qadi, 2010). La viscoélasticité ramène à elle seule le point critique vers le haut de la couche (Kim et al., 2009). La température (Wang &amp; Al-Qadi, 2010), le décollement des interfaces (Wang &amp; Al-Qadi, 2010 ; Wang et al., 2013 ; Chupin et al., 2010) et les manœuvres (Cardoso da Silva et al., 2025 ; Oubahdou et al., 2021) aggravent la situation. Les critères proposés varient : seuil de déformation d'extension (Manyo et al., 2021), enveloppe de Mohr-Coulomb (Wang &amp; Al-Qadi, 2010), endommagement continu (Cardoso da Silva et al., 2025 ; Roque et al., 2010), mécanique de la rupture pour la propagation (Myers et al., 2001 ; Roque et al., 2010).</t>
  </si>
  <si>
    <t>Canestrari &amp; Ingrassia (2020) ; Sadoun et al. (2022) ; Myers et al. (2001) ; Wang &amp; Al-Qadi (2009) ; Wang et al. (2013) ; Weissman (1999) ; Wang &amp; Al-Qadi (2010) ; Kim et al. (2009) ; Wang &amp; Al-Qadi (2010) ; Wang &amp; Al-Qadi (2010) ; Wang et al. (2013) ; Chupin et al. (2010) ; Cardoso da Silva et al. (2025) ; Oubahdou et al. (2021) ; Manyo et al. (2021) ; Wang &amp; Al-Qadi (2010) ; Cardoso da Silva et al. (2025) ; Roque et al. (2010) ; Myers et al. (2001) ; Roque et al. (2010)</t>
  </si>
  <si>
    <t>F. Chaussées aéronautiques et cadre réglementaire
Que disent les essais en vraie grandeur et les méthodes de dimensionnement ?</t>
  </si>
  <si>
    <t>Les essais en vraie grandeur mesurent surtout en profondeur : au PEP, les modèles multicouches élastiques reproduisent bien les déformations mesurées (Petitjean et al., 2001) ; au NAPTF, un modèle éléments finis 3D en fait autant avec des modules représentatifs (Bazi et al., 2021). Sur l'effet de la pression de gonflage, les campagnes suivent l'orniérage (HTPT : Airbus S.A.S., 2010 ; STAC, 2011 ; NAPTF : Garg et al., 2018) ou des critères globaux d'ornière et d'état de surface (Roginski, 2007, sans effet néfaste jusqu'à 1,65 MPa sur des chaussées conformes). La méthode française ne prend pas en compte la fissuration descendante (Sadoun et al., 2022) ; d'après leurs notices, les méthodes du STAC et de la FAA vérifient des critères en base de couche et au sommet du sol support (STAC, 2016 ; FAA, 2021). La méthode aéronautique française dérive de la méthode routière (LCPC &amp; SETRA, 1994 ; norme actuelle AFNOR, 2019 [BIB-083]) et s'applique avec Alizé-Aéronautique (Blanc et al., 2016 ; Clavel &amp; Courant, 2018) ; côté américain, avec FAARFIELD (FAA, 2024). Les données de charge (géométrie du bogie, charge par roue) viennent des documents du constructeur (Airbus S.A.S., 2025). Le report de portance passe à l'ACR-PCR (FAA, 2022 ; OACI, 2022 [BIB-113] ; OACI, 2022 [BIB-114] ; Travailleur &amp; Broutin, 2022). L'auscultation progresse vers la viscoélasticité (HWD : Broutin, 2010 ; Roussel, 2020) et le contrôle des interfaces (ovalisation : Gharbi et al., 2022).</t>
  </si>
  <si>
    <t>Petitjean et al. (2001) ; Bazi et al. (2021) ; Airbus S.A.S. (2010) ; STAC (2011) ; Garg et al. (2018) ; Roginski (2007) ; Sadoun et al. (2022) ; STAC (2016) ; FAA (2021) ; LCPC &amp; SETRA (1994) ; AFNOR (2019) [BIB-083] ; Blanc et al. (2016) ; Clavel &amp; Courant (2018) ; FAA (2024) ; Airbus S.A.S. (2025) ; FAA (2022) ; OACI (2022) [BIB-113] ; OACI (2022) [BIB-114] ; Travailleur &amp; Broutin (2022) ; Broutin (2010) ; Roussel (2020) ; Gharbi et al. (2022)</t>
  </si>
  <si>
    <t>G. Fatigue et cumul des dommages
Comment passer d'une sollicitation locale à une durée de vie ?</t>
  </si>
  <si>
    <t>Dans l'approche classique, la loi de fatigue dépend du type d'essai et du mode de chargement ; l'endommagement continu isole mieux la fatigue intrinsèque (Di Benedetto et al., 2004 [BIB-104] ; essais normalisés : AFNOR, 2019 [BIB-117]). Le cumul linéaire (Miner, 1945) reste la base pour combiner des passages différents, ce qui suppose de connaître le balayage transversal des trains (HoSang, 1975) : un dommage de surface concentré sous les bords du pneu y est bien plus sensible qu'un critère en base de couche. Aux fortes amplitudes, échauffement et thixotropie faussent la lecture des essais (Di Benedetto et al., 2011).</t>
  </si>
  <si>
    <t>Di Benedetto et al. (2004) [BIB-104] ; AFNOR (2019) [BIB-117] ; Miner (1945) ; HoSang (1975) ; Di Benedetto et al. (2011)</t>
  </si>
  <si>
    <t>4. Convergences : ce que les travaux établissent ensemble</t>
  </si>
  <si>
    <t>Constat partagé</t>
  </si>
  <si>
    <t>Nuance</t>
  </si>
  <si>
    <t>L'empreinte réelle n'est ni circulaire ni uniforme ; sa forme dépend du couple charge-gonflage.</t>
  </si>
  <si>
    <t>De Beer et al. (2012) ; De Beer et al. (2004) ; Hansen et al. (1989) ; Tielking &amp; Roberts (1987) ; Tielking (1989) [BIB-003] ; Tielking (1989) [BIB-016] ; Weissman (1999) ; Xie &amp; Yang (2019) ; Wang et al. (2012) ; Tang et al. (2022) ; Guan et al. (2023)</t>
  </si>
  <si>
    <t>Le sens de l'effet de la charge fait débat (divergence 2).</t>
  </si>
  <si>
    <t>Une pression uniforme sous-estime les sollicitations près de la surface (cisaillement, contraintes octaédriques, risque de rupture).</t>
  </si>
  <si>
    <t>Wang &amp; Al-Qadi (2009) ; Wang &amp; Al-Qadi (2010) ; Wang et al. (2013) ; Weissman (1999) ; Tielking &amp; Roberts (1987) ; De Beer et al. (2012) ; Jiang et al. (2019)</t>
  </si>
  <si>
    <t>Contredit pour les grandeurs du dimensionnement par Siddharthan et al. (2002) (divergence 1).</t>
  </si>
  <si>
    <t>En profondeur, la forme de l'empreinte compte peu : la réponse dépend surtout de la résultante (principe de Saint-Venant, invoqué dans ton TFE).</t>
  </si>
  <si>
    <t>Wu et al. (2020) ; Jiang et al. (2019) ; Siddharthan et al. (1998)</t>
  </si>
  <si>
    <t>Pour Wang &amp; Al-Qadi (2009), la formulation du résumé est ambiguë sur les grandeurs profondes.</t>
  </si>
  <si>
    <t>La viscoélasticité est indispensable, surtout à chaud et sous charge lente.</t>
  </si>
  <si>
    <t>Elseifi et al. (2006) ; Chabot et al. (2010) ; Kim et al. (2009) ; Roussel et al. (2019) ; Roussel (2020) ; Nilsson et al. (2002) ; Chupin et al. (2010)</t>
  </si>
  <si>
    <t>Perret (2003) ne voit pas de gain net avec le modèle de Huet dans son étude (divergence 7).</t>
  </si>
  <si>
    <t>Les manœuvres (freinage, accélération, virage) transforment les contraintes de contact et aggravent l'endommagement de surface.</t>
  </si>
  <si>
    <t>Wang et al. (2012) ; Tang et al. (2022) ; He et al. (2021) ; Cardoso da Silva et al. (2025) ; Oubahdou et al. (2021) ; Guo et al. (2025)</t>
  </si>
  <si>
    <t>Aucune donnée tangentielle sous pneu d'avion dans la base (lacune 7).</t>
  </si>
  <si>
    <t>Le décollement ou le glissement des interfaces aggrave la sollicitation.</t>
  </si>
  <si>
    <t>Chupin et al. (2010) ; Wang &amp; Al-Qadi (2010) ; Wang et al. (2013) ; Yoo et al. (2006) ; Perret (2003)</t>
  </si>
  <si>
    <t>Le collage réel des chaussées aéronautiques est peu mesuré ; l'ovalisation (Gharbi et al., 2022) est un outil en cours d'évaluation.</t>
  </si>
  <si>
    <t>L'équivalence temps-température vaut en 3D, avec un même facteur de translation pour E*, G* et ν* dans les travaux de l'ENTPE.</t>
  </si>
  <si>
    <t>Di Benedetto et al. (2007) ; Pham et al. (2015) ; Nguyen et al. (2017) ; Nguyen et al. (2013) ; Graziani et al. (2014) [BIB-049]</t>
  </si>
  <si>
    <t>Graziani et al. (2014) [BIB-050] trouve parfois des facteurs différents (divergence 5).</t>
  </si>
  <si>
    <t>Les méthodes semi-analytiques et fréquentielles sont nettement plus rapides que les éléments finis, avec une bonne précision sur leurs cas de validation.</t>
  </si>
  <si>
    <t>Jacq et al. (2002) ; Liu et al. (2000) ; Al-Khoury et al. (2001) ; Roussel et al. (2020) ; Wu et al. (2020) ; Cardoso da Silva et al. (2025) ; Maina &amp; Matsui (2004)</t>
  </si>
  <si>
    <t>Elles restent axisymétriques (éléments spectraux) ou élastiques (superposition) dans les travaux lus.</t>
  </si>
  <si>
    <t>Les déformations mesurées en profondeur dans les essais en vraie grandeur sont bien reproduites par des modèles de chaussée usuels.</t>
  </si>
  <si>
    <t>Petitjean et al. (2001) ; Bazi et al. (2021) ; Wang et al. (2013) ; Elseifi et al. (2006)</t>
  </si>
  <si>
    <t>Ces mesures ne départagent donc pas les hypothèses de contact : c'est près de la surface qu'il faudrait mesurer (lacune 5).</t>
  </si>
  <si>
    <t>5. Divergences : où les travaux se contredisent</t>
  </si>
  <si>
    <t>Question</t>
  </si>
  <si>
    <t>Positions en présence</t>
  </si>
  <si>
    <t>Pourquoi ils divergent</t>
  </si>
  <si>
    <t>À faire</t>
  </si>
  <si>
    <t>1. La pression uniforme est-elle une hypothèse prudente ?</t>
  </si>
  <si>
    <t>A — Non : elle sous-estime les sollicitations et le risque de rupture près de la surface. (Wang &amp; Al-Qadi, 2009 ; Wang &amp; Al-Qadi, 2010 ; Wang et al., 2013 ; Weissman, 1999)
B — Oui, au moins pour l'orniérage : les réponses sous distribution non uniforme sont plus faibles, sauf la traction en base, et les cisaillements de contact ne changent rien. (Siddharthan et al., 2002 ; Siddharthan et al., 1998)</t>
  </si>
  <si>
    <t>Les grandeurs comparées diffèrent : Siddharthan examine les réponses du dimensionnement (traction en base, déformations d'orniérage), les autres le cisaillement et les contraintes près de la surface.</t>
  </si>
  <si>
    <t>Discuter ce désaccord dans ton chapitre de résultats en comparant les mêmes grandeurs aux mêmes profondeurs.</t>
  </si>
  <si>
    <t>2. Quand la charge augmente, la pression devient-elle plus ou moins uniforme ?</t>
  </si>
  <si>
    <t>A — Moins : en surcharge ou sous-gonflage, les maxima migrent vers les bords (profil en M). (De Beer et al., 2012 ; De Beer et al., 2004 ; Tielking, 1989 [BIB-016] ; Guan et al., 2023)
B — Plus : la pression s'uniformise et la non-uniformité baisse ; pour un pneu radial, le maximum reste central jusqu'à 37,5 kN. (Hansen et al., 1989 ; Wang et al., 2012 ; Xie &amp; Yang, 2019)</t>
  </si>
  <si>
    <t>Indicateurs différents (rapport pic / moyenne ou position du pic), gonflages et plages de charge différents. De Beer place lui-même le maximum au centre à faible charge et fort gonflage : l'écart tient au couple charge-gonflage.</t>
  </si>
  <si>
    <t>Normaliser par la charge et le gonflage (contrainte normalisée de De Beer 2004) avant de transposer au pneu d'A340.</t>
  </si>
  <si>
    <t>3. Le pneu radial est-il plus uniforme que le diagonal ?</t>
  </si>
  <si>
    <t>A — Oui : le pneu radial du F-15E donne une distribution nettement plus uniforme. (Tielking, 1989 [BIB-003])
B — Non : à conditions égales, le radial donne le maximum le plus fort ; la variation entre nervures est plus faible pour le diagonal. (Xie &amp; Yang, 2019)</t>
  </si>
  <si>
    <t>Pneus d'avion militaire contre pneus de camion, modèles et indicateurs différents.</t>
  </si>
  <si>
    <t>Chercher des données sur pneu radial d'avion de ligne (§3.4.2 du HTPT ; Daugherty, 2003) avant de trancher pour l'A340.</t>
  </si>
  <si>
    <t>4. Cisaillement ou traction pour la fissuration descendante ?</t>
  </si>
  <si>
    <t>A — Le cisaillement près de la surface est déterminant (et ton TFE rattache l'amorçage aux pics de cisaillement en bord de pneu, d'après Cardoso da Silva et al. 2025). (Wang &amp; Al-Qadi, 2009 ; Wang &amp; Al-Qadi, 2010 ; Wang et al., 2013)
B — La propagation est surtout pilotée par la traction ; l'extension en surface sert de critère d'amorçage. (Myers et al., 2001 ; Manyo et al., 2021 ; Kim et al., 2009)</t>
  </si>
  <si>
    <t>Amorçage et propagation ne relèvent pas forcément du même mode : les critères en extension et en cisaillement ne s'excluent pas.</t>
  </si>
  <si>
    <t>Garder les deux familles de grandeurs (ε1 et εxz en surface, comme ton §3.6) et suivre l'orientation des directions principales.</t>
  </si>
  <si>
    <t>5. Un seul facteur de translation pour toutes les fonctions viscoélastiques ?</t>
  </si>
  <si>
    <t>A — Oui : même facteur pour E*, G* et ν*. (Di Benedetto et al., 2007 ; Pham et al., 2015 ; Nguyen et al., 2017)
B — Pas toujours : E* et ν* peuvent demander des facteurs différents. (Graziani et al., 2014 [BIB-050])</t>
  </si>
  <si>
    <t>Matériaux, plages de température et précision de mesure de ν* différents.</t>
  </si>
  <si>
    <t>Vérifier sur tes courbes maîtresses qu'un facteur commun suffit : c'est l'hypothèse de ta décomposition K/G à temps de relaxation communs.</t>
  </si>
  <si>
    <t>6. Les fortes pressions de gonflage abîment-elles les chaussées souples ?</t>
  </si>
  <si>
    <t>A — Non, jusqu'à 1,65 MPa, pour des chaussées conformes aux minima ; les enrobés tièdes résistent aussi bien à l'orniérage. (Roginski, 2007 ; Garg et al., 2018)
B — Des fissures amorcées en surface apparaissent sous les trains lourds, et la pression uniforme sous-estime les sollicitations de surface. (Sadoun et al., 2022 ; Wang et al., 2013 ; Airbus S.A.S., 2010)</t>
  </si>
  <si>
    <t>Critères de ruine différents (ornière et état de surface globaux contre amorçage local), structures différentes (piste composite à Toulouse) et pressions différentes (1,65 MPa contre 1,75 MPa pour ton A340).</t>
  </si>
  <si>
    <t>Citer Roginski et discuter : ton argument porte sur un mécanisme de surface que ces critères ne voient pas.</t>
  </si>
  <si>
    <t>7. La viscoélasticité améliore-t-elle la prévision des déformations mesurées ?</t>
  </si>
  <si>
    <t>A — Oui, nettement : l'élasticité sous-estime fortement à chaud, le modèle viscoélastique reste à moins de 15 % des mesures. (Elseifi et al., 2006 ; Chabot et al., 2010)
B — Pas nettement dans l'étude de Perret, avec le modèle de Huet. (Perret, 2003)</t>
  </si>
  <si>
    <t>Températures, grandeurs (maxima de déformation horizontale contre réponses à chaud) et structures différentes ; le résumé de Perret est lacunaire.</t>
  </si>
  <si>
    <t>Préciser dans quelles conditions ton écart de 22 % entre élastique et viscoélastique apparaît (température, vitesse).</t>
  </si>
  <si>
    <t>6. Lacunes : ce que personne n'a encore fait</t>
  </si>
  <si>
    <t>Lacune</t>
  </si>
  <si>
    <t>Travaux les plus proches</t>
  </si>
  <si>
    <t>Piste pour la thèse</t>
  </si>
  <si>
    <t>1. Aucune carte 3D de contraintes mesurée sous pneu de gros porteur.</t>
  </si>
  <si>
    <t>Airbus S.A.S. (2010) ; Tielking (1989) [BIB-003] ; Daugherty (2003) ; Wesołowski et al. (2020) ; De Beer &amp; Fisher (2013)</t>
  </si>
  <si>
    <t>Mesure dédiée (dispositif de type SIM dimensionné pour 370 kN par roue) ou modèle de pneu d'avion validé ; c'est la première perspective de ton TFE.</t>
  </si>
  <si>
    <t>2. Aucune étude ne combine contact 3D mesuré, loi 2S2P1D, charge aéronautique mobile et critère de surface.</t>
  </si>
  <si>
    <t>Wang et al. (2013) ; Wang &amp; Al-Qadi (2009) ; Wang &amp; Al-Qadi (2010) ; Elseifi et al. (2006)</t>
  </si>
  <si>
    <t>C'est le cœur de la thèse : ton TFE en pose la première version, avec une empreinte transposée du camion.</t>
  </si>
  <si>
    <t>3. Pas de méthode rapide publiée qui traite à la fois une empreinte non axisymétrique et la viscoélasticité pour ce problème.</t>
  </si>
  <si>
    <t>Roussel et al. (2020) ; Al-Khoury et al. (2001) ; Chupin et al. (2010) ; Manyo et al. (2021) ; Cardoso da Silva et al. (2025)</t>
  </si>
  <si>
    <t>Piste a : étendre la méthode spectrale de l'équipe à une empreinte quelconque (nombres d'onde en 2D, comme ViscoRoute). Piste b : superposition semi-analytique rendue viscoélastique.</t>
  </si>
  <si>
    <t>4. Pas de critère de surface dans les méthodes de dimensionnement aéronautique.</t>
  </si>
  <si>
    <t>Sadoun et al. (2022) ; STAC (2016) ; FAA (2021) ; Wang &amp; Al-Qadi (2010) ; Roque et al. (2010)</t>
  </si>
  <si>
    <t>Choisir et caler un critère (Mohr-Coulomb, seuil d'extension, endommagement continu), puis l'éprouver sur le HTPT et le PEP ; c'est l'amélioration que ton TFE place en tête.</t>
  </si>
  <si>
    <t>5. Peu de mesures près de la surface pour valider les modèles.</t>
  </si>
  <si>
    <t>Petitjean et al. (2001) ; Bazi et al. (2021) ; Gharbi et al. (2022)</t>
  </si>
  <si>
    <t>Instrumentation près de la surface dans une future planche du STAC ; garder en tête qu'au NAPTF 40 % des capteurs étaient inexploitables.</t>
  </si>
  <si>
    <t>6. Cumul d'un dommage très localisé sous balayage transversal : données anciennes.</t>
  </si>
  <si>
    <t>HoSang (1975) ; Miner (1945) ; Di Benedetto et al. (2004) [BIB-104]</t>
  </si>
  <si>
    <t>Actualiser les données de balayage et tester la sensibilité du dommage de surface à l'écart-type du balayage.</t>
  </si>
  <si>
    <t>7. Aucune donnée de contraintes tangentielles sous pneu d'avion.</t>
  </si>
  <si>
    <t>Kongo Kondé (2011) ; Tang et al. (2022) ; Cardoso da Silva et al. (2025)</t>
  </si>
  <si>
    <t>Deuxième perspective de ton TFE : relier contraintes tangentielles et verticales par une approche simplifiée, puis la confronter à un modèle de pneu d'avion.</t>
  </si>
  <si>
    <t>7. Où se place ta thèse</t>
  </si>
  <si>
    <t>Où se place ton travail</t>
  </si>
  <si>
    <t>Ton TFE se situe à la rencontre de trois lignes de travaux : les cartes de contact mesurées sous camion (De Beer et le CSIR), le calcul éléments finis viscoélastique sous charge mobile (Wang et Al-Qadi, Elseifi) et les chaussées aéronautiques (PEP, HTPT, STAC). Son apport propre tient en trois points : une empreinte hétérogène transposée à une charge d'A340, une loi 2S2P1D identifiée sur ton propre essai et discrétisée à 9 branches, et une comparaison à charge égale de trois empreintes.</t>
  </si>
  <si>
    <t>Ce qui converge avec la littérature</t>
  </si>
  <si>
    <t>Effet négligeable en profondeur, cisaillement de surface sous-estimé par la pression uniforme (facteur 1,24 dans le TFE), réponses plus fortes en viscoélasticité (22 % en moyenne) : ces résultats rejoignent Wang &amp; Al-Qadi (2009) ; Wang et al. (2013) ; Jiang et al. (2019) et Elseifi et al. (2006).</t>
  </si>
  <si>
    <t>Ce qu'il faut discuter</t>
  </si>
  <si>
    <t>Siddharthan et al. (2002) (hypothèse uniforme jugée prudente) et Roginski (2007) (pas d'effet des fortes pressions sur des chaussées conformes) contredisent en partie ton argument ; Myers et al. (2001) attribue la propagation à la traction. Les citer et expliquer l'écart renforcera le chapitre.</t>
  </si>
  <si>
    <t>Les points faibles vus depuis la littérature</t>
  </si>
  <si>
    <t>Empreinte issue de pneus de camion (aucune mesure sous pneu d'avion), contraintes verticales seules, interfaces collées, validation sur des déformations profondes (PEP) qui ne départagent pas les empreintes, et rapprochement qualitatif avec une fissure observée sur une chaussée composite (Sadoun et al., 2022).</t>
  </si>
  <si>
    <t>Ce que la thèse peut apporter</t>
  </si>
  <si>
    <t>Une carte d'empreinte d'avion crédible (mesure ou modèle de pneu), un critère de surface calé, une méthode de calcul rapide (pistes a et b) et un cumul du dommage sous balayage.</t>
  </si>
  <si>
    <t>8. Points à vérifier dans ton TFE (apparus à la lecture des résumés)</t>
  </si>
  <si>
    <t>Point</t>
  </si>
  <si>
    <t>Constat</t>
  </si>
  <si>
    <t>Fait ?</t>
  </si>
  <si>
    <t>Action</t>
  </si>
  <si>
    <t>Nature de la piste 14R/32L (Fig. 1-27, §3.6)</t>
  </si>
  <si>
    <t>Le résumé de Sadoun et al. (2022) décrit une chaussée rigide renforcée par une couche bitumineuse, circulée par un A319.</t>
  </si>
  <si>
    <t>Le dire dans le TFE ; la comparaison avec ta chaussée souple reste qualitative (ajouté à la feuille Corrections TFE).</t>
  </si>
  <si>
    <t>« Environ 50 mm sous la surface » attribué à Wang &amp; Al-Qadi (2010)</t>
  </si>
  <si>
    <t>Le résumé de Wang &amp; Al-Qadi (2010) parle d'une rupture par cisaillement un peu sous la surface à chaud, sans chiffre.</t>
  </si>
  <si>
    <t>Retrouver la profondeur dans le texte intégral avant de la citer.</t>
  </si>
  <si>
    <t>Nappes Tekscan « en dynamique » (§1.3.5)</t>
  </si>
  <si>
    <t>Les résumés de Oubahdou et al. (2021) (mesures sous presse, donc statiques), Manyo et al. (2021) et Cardoso da Silva et al. (2025) ne mentionnent pas de nappe Tekscan.</t>
  </si>
  <si>
    <t>Vérifier le capteur et les conditions de mesure dans chaque article.</t>
  </si>
  <si>
    <t>Films sensibles superposés attribués à Song et al. (2025)</t>
  </si>
  <si>
    <t>Le résumé de Song et al. (2025) décrit un scan 3D associé à la courbe de portance ; les films sont chez Luo et al. (2025).</t>
  </si>
  <si>
    <t>Vérifier la méthode de Song et al. avant de les citer pour les films.</t>
  </si>
  <si>
    <t>Charges des cartes HTPT (288 à 339 kN)</t>
  </si>
  <si>
    <t>Les charges d'essai du HTPT sont de 28,7 et 33,2 t par roue, soit environ 282 et 326 kN (Airbus S.A.S., 2010 ; STAC, 2011) ; le rapport Pmax/Pgonflage de 1,7 à 2,1 n'est pas écrit dans les pages lues.</t>
  </si>
  <si>
    <t>Relire les légendes de la Fig. 26 du rapport ; la légende « mesurées » de ta Fig. 1-23 est déjà dans Corrections TFE.</t>
  </si>
  <si>
    <t>Xie &amp; Yang et De Beer « concluent de même » (§1.3.3)</t>
  </si>
  <si>
    <t>Pour le pneu radial, Xie &amp; Yang (2019) garde le maximum au centre (jusqu'à 37,5 kN sous 0,81 MPa) alors que De Beer &amp; Fisher (2000) montre des maxima de bord à 40-50 kN sous 520 kPa.</t>
  </si>
  <si>
    <t>Préciser que l'écart tient au couple charge-gonflage, plutôt que d'écrire que les deux études concluent de même.</t>
  </si>
  <si>
    <t>Chiffres de résultats</t>
  </si>
  <si>
    <t>Le PDF du TFE donne un facteur 1,24 sur la déformation de cisaillement en surface (177 contre 143 µdef) et +22 % entre élastique et viscoélastique ; ta présentation des travaux cite SED +29 %, τxz +45 % et une durée de vie réduite de 30 à 52 %, absents du PDF.</t>
  </si>
  <si>
    <t>Harmoniser (grandeur, cas de référence, version) avant de reprendre ces chiffres dans la thèse.</t>
  </si>
  <si>
    <t>Matrice croisée — ce que chaque référence traite</t>
  </si>
  <si>
    <t>● = la fiche relève de la catégorie (classement tiré des dimensions de la fiche). Cases modifiables : tape ● ou efface ; la ligne Total et la feuille Analyse croisée se mettent à jour. Pour une nouvelle référence, ajoute une ligne sous la matrice.</t>
  </si>
  <si>
    <t>Référence</t>
  </si>
  <si>
    <t>Pneu hyperélastique</t>
  </si>
  <si>
    <t>Endommagement</t>
  </si>
  <si>
    <t>Vraie grandeur, en place</t>
  </si>
  <si>
    <t>Domaine fréquentiel</t>
  </si>
  <si>
    <t>Conversion numérique</t>
  </si>
  <si>
    <t>Revue, norme, méthode</t>
  </si>
  <si>
    <t>Surface, fiss. descendante</t>
  </si>
  <si>
    <t>Base de couche, sol</t>
  </si>
  <si>
    <t>Loi, module</t>
  </si>
  <si>
    <t>Méthode, données</t>
  </si>
  <si>
    <t>Essais, mesures contact</t>
  </si>
  <si>
    <t>Total (nombre de références)</t>
  </si>
  <si>
    <t>●</t>
  </si>
  <si>
    <t>Séquençage de lecture — octobre 2026 à mars 2027</t>
  </si>
  <si>
    <t>Les listes se remplissent depuis la feuille Références (colonne Mois) : changer le mois d'une référence la déplace ici. Statut et État se mettent à jour automatiquement.</t>
  </si>
  <si>
    <t>Mois 1 — octobre 2026 : Cadrer le problème : mesures de contact et contexte aéronautique</t>
  </si>
  <si>
    <t>À la fin du mois</t>
  </si>
  <si>
    <t>À demander en amont</t>
  </si>
  <si>
    <t>Tout de suite : retrouver ta copie du rapport CSIR CR-99/012 et demander au STAC la version 2 du rapport HTPT. Lancer aussi dès la première semaine les PEB longs des mois suivants : actes ICAP 1997 et 2002, thèses de Huet et de Sayegh, actes RILEM 1990.</t>
  </si>
  <si>
    <t>Avancement</t>
  </si>
  <si>
    <t>Heures</t>
  </si>
  <si>
    <t>Mois 2 — novembre 2026 : Modèles de pneus et bases de la viscoélasticité</t>
  </si>
  <si>
    <t>Thèses de Huet et de Sayegh et actes ICAP 1997 et 2002 (PEB lancés au mois 1) ; emprunter Tschoegl et Di Benedetto &amp; Corté (tome 2).</t>
  </si>
  <si>
    <t>Mois 3 — décembre 2026 : Caractérisation expérimentale et comportement 3D</t>
  </si>
  <si>
    <t>Normes NF EN 12697-26+A1, NF EN 1426 et NF EN 12697-24 via l'abonnement de l'ENTPE ; actes RILEM 1990 (PEB lancé au mois 1).</t>
  </si>
  <si>
    <t>Mois 4 — janvier 2027 : Calcul de structures sous charge roulante</t>
  </si>
  <si>
    <t>Thèses de Pouget (2011) et de Broutin (2010) ; norme NF P98-086 ; document Airbus A340 (libre) pour citer la géométrie du bogie.</t>
  </si>
  <si>
    <t>Mois 5 — février 2027 : Pistes d'ouverture : formulation fréquentielle et superposition semi-analytique</t>
  </si>
  <si>
    <t>Mois 6 — mars 2027 : Endommagement, critères de surface et cadre réglementaire</t>
  </si>
  <si>
    <t>Documents à demander (PEB, documentation ENTPE, STAC, laboratoire)</t>
  </si>
  <si>
    <t>Saisir la date d'envoi et le statut (fond jaune). La date limite et les relances se calculent seules.</t>
  </si>
  <si>
    <t>Clé(s)</t>
  </si>
  <si>
    <t>Interlocuteur</t>
  </si>
  <si>
    <t>Document</t>
  </si>
  <si>
    <t>Pourquoi</t>
  </si>
  <si>
    <t>Délai indicatif</t>
  </si>
  <si>
    <t>Délai max (semaines)</t>
  </si>
  <si>
    <t>Mois d'usage</t>
  </si>
  <si>
    <t>À envoyer avant le</t>
  </si>
  <si>
    <t>Date d'envoi</t>
  </si>
  <si>
    <t>Relance le</t>
  </si>
  <si>
    <t>De Beer &amp; Fisher (2000)</t>
  </si>
  <si>
    <t>Toi-même / LTDS (copie utilisée pour le TFE)</t>
  </si>
  <si>
    <t>Rapport CSIR CR-99/012 (De Beer &amp; Fisher, mars 2000)</t>
  </si>
  <si>
    <t>Source de ton empreinte hétérogène : vérifier titre, date et désignation du pneu (11.00-R22.5 ou 11R22.5)</t>
  </si>
  <si>
    <t>Immédiat</t>
  </si>
  <si>
    <t>À envoyer</t>
  </si>
  <si>
    <t>debeer1997interface ; debeer2002nonuniform</t>
  </si>
  <si>
    <t>De Beer et al. (1997) ; De Beer et al. (2002)</t>
  </si>
  <si>
    <t>Documentation ENTPE (PEB)</t>
  </si>
  <si>
    <t>Actes ICAP 1997 (Seattle, vol. 1) et ICAP 2002 (Copenhague, CD)</t>
  </si>
  <si>
    <t>Constater la pagination 179-227 (1997) et lire le texte complet de 2002</t>
  </si>
  <si>
    <t>3 à 6 semaines</t>
  </si>
  <si>
    <t>stac2011htpt ; airbus2010htpt</t>
  </si>
  <si>
    <t>STAC (2011) ; Airbus S.A.S. (2010)</t>
  </si>
  <si>
    <t>STAC (M. Broutin)</t>
  </si>
  <si>
    <t>Version 2 du rapport HTPT, si elle existe</t>
  </si>
  <si>
    <t>La version 1 annonçait une version 2 avec analyses complémentaires</t>
  </si>
  <si>
    <t>Variable</t>
  </si>
  <si>
    <t>huet1963impedance ; sayegh1965viscoelastiques</t>
  </si>
  <si>
    <t>Huet (1963) ; Sayegh (1965)</t>
  </si>
  <si>
    <t>Documentation ENTPE (PEB) / bibliothèque Université Gustave Eiffel</t>
  </si>
  <si>
    <t>Thèses de Huet (1963) et de Sayegh (1965)</t>
  </si>
  <si>
    <t>Aucune notice consultable en ligne : obtenir un exemplaire ou une notice de catalogue</t>
  </si>
  <si>
    <t>4 à 8 semaines</t>
  </si>
  <si>
    <t>Di Benedetto (1990)</t>
  </si>
  <si>
    <t>Bibliothèque du LTDS / PEB</t>
  </si>
  <si>
    <t>Actes du 4e symposium RILEM (Budapest 1990, Chapman &amp; Hall)</t>
  </si>
  <si>
    <t>Constater la pagination (387-401 d'après le TFE)</t>
  </si>
  <si>
    <t>Bibliothèque ENTPE / LTDS</t>
  </si>
  <si>
    <t>Thèse de S. Pouget (2011)</t>
  </si>
  <si>
    <t>Absente de theses.fr : obtenir le PDF et la notice (NNT)</t>
  </si>
  <si>
    <t>1 à 2 semaines</t>
  </si>
  <si>
    <t>Travailleur &amp; Broutin (2022)</t>
  </si>
  <si>
    <t>Documentation ENTPE</t>
  </si>
  <si>
    <t>RGRA n° 993 (septembre 2022)</t>
  </si>
  <si>
    <t>Article STAC sur la méthode ACR/PCR (co-écrit par M. Broutin)</t>
  </si>
  <si>
    <t>afnor2023en1269726 ; afnor2019en1269724 ; afnor2019p98086 ; afnor2024en1426</t>
  </si>
  <si>
    <t>AFNOR (2023) ; AFNOR (2019) ; AFNOR (2019) ; AFNOR (2024)</t>
  </si>
  <si>
    <t>Documentation ENTPE (abonnement normes)</t>
  </si>
  <si>
    <t>NF EN 12697-26+A1 (2023), NF EN 12697-24 (2019), NF P98-086 (2019), NF EN 1426 (2024)</t>
  </si>
  <si>
    <t>Normes payantes : consultation via l'abonnement de l'école</t>
  </si>
  <si>
    <t>Quelques jours</t>
  </si>
  <si>
    <t>icao2022annex14 ; icao2022doc9157p3</t>
  </si>
  <si>
    <t>OACI (2022) ; OACI (2022)</t>
  </si>
  <si>
    <t>Annexe 14 vol. I (9e éd. 2022) et Doc 9157 partie 3 (3e éd. 2022)</t>
  </si>
  <si>
    <t>Documents OACI payants : le STAC en dispose</t>
  </si>
  <si>
    <t>tschoegl1989 ; johnson1985contact ; dibenedetto2005materiaux</t>
  </si>
  <si>
    <t>Tschoegl (1989) ; Johnson (1985) ; Di Benedetto &amp; Corté (2005)</t>
  </si>
  <si>
    <t>Ouvrages de Tschoegl (1989), Johnson (1985), Di Benedetto &amp; Corté (2005)</t>
  </si>
  <si>
    <t>Ouvrages de fond, à emprunter plutôt qu'à acheter</t>
  </si>
  <si>
    <t>Broutin (2010)</t>
  </si>
  <si>
    <t>M. Broutin / PASTEL</t>
  </si>
  <si>
    <t>Thèse de M. Broutin (ENPC, 2010)</t>
  </si>
  <si>
    <t>Texte intégral à localiser (theses.fr ne donne que la notice)</t>
  </si>
  <si>
    <t>Corrections à porter aux citations du rapport de TFE</t>
  </si>
  <si>
    <t>Constatées sur source primaire le 22/09/2026. Passer « Corrigé » à Oui une fois reprise dans ton document.</t>
  </si>
  <si>
    <t>Champ</t>
  </si>
  <si>
    <t>Ce que dit le TFE</t>
  </si>
  <si>
    <t>Correction</t>
  </si>
  <si>
    <t>Justification et source</t>
  </si>
  <si>
    <t>Corrigé</t>
  </si>
  <si>
    <t>10.1080/10298436.2017.1373227</t>
  </si>
  <si>
    <t>Le DOI du TFE ne résout vers aucun article (OpenAlex : 404). La page Taylor &amp; Francis de l'article porte le DOI 10.1080/10298436.2017.1380803 (IJPE 20(9), 999-1011).</t>
  </si>
  <si>
    <t>… du mouvement des corps élastiques</t>
  </si>
  <si>
    <t>… du mouvement des solides élastiques</t>
  </si>
  <si>
    <t>Titre imprimé de l'édition Gauthier-Villars de 1885 (Internet Archive, Gallica ark:/12148/bpt6k9651115r).</t>
  </si>
  <si>
    <t>De Beer &amp; Fisher (2 auteurs)</t>
  </si>
  <si>
    <t>De Beer, M., Fisher, C. &amp; Jooste, F. J.</t>
  </si>
  <si>
    <t>Notice TRID 00936330 (ISAP) et citation des auteurs eux-mêmes (De Beer, Fisher &amp; Kannemeyer, 2004). Ajouter : ICAP 2002, Copenhague, 17-22 août 2002, actes sur CD, 30 p.</t>
  </si>
  <si>
    <t>Auteurs et identifiant</t>
  </si>
  <si>
    <t>Hansen, Bertrand, Marshek (3 auteurs), sans numéro</t>
  </si>
  <si>
    <t>Hansen, R. W., Bertrand, C., Marshek, K. M. &amp; Hudson, W. R. ; Research Report 1190-1 (FHWA/TX-90+1190-1), CTR, University of Texas at Austin, juillet 1989, 88 p.</t>
  </si>
  <si>
    <t>Notice TRID 310697 ; PDF diffusé librement par la bibliothèque du CTR.</t>
  </si>
  <si>
    <t>2018</t>
  </si>
  <si>
    <t>2019 (vol. 20, n° 8), mis en ligne en 2018</t>
  </si>
  <si>
    <t>Road Materials and Pavement Design 20(8), 1899-1911 ; la date 2018 est celle de la mise en ligne.</t>
  </si>
  <si>
    <t>Édition</t>
  </si>
  <si>
    <t>AFNOR (2015a)</t>
  </si>
  <si>
    <t>NF EN 1427, janvier 2018 (transpose EN 1427:2015) — annulée en juin 2026</t>
  </si>
  <si>
    <t>La page AFNOR du lien cité dans le TFE (fa176342) donne une édition de janvier 2018, annulée et remplacée par NF EN 1427 de mai 2026. Citer l'édition réellement utilisée, avec son année française.</t>
  </si>
  <si>
    <t>Statut et figure</t>
  </si>
  <si>
    <t>Document interne ; Fig. 1-23 « Pression de contact mesurées »</t>
  </si>
  <si>
    <t>Rapport public Airbus « High Tire Pressure Test (HTPT) », réf. X32RP0926801, Issue 2.0, 31/08/2010 ; pressions calculées</t>
  </si>
  <si>
    <t>Airbus diffuse le rapport sur son site. Sa Figure 26 (p. 50, §3.4.2) s'intitule « Calculated contact patch pressure distribution for tire size 1400x530R23 40PR at 32% deflection » : ce sont des pressions calculées, pas mesurées.</t>
  </si>
  <si>
    <t>Titre et pneu</t>
  </si>
  <si>
    <t>« … measured with the vehicle-road pressure transducer array » ; pneu 11R22.5 dans le texte</t>
  </si>
  <si>
    <t>« … measured with the Vehicle-Road Pressure Transducer Array (VRSPTA) system », CSIR Transportek, mars 2000 ; pneu 11.00-R22.5</t>
  </si>
  <si>
    <t>Citation du rapport par ses auteurs (De Beer, Fisher &amp; Kannemeyer, 2004). La désignation du pneu (11.00-R22.5) diffère de celle du TFE (11R22.5) : à vérifier sur ta copie du rapport.</t>
  </si>
  <si>
    <t>Cohérence interne</t>
  </si>
  <si>
    <t>Empreinte hétérogène attribuée à De Beer &amp; Fisher 2002 (§3.1) puis 2000 (§3.5, Fig. 3-6)</t>
  </si>
  <si>
    <t>Une seule source : celle dont tu as réellement numérisé la carte</t>
  </si>
  <si>
    <t>Les deux références n'ont ni les mêmes auteurs ni le même contenu (rapport CSIR de 2000 contre communication ICAP de 2002).</t>
  </si>
  <si>
    <t>(notice analytique)</t>
  </si>
  <si>
    <t>Nombre de références</t>
  </si>
  <si>
    <t>39</t>
  </si>
  <si>
    <t>La bibliographie imprimée compte 39 entrées.</t>
  </si>
  <si>
    <t>Référence manquante</t>
  </si>
  <si>
    <t>NF EN 1426 citée dans le texte (§1.1.2), absente de la bibliographie</t>
  </si>
  <si>
    <t>Ajouter NF EN 1426 avec son édition : 27/11/2024 (en vigueur) ou janvier 2018 (transpose EN 1426:2015, annulée) selon celle appliquée au laboratoire</t>
  </si>
  <si>
    <t>Norm'Info et boutique AFNOR. Même situation que NF EN 1427 : l'édition 2018 transpose la norme européenne de 2015.</t>
  </si>
  <si>
    <t>Géométrie du bogie A340 (1,98 m × 1,40 m ; 370 kN par roue) sans source</t>
  </si>
  <si>
    <t>Citer le document Airbus « A340-200/-300 Aircraft Characteristics – Airport and Maintenance Planning » (§2-9-0 et §7-2-0)</t>
  </si>
  <si>
    <t>Document public Airbus, révision du 01/12/2025.</t>
  </si>
  <si>
    <t>Précision</t>
  </si>
  <si>
    <t>« Alizé — Manuel d'utilisation Version 1.5 », éditeur ITECH</t>
  </si>
  <si>
    <t>Préciser Alizé-LCPC ou Alizé-Aéronautique (deux manuels v1.5 de 2016) ; auteur IFSTTAR, distributeur itech-soft</t>
  </si>
  <si>
    <t>Pages de titre des deux manuels sur alize-lcpc.com.</t>
  </si>
  <si>
    <t>Forme</t>
  </si>
  <si>
    <t>« Pouget, Si. (2011) … Ecole Nationale des Travaux Publics de l'Etat »</t>
  </si>
  <si>
    <t>Pouget, S. (2011). Thèse de doctorat, ENTPE – INSA Lyon, soutenue le 15/03/2011, 254 p.</t>
  </si>
  <si>
    <t>Initiale erronée (« Si. ») ; type de document et date d'après l'HDR d'Olard et la référence du Springer (Mater. Struct. 2012).</t>
  </si>
  <si>
    <t>« [Mécanique des matériaux] », sans établissement</t>
  </si>
  <si>
    <t>Thèse de doctorat, Université de Lyon (ENTPE), génie civil, soutenue le 16/11/2020, NNT 2020LYSET015</t>
  </si>
  <si>
    <t>Notice theses.fr ; DOI theses.fr 10.70675/25b28fa5z03aez4d18zb129z81ce43f5f378.</t>
  </si>
  <si>
    <t>« Matériaux routiers bitumineux » sans tome ni éditeur</t>
  </si>
  <si>
    <t>Tome 2 : « Constitution et propriétés thermomécaniques des mélanges », Hermès-Lavoisier, ISBN 978-2-7462-0960-2</t>
  </si>
  <si>
    <t>Notice Lavoisier. Vérifier sur ton exemplaire que les figures 1-1 et 1-5 viennent bien du tome 2.</t>
  </si>
  <si>
    <t>Sans identifiant</t>
  </si>
  <si>
    <t>Ajouter : LCPC-SETRA, 1994, 260 p., ISBN 2-7208-7010-2</t>
  </si>
  <si>
    <t>Notice du centre de documentation du Cerema (téléchargement libre).</t>
  </si>
  <si>
    <t>Petitjean, Fabre, Martin, Bezavada, Piau, Balay, Albin, Albin</t>
  </si>
  <si>
    <t>Le document liste ses auteurs par organisme (ADP, Airbus, STBA, LCPC, BOGEST) ; possible de citer « LCPC, Airbus &amp; STBA (2001) »</t>
  </si>
  <si>
    <t>Page d'auteurs du rapport STAC rapportPEP.pdf. Ta note de consigne parle de « Petitjean et al. (2002) » : c'est bien ce programme, mais le document cité dans le TFE date de 2001.</t>
  </si>
  <si>
    <t>Nature de la chaussée</t>
  </si>
  <si>
    <t>Fig. 1-27 et §3.6 : fissure de la piste 14R/32L rapprochée de ta simulation d'une chaussée souple</t>
  </si>
  <si>
    <t>Préciser que la piste 14R-32L est une chaussée rigide (dalles en béton) renforcée par une couche bitumineuse, circulée par un A319 pendant l'expérimentation</t>
  </si>
  <si>
    <t>Résumé du chapitre (PDF Springer). La comparaison avec ta structure souple reste qualitative : le dire dans le §3.6.</t>
  </si>
  <si>
    <t>Date</t>
  </si>
  <si>
    <t>2022</t>
  </si>
  <si>
    <t>2022 (volume) ; chapitre mis en ligne en 2021</t>
  </si>
  <si>
    <t>RILEM Bookseries vol. 27, p. 1861-1867 ; aucune correction obligatoire, simple précision.</t>
  </si>
  <si>
    <t>Pistes non couvertes — sujets cherchés sans source vérifiable</t>
  </si>
  <si>
    <t>Aucune métadonnée n'est inscrite ici : ce sont des sujets à reprendre, pas des références.</t>
  </si>
  <si>
    <t>Sujet</t>
  </si>
  <si>
    <t>Suite à donner</t>
  </si>
  <si>
    <t>Référence trouvée</t>
  </si>
  <si>
    <t>Mesures 3D publiées sous pneu de gros porteur</t>
  </si>
  <si>
    <t>Aucune cartographie mesurée sous pneu d'avion de ligne n'a été trouvée : seules existent les cartes calculées d'Airbus (HTPT) et des mesures de surface de contact sur quelques pneus d'avion (Wesołowski 2020).</t>
  </si>
  <si>
    <t>Demander au STAC si des mesures Michelin ou Airbus existent sous accord de confidentialité.</t>
  </si>
  <si>
    <t>À chercher</t>
  </si>
  <si>
    <t>Contact semi-analytique viscoélastique</t>
  </si>
  <si>
    <t>La référence repérée (Chen et al., J. Tribol. 2011, « Semi-Analytical Viscoelastic Contact Modeling of Polymer-Based Materials ») n'a pas pu être vérifiée (DOI non constaté) : elle n'est pas dans la base.</t>
  </si>
  <si>
    <t>Chercher avec l'équipe tribologie du LTDS les travaux de méthodes semi-analytiques en viscoélasticité.</t>
  </si>
  <si>
    <t>Effets tangentiels sous pneus d'avion (freinage, virage)</t>
  </si>
  <si>
    <t>Al-Qadi &amp; Yoo (AAPT 2007) sur les contraintes tangentielles n'a pas pu être vérifié en ligne (actes AAPT sans DOI).</t>
  </si>
  <si>
    <t>Obtenir l'article par la documentation ; chercher des mesures SIM tangentielles publiées.</t>
  </si>
  <si>
    <t>Critère de dimensionnement de surface pour chaussées aéronautiques</t>
  </si>
  <si>
    <t>Aucune méthode (STAC, FAA, OACI) n'intègre de critère de surface : c'est le verrou de ta thèse.</t>
  </si>
  <si>
    <t>Suivre les travaux STAC (Sadoun, Broutin) et les modèles top-down (NCHRP 1-42A).</t>
  </si>
  <si>
    <t>Myers, Roque &amp; Ruth (1998) — mécanismes de la fissuration descendante</t>
  </si>
  <si>
    <t>Article fondateur (AAPT 67) non vérifié en ligne ; la suite (Myers et al. 2001, TRR 1778) est dans la base.</t>
  </si>
  <si>
    <t>Obtenir l'article AAPT par la documentation si besoin.</t>
  </si>
  <si>
    <t>Petitjean et al. (2002) — communication sur le programme PEP (conférence FAA)</t>
  </si>
  <si>
    <t>L'ancienne base citait une communication de Petitjean, Fabre et Balay à la conférence FAA Airport Technology Transfer de 2002. Elle n'a pas été retrouvée sur une source primaire pendant cette refonte : elle n'est pas dans la base (le rapport PEP de 2001 y est).</t>
  </si>
  <si>
    <t>Demander le texte au STAC (M. Broutin) ou le chercher dans les actes de la conférence FAA 2002.</t>
  </si>
  <si>
    <t>Thèse de T. Jallet (en cours, ENTPE, dir. C. Sauzéat)</t>
  </si>
  <si>
    <t>« Comportement des interfaces entre couches de chaussées aéronautiques et routières » : thèse en préparation repérée sur theses.fr, pas encore citable.</t>
  </si>
  <si>
    <t>Contact direct au laboratoire.</t>
  </si>
  <si>
    <t>Une ligne par référence, repérée par son ID (les colonnes grises se remplissent seules, même si tu tries la feuille Références). Écris dans les colonnes jaunes ; un exemple de ligne remplie figure dans le Lisez-moi.</t>
  </si>
  <si>
    <t>Équations, valeurs, figures à retenir</t>
  </si>
  <si>
    <t>Chapitre de thèse visé</t>
  </si>
  <si>
    <t>À citer</t>
  </si>
  <si>
    <t>Paramètres du classeur</t>
  </si>
  <si>
    <t>Les cellules sur fond jaune sont modifiables ; tout le reste est calculé ou sert de liste de choix.</t>
  </si>
  <si>
    <t>Paramètre</t>
  </si>
  <si>
    <t>Rôle</t>
  </si>
  <si>
    <t>Oui / Non</t>
  </si>
  <si>
    <t>Statut demande</t>
  </si>
  <si>
    <t>Pertinence</t>
  </si>
  <si>
    <t>Premier jour</t>
  </si>
  <si>
    <t>Statut piste</t>
  </si>
  <si>
    <t>Date du jour</t>
  </si>
  <si>
    <t>Recalculée à chaque ouverture.</t>
  </si>
  <si>
    <t>Article de revue</t>
  </si>
  <si>
    <t>Premier jour du mois 1 du plan</t>
  </si>
  <si>
    <t>Le plan démarre en octobre 2026 : décaler ici si besoin.</t>
  </si>
  <si>
    <t>En cours</t>
  </si>
  <si>
    <t>Envoyée</t>
  </si>
  <si>
    <t>Communication (actes)</t>
  </si>
  <si>
    <t>1 à 6 ; 7 = plan terminé. Pilote les colonnes État et Score.</t>
  </si>
  <si>
    <t>Lu</t>
  </si>
  <si>
    <t>Reçue</t>
  </si>
  <si>
    <t>CHAP</t>
  </si>
  <si>
    <t>Chapitre d'ouvrage</t>
  </si>
  <si>
    <t>Trouvé</t>
  </si>
  <si>
    <t>Délai de relance d'une demande (jours)</t>
  </si>
  <si>
    <t>Utilisé par la feuille Demandes.</t>
  </si>
  <si>
    <t>Écarté</t>
  </si>
  <si>
    <t>Abandonnée</t>
  </si>
  <si>
    <t>Ouvrage / guide</t>
  </si>
  <si>
    <t>Abandonné</t>
  </si>
  <si>
    <t>Capacité de lecture (heures par mois)</t>
  </si>
  <si>
    <t>Estimation à ajuster : comparée à la charge de chaque mois (temps de lecture ci-dessous).</t>
  </si>
  <si>
    <t>Thèse</t>
  </si>
  <si>
    <t>Dossier d'export (RIS, calendrier, point mensuel)</t>
  </si>
  <si>
    <t>C:\Users\DAVID\Documents\lgcb\these\biblio</t>
  </si>
  <si>
    <t>Utilisé par les macros ExporterRIS, ExporterCalendrierICS et GenererPointMensuel.</t>
  </si>
  <si>
    <t>Rapport</t>
  </si>
  <si>
    <t>Dossier du vault Obsidian</t>
  </si>
  <si>
    <t>Les notes sont créées dans un sous-dossier « references-verifiees » (jamais écrasées).</t>
  </si>
  <si>
    <t>Norme</t>
  </si>
  <si>
    <t>Préfixe du proxy de la bibliothèque (optionnel)</t>
  </si>
  <si>
    <t>Si l'ENTPE fournit un lien proxy (ex. …/login?url=), il est ajouté devant les liens éditeur de la colonne Ouvrir.</t>
  </si>
  <si>
    <t>Logiciel / manuel</t>
  </si>
  <si>
    <t>Nom du fichier RIS exporté</t>
  </si>
  <si>
    <t>biblio_these_lucas.ris</t>
  </si>
  <si>
    <t>Utilisé par la macro ExporterRIS.</t>
  </si>
  <si>
    <t>Barème du score de priorité</t>
  </si>
  <si>
    <t>Poids de base selon la priorité.</t>
  </si>
  <si>
    <t>Points par mois d'avance</t>
  </si>
  <si>
    <t>Multiplié par (7 − mois) : le mois 1 passe devant le mois 6.</t>
  </si>
  <si>
    <t>Bonus si la lecture est en retard</t>
  </si>
  <si>
    <t>Le mois prévu est dépassé et la référence n'est pas lue.</t>
  </si>
  <si>
    <t>Bonus référence du TFE</t>
  </si>
  <si>
    <t>Déjà citée : à maîtriser en priorité.</t>
  </si>
  <si>
    <t>Bonus vérification incomplète</t>
  </si>
  <si>
    <t>À finir de vérifier avant de la citer.</t>
  </si>
  <si>
    <t>Bonus PDF libre non récupéré</t>
  </si>
  <si>
    <t>Gain rapide : un clic suffit.</t>
  </si>
  <si>
    <t>Temps de lecture estimé (heures)</t>
  </si>
  <si>
    <t>Lecture complète et notes.</t>
  </si>
  <si>
    <t>Lecture des parties utiles.</t>
  </si>
  <si>
    <t>Survol ciblé (résumé, figures, conclusion).</t>
  </si>
  <si>
    <t>Fichier PDF</t>
  </si>
  <si>
    <t>BIB-001_DeBeer-etal_2012_Tire-road-contact-stresses-pavement-design.pdf</t>
  </si>
  <si>
    <t>BIB-002_DeBeer-Fisher_2013_Stress-In-Motion-SIM-system.pdf</t>
  </si>
  <si>
    <t>BIB-003_Tielking_1989_Aircraft-tire-pavement-pressure-distribution.pdf</t>
  </si>
  <si>
    <t>BIB-004_Sadoun-etal_2022_Top-down-cracking-airfield-pavements.pdf</t>
  </si>
  <si>
    <t>BIB-005_Airbus_2010_HTPT-final-report.pdf</t>
  </si>
  <si>
    <t>BIB-006_Petitjean-etal_2001_A380-pavement-experimental-programme.pdf</t>
  </si>
  <si>
    <t>BIB-007_STAC_2011_High-tire-pressure-test-rapport-etude.pdf</t>
  </si>
  <si>
    <t>BIB-009_DeBeer-etal_2004_Application-SIM-pavement-design.pdf</t>
  </si>
  <si>
    <t>BIB-010_Gong-etal_2024_Review-tire-pavement-contact.pdf</t>
  </si>
  <si>
    <t>BIB-011_Hansen-etal_1989_Truck-tire-contact-pressure-super-single.pdf</t>
  </si>
  <si>
    <t>BIB-012_Tielking-Roberts_1987_Tire-contact-pressure-pavement-strain.pdf</t>
  </si>
  <si>
    <t>BIB-013_Guan-etal_2023_Tri-axial-contact-stress-sensor-array.pdf</t>
  </si>
  <si>
    <t>BIB-014_Luo-etal_2025_Simplified-tire-pavement-contact-model.pdf</t>
  </si>
  <si>
    <t>BIB-015_Song-etal_2025_Normal-stress-measurement-tire-road.pdf</t>
  </si>
  <si>
    <t>BIB-016_Tielking_1989_Aircraft-tire-pavement-pressure-SAE-892351.pdf</t>
  </si>
  <si>
    <t>BIB-017_Wang-etal_2021_Dynamic-response-asphalt-accelerated-loading.pdf</t>
  </si>
  <si>
    <t>BIB-018_Wesolowski-etal_2020_Aircraft-tire-contact-surface.pdf</t>
  </si>
  <si>
    <t>BIB-123</t>
  </si>
  <si>
    <t>kausel1981stiffness</t>
  </si>
  <si>
    <t>Stiffness matrices for layered soils</t>
  </si>
  <si>
    <t>Kausel, E.; Roësset, J. M.</t>
  </si>
  <si>
    <t>Bulletin of the Seismological Society of America</t>
  </si>
  <si>
    <t>71</t>
  </si>
  <si>
    <t>1743-1761</t>
  </si>
  <si>
    <t>10.1785/BSSA0710061743</t>
  </si>
  <si>
    <t>https://doi.org/10.1785/BSSA0710061743</t>
  </si>
  <si>
    <t>GeoScienceWorld (SSA) : accès par l'abonnement de l'école ou demande à l'auteur.</t>
  </si>
  <si>
    <t>Page éditeur (DOI) + recherche du 25/09/2026</t>
  </si>
  <si>
    <t>25/09/2026</t>
  </si>
  <si>
    <t>Brique centrale de chausspec : matrices de rigidité de couche P-SV (4x4) et SH (2x2) en exponentielles décroissantes, assemblage global, demi-espace. Refaire la dérivation et la condensation aux interfaces.</t>
  </si>
  <si>
    <t>Thomson (1950) ; Haskell (1953) ; Kausel &amp; Peek (1982)</t>
  </si>
  <si>
    <t>https://scholar.google.com/scholar?q=%22Stiffness+matrices+for+layered+soils%22</t>
  </si>
  <si>
    <t>BIB-124</t>
  </si>
  <si>
    <t>burmister1943runways</t>
  </si>
  <si>
    <t>The theory of stresses and displacements in layered systems and applications to the design of airport runways</t>
  </si>
  <si>
    <t>Proceedings of the Highway Research Board</t>
  </si>
  <si>
    <t>https://scholar.google.com/scholar?q=%22The+theory+of+stresses+and+displacements+in+layered+systems+and+applications+to+the+design+of+airport+runways%22</t>
  </si>
  <si>
    <t>Proceedings HRB 1943 : bibliothèque (TRB) ; pages à relever.</t>
  </si>
  <si>
    <t>Cité par HAL tel-02982181 (recherche du 25/09/2026) ; pages non vérifiées</t>
  </si>
  <si>
    <t>Acte fondateur des multicouches, écrit pour les pistes d'aéroport. Complète Burmister (1945) déjà en base.</t>
  </si>
  <si>
    <t>BIB-125</t>
  </si>
  <si>
    <t>thomson1950transmission</t>
  </si>
  <si>
    <t>Transmission of elastic waves through a stratified solid medium</t>
  </si>
  <si>
    <t>Thomson, W. T.</t>
  </si>
  <si>
    <t>89-93</t>
  </si>
  <si>
    <t>10.1063/1.1699629</t>
  </si>
  <si>
    <t>https://doi.org/10.1063/1.1699629</t>
  </si>
  <si>
    <t>AIP Publishing : accès par l'abonnement de l'école.</t>
  </si>
  <si>
    <t>Classique cité de mémoire : DOI à contrôler</t>
  </si>
  <si>
    <t>Méthode des matrices de transfert. Son instabilité (exponentielles croissantes) justifie la formulation en rigidité de chausspec.</t>
  </si>
  <si>
    <t>Haskell (1953) ; Kausel &amp; Roësset (1981)</t>
  </si>
  <si>
    <t>https://scholar.google.com/scholar?q=%22Transmission+of+elastic+waves+through+a+stratified+solid+medium%22</t>
  </si>
  <si>
    <t>BIB-126</t>
  </si>
  <si>
    <t>haskell1953dispersion</t>
  </si>
  <si>
    <t>The dispersion of surface waves on multilayered media</t>
  </si>
  <si>
    <t>Haskell, N. A.</t>
  </si>
  <si>
    <t>43</t>
  </si>
  <si>
    <t>17-34</t>
  </si>
  <si>
    <t>10.1785/BSSA0430010017</t>
  </si>
  <si>
    <t>https://doi.org/10.1785/BSSA0430010017</t>
  </si>
  <si>
    <t>GeoScienceWorld (SSA) : accès par l'abonnement de l'école.</t>
  </si>
  <si>
    <t>Seconde moitié de la méthode Thomson-Haskell ; à lire pour comprendre pourquoi on ne propage pas les matrices de transfert.</t>
  </si>
  <si>
    <t>Thomson (1950)</t>
  </si>
  <si>
    <t>https://scholar.google.com/scholar?q=%22The+dispersion+of+surface+waves+on+multilayered+media%22</t>
  </si>
  <si>
    <t>BIB-127</t>
  </si>
  <si>
    <t>kausel1982peek</t>
  </si>
  <si>
    <t>Dynamic loads in the interior of a layered stratum: an explicit solution</t>
  </si>
  <si>
    <t>Kausel, E.; Peek, R.</t>
  </si>
  <si>
    <t>72</t>
  </si>
  <si>
    <t>1459-1481</t>
  </si>
  <si>
    <t>10.1785/BSSA0720051459</t>
  </si>
  <si>
    <t>https://doi.org/10.1785/BSSA0720051459</t>
  </si>
  <si>
    <t>Forme explicite des solutions pour charges internes : contrôle croisé du noyau multicouche.</t>
  </si>
  <si>
    <t>Kausel &amp; Roësset (1981)</t>
  </si>
  <si>
    <t>https://scholar.google.com/scholar?q=%22Dynamic+loads+in+the+interior+of+a+layered+stratum%3A+an+explicit+solution%22</t>
  </si>
  <si>
    <t>BIB-128</t>
  </si>
  <si>
    <t>kausel2006fundamental</t>
  </si>
  <si>
    <t>Fundamental solutions in elastodynamics: a compendium</t>
  </si>
  <si>
    <t>Kausel, E.</t>
  </si>
  <si>
    <t>https://scholar.google.com/scholar?q=%22Fundamental+solutions+in+elastodynamics%3A+a+compendium%22</t>
  </si>
  <si>
    <t>Bibliothèque ENTPE ou Cambridge Core.</t>
  </si>
  <si>
    <t>Classique cité de mémoire : DOI et ISBN à relever</t>
  </si>
  <si>
    <t>Solutions fondamentales Fourier / Hankel, décomposition P-SV / SH : pour vérifier les noyaux de chausspec.</t>
  </si>
  <si>
    <t>BIB-129</t>
  </si>
  <si>
    <t>timoshenko1970elasticity</t>
  </si>
  <si>
    <t>Theory of elasticity (3rd edition)</t>
  </si>
  <si>
    <t>Timoshenko, S. P.; Goodier, J. N.</t>
  </si>
  <si>
    <t>McGraw-Hill</t>
  </si>
  <si>
    <t>https://scholar.google.com/scholar?q=%22Theory+of+elasticity+%283rd+edition%29%22</t>
  </si>
  <si>
    <t>Bibliothèque ENTPE.</t>
  </si>
  <si>
    <t>Classique cité de mémoire : édition à contrôler</t>
  </si>
  <si>
    <t>Élasticité 3D, fonctions de Love, principe de Saint-Venant (justifie l'amortissement de la perturbation de texture avec la profondeur).</t>
  </si>
  <si>
    <t>Johnson (1985)</t>
  </si>
  <si>
    <t>BIB-130</t>
  </si>
  <si>
    <t>huang2004pavement</t>
  </si>
  <si>
    <t>Pavement analysis and design (2nd edition)</t>
  </si>
  <si>
    <t>Huang, Y. H.</t>
  </si>
  <si>
    <t>Pearson Prentice Hall</t>
  </si>
  <si>
    <t>https://scholar.google.com/scholar?q=%22Pavement+analysis+and+design+%282nd+edition%29%22</t>
  </si>
  <si>
    <t>Cité dans la littérature (recherche du 25/09/2026) ; ISBN à relever</t>
  </si>
  <si>
    <t>Manuel ingénieur des multicouches (Burmister, KENLAYER) pour relier les sorties de chausspec aux grandeurs de dimensionnement.</t>
  </si>
  <si>
    <t>BIB-131</t>
  </si>
  <si>
    <t>nakhaei_pymastic</t>
  </si>
  <si>
    <t>PyMastic — Python multilayer elastic pavement analysis (code source)</t>
  </si>
  <si>
    <t>Nakhaei, M.</t>
  </si>
  <si>
    <t>GitHub</t>
  </si>
  <si>
    <t>https://github.com/Mostafa-Nakhaei/PyMastic</t>
  </si>
  <si>
    <t>Dépôt GitHub public (code).</t>
  </si>
  <si>
    <t>Dépôt GitHub consulté le 25/09/2026 ; année de version à relever</t>
  </si>
  <si>
    <t>Code de validation V2 de chausspec (multicouche élastique, charge circulaire, interfaces collées ou non, contrôle Hankel).</t>
  </si>
  <si>
    <t>Khazanovich &amp; Wang (2007)</t>
  </si>
  <si>
    <t>https://scholar.google.com/scholar?q=%22PyMastic+%E2%80%94+Python+multilayer+elastic+pavement+analysis+%28code+source%29%22</t>
  </si>
  <si>
    <t>BIB-132</t>
  </si>
  <si>
    <t>muki1956tangential</t>
  </si>
  <si>
    <t>Three dimensional problem of elasticity for a semi-infinite solid with a tangential load on its surface</t>
  </si>
  <si>
    <t>Muki, R.</t>
  </si>
  <si>
    <t>Transactions of the Japan Society of Mechanical Engineers</t>
  </si>
  <si>
    <t>119</t>
  </si>
  <si>
    <t>468-474</t>
  </si>
  <si>
    <t>https://scholar.google.com/scholar?q=%22Three+dimensional+problem+of+elasticity+for+a+semi-infinite+solid+with+a+tangential+load+on+its+surface%22</t>
  </si>
  <si>
    <t>J-STAGE (JSME), en japonais : texte à localiser.</t>
  </si>
  <si>
    <t>Cité dans la littérature (recherche du 25/09/2026)</t>
  </si>
  <si>
    <t>Solution de référence pour les efforts tangentiels (Hankel d'ordre 1) : valide la réponse au frottement (T9).</t>
  </si>
  <si>
    <t>BIB-133</t>
  </si>
  <si>
    <t>khazanovich2007mnlayer</t>
  </si>
  <si>
    <t>MnLayer: high-performance layered elastic analysis program</t>
  </si>
  <si>
    <t>Khazanovich, L.; Wang, Q.</t>
  </si>
  <si>
    <t>2037</t>
  </si>
  <si>
    <t>63-75</t>
  </si>
  <si>
    <t>10.3141/2037-06</t>
  </si>
  <si>
    <t>https://doi.org/10.3141/2037-06</t>
  </si>
  <si>
    <t>SAGE (TRR) : accès par l'abonnement de l'école.</t>
  </si>
  <si>
    <t>Page éditeur (SAGE) + résumé</t>
  </si>
  <si>
    <t>Évaluation précise et rapide de la transformée de Hankel inverse : référence pour le solveur axisymétrique de chausspec.</t>
  </si>
  <si>
    <t>PyMastic ; Maina &amp; Matsui (2004)</t>
  </si>
  <si>
    <t>https://scholar.google.com/scholar?q=%22MnLayer%3A+high-performance+layered+elastic+analysis+program%22</t>
  </si>
  <si>
    <t>BIB-134</t>
  </si>
  <si>
    <t>chabot2006isap</t>
  </si>
  <si>
    <t>Visco-elastic modelling for asphalt pavements – software ViscoRoute</t>
  </si>
  <si>
    <t>Chabot, A.; Tamagny, P.; Duhamel, D.; Poché, D.</t>
  </si>
  <si>
    <t>10th International Conference on Asphalt Pavements (ISAP), Québec</t>
  </si>
  <si>
    <t>5-14</t>
  </si>
  <si>
    <t>https://scholar.google.com/scholar?q=%22Visco-elastic+modelling+for+asphalt+pavements+%E2%80%93+software+ViscoRoute%22</t>
  </si>
  <si>
    <t>Actes ISAP 2006 ; version sur Academia / HAL à chercher.</t>
  </si>
  <si>
    <t>Academia + références croisées (recherche du 25/09/2026)</t>
  </si>
  <si>
    <t>Comparaisons analytique / EF / manège de fatigue pour ViscoRoute ; discute l'équivalence temps-fréquence de la méthode française.</t>
  </si>
  <si>
    <t>Duhamel et al. (2005) ; Chabot et al. (2010)</t>
  </si>
  <si>
    <t>BIB-135</t>
  </si>
  <si>
    <t>zhao2014viscoelastic</t>
  </si>
  <si>
    <t>Viscoelastic response solutions of multilayered asphalt pavements</t>
  </si>
  <si>
    <t>Zhao, Y.; Ni, Y.; Wang, L.; Zeng, W.</t>
  </si>
  <si>
    <t>140</t>
  </si>
  <si>
    <t>04014080</t>
  </si>
  <si>
    <t>https://scholar.google.com/scholar?q=%22Viscoelastic+response+solutions+of+multilayered+asphalt+pavements%22</t>
  </si>
  <si>
    <t>ASCE Library : accès par l'abonnement de l'école.</t>
  </si>
  <si>
    <t>Cité dans la littérature (recherche du 25/09/2026) ; DOI à relever</t>
  </si>
  <si>
    <t>Cas tests viscoélastiques multicouches récents pour comparer chausspec.</t>
  </si>
  <si>
    <t>BIB-136</t>
  </si>
  <si>
    <t>hughes2000fem</t>
  </si>
  <si>
    <t>The finite element method: linear static and dynamic finite element analysis</t>
  </si>
  <si>
    <t>Hughes, T. J. R.</t>
  </si>
  <si>
    <t>Dover Publications</t>
  </si>
  <si>
    <t>https://scholar.google.com/scholar?q=%22The+finite+element+method%3A+linear+static+and+dynamic+finite+element+analysis%22</t>
  </si>
  <si>
    <t>Bibliothèque ENTPE (édition Dover peu chère).</t>
  </si>
  <si>
    <t>Classique cité de mémoire : ISBN à relever</t>
  </si>
  <si>
    <t>Éléments Q4, intégration, déformation plane : base du solveur EF pixel (fe2d.py). Recoder un Q4 avant les modèles hétérogènes.</t>
  </si>
  <si>
    <t>BIB-137</t>
  </si>
  <si>
    <t>bornert2001homogeneisation</t>
  </si>
  <si>
    <t>Homogénéisation en mécanique des matériaux (2 volumes)</t>
  </si>
  <si>
    <t>Bornert, M.; Bretheau, T.; Gilormini, P.</t>
  </si>
  <si>
    <t>Hermès Science</t>
  </si>
  <si>
    <t>https://scholar.google.com/scholar?q=%22Homog%C3%A9n%C3%A9isation+en+m%C3%A9canique+des+mat%C3%A9riaux+%282+volumes%29%22</t>
  </si>
  <si>
    <t>Classique cité de mémoire : éditeur et ISBN à contrôler</t>
  </si>
  <si>
    <t>Traité francophone : VER, bornes, homogénéisation périodique. Justifie la séparation d'échelles texture / pneu et l'homogénéisation granulats-mortier.</t>
  </si>
  <si>
    <t>BIB-138</t>
  </si>
  <si>
    <t>moulinec1998fft</t>
  </si>
  <si>
    <t>A numerical method for computing the overall response of nonlinear composites with complex microstructure</t>
  </si>
  <si>
    <t>Moulinec, H.; Suquet, P.</t>
  </si>
  <si>
    <t>Computer Methods in Applied Mechanics and Engineering</t>
  </si>
  <si>
    <t>69-94</t>
  </si>
  <si>
    <t>10.1016/S0045-7825(97)00218-1</t>
  </si>
  <si>
    <t>https://doi.org/10.1016/S0045-7825(97)00218-1</t>
  </si>
  <si>
    <t>Elsevier (ScienceDirect) : accès par l'abonnement de l'école.</t>
  </si>
  <si>
    <t>Homogénéisation par FFT sur images : alternative au solveur EF pixel pour la mésostructure.</t>
  </si>
  <si>
    <t>Bornert et al. (2001)</t>
  </si>
  <si>
    <t>https://scholar.google.com/scholar?q=%22A+numerical+method+for+computing+the+overall+response+of+nonlinear+composites+with+complex+microstructure%22</t>
  </si>
  <si>
    <t>BIB-139</t>
  </si>
  <si>
    <t>lee1955correspondence</t>
  </si>
  <si>
    <t>Stress analysis in visco-elastic bodies</t>
  </si>
  <si>
    <t>Lee, E. H.</t>
  </si>
  <si>
    <t>Quarterly of Applied Mathematics</t>
  </si>
  <si>
    <t>183-190</t>
  </si>
  <si>
    <t>https://scholar.google.com/scholar?q=%22Stress+analysis+in+visco-elastic+bodies%22</t>
  </si>
  <si>
    <t>AMS (Quarterly of Applied Mathematics).</t>
  </si>
  <si>
    <t>Classique cité de mémoire : DOI à relever</t>
  </si>
  <si>
    <t>Principe de correspondance : justifie E -&gt; E*(omega) dans les régimes harmonique et roulant (omega = -k1 V).</t>
  </si>
  <si>
    <t>Christensen (1982) ; Salençon (2009)</t>
  </si>
  <si>
    <t>BIB-140</t>
  </si>
  <si>
    <t>christensen1982viscoelasticity</t>
  </si>
  <si>
    <t>Theory of viscoelasticity: an introduction (2nd edition)</t>
  </si>
  <si>
    <t>Christensen, R. M.</t>
  </si>
  <si>
    <t>Academic Press</t>
  </si>
  <si>
    <t>https://scholar.google.com/scholar?q=%22Theory+of+viscoelasticity%3A+an+introduction+%282nd+edition%29%22</t>
  </si>
  <si>
    <t>Bibliothèque ENTPE (réédition Dover).</t>
  </si>
  <si>
    <t>Classique cité de mémoire</t>
  </si>
  <si>
    <t>Intégrale d'hérédité, modules complexes, correspondance ; base de la méthode héréditaire (commutation à Poisson constant).</t>
  </si>
  <si>
    <t>BIB-141</t>
  </si>
  <si>
    <t>salencon2009viscoelasticite</t>
  </si>
  <si>
    <t>Viscoélasticité pour le calcul des structures</t>
  </si>
  <si>
    <t>Salençon, J.</t>
  </si>
  <si>
    <t>Presses des Ponts / Éditions de l'École polytechnique</t>
  </si>
  <si>
    <t>https://scholar.google.com/scholar?q=%22Visco%C3%A9lasticit%C3%A9+pour+le+calcul+des+structures%22</t>
  </si>
  <si>
    <t>Classique cité de mémoire : éditeur à contrôler</t>
  </si>
  <si>
    <t>Version française rigoureuse : refaire la démonstration « à Poisson constant, solution VE = solution élastique unitaire convoluée par la complaisance ».</t>
  </si>
  <si>
    <t>BIB-142</t>
  </si>
  <si>
    <t>polonsky1999cg</t>
  </si>
  <si>
    <t>A numerical method for solving rough contact problems based on the multi-level multi-summation and conjugate gradient techniques</t>
  </si>
  <si>
    <t>Polonsky, I. A.; Keer, L. M.</t>
  </si>
  <si>
    <t>231</t>
  </si>
  <si>
    <t>206-219</t>
  </si>
  <si>
    <t>10.1016/S0043-1648(99)00113-1</t>
  </si>
  <si>
    <t>https://doi.org/10.1016/S0043-1648(99)00113-1</t>
  </si>
  <si>
    <t>Page éditeur + Northwestern Scholars</t>
  </si>
  <si>
    <t>Algorithme du solveur de contact de chausspec (gradient conjugué projeté, p &gt;= 0, g &gt;= 0, équilibre). À recoder depuis l'article.</t>
  </si>
  <si>
    <t>Liu et al. (2000) ; Polonsky &amp; Keer (2000)</t>
  </si>
  <si>
    <t>https://scholar.google.com/scholar?q=%22A+numerical+method+for+solving+rough+contact+problems+based+on+the+multi-level+multi-summation+and+conjugate+gradient+techniques%22</t>
  </si>
  <si>
    <t>BIB-143</t>
  </si>
  <si>
    <t>polonsky2000layered</t>
  </si>
  <si>
    <t>A fast and accurate method for numerical analysis of elastic layered contacts</t>
  </si>
  <si>
    <t>122</t>
  </si>
  <si>
    <t>30-35</t>
  </si>
  <si>
    <t>10.1115/1.555323</t>
  </si>
  <si>
    <t>https://doi.org/10.1115/1.555323</t>
  </si>
  <si>
    <t>ASME Digital Collection : accès par l'abonnement de l'école.</t>
  </si>
  <si>
    <t>Page éditeur (ASME)</t>
  </si>
  <si>
    <t>Contact FFT sur corps en couches avec correction de périodicité : pont entre le contact et les noyaux multicouches (souplesse de la bande de roulement).</t>
  </si>
  <si>
    <t>Polonsky &amp; Keer (1999)</t>
  </si>
  <si>
    <t>https://scholar.google.com/scholar?q=%22A+fast+and+accurate+method+for+numerical+analysis+of+elastic+layered+contacts%22</t>
  </si>
  <si>
    <t>BIB-144</t>
  </si>
  <si>
    <t>westergaard1939bearing</t>
  </si>
  <si>
    <t>Bearing pressures and cracks</t>
  </si>
  <si>
    <t>Westergaard, H. M.</t>
  </si>
  <si>
    <t>A49-A53</t>
  </si>
  <si>
    <t>10.1115/1.4008919</t>
  </si>
  <si>
    <t>https://doi.org/10.1115/1.4008919</t>
  </si>
  <si>
    <t>ASME Digital Collection. Vol. 6 du J. Appl. Mech. = Trans. ASME vol. 61.</t>
  </si>
  <si>
    <t>Page éditeur + fracturemechanics.org</t>
  </si>
  <si>
    <t>Contact exact d'une surface ondulée (aire partielle, p* = pi E* Delta / lambda) : validation analytique n° 1 du solveur FFT.</t>
  </si>
  <si>
    <t>Johnson (1985) ; Johnson et al. (1985)</t>
  </si>
  <si>
    <t>https://scholar.google.com/scholar?q=%22Bearing+pressures+and+cracks%22</t>
  </si>
  <si>
    <t>BIB-145</t>
  </si>
  <si>
    <t>johnson1985wavy</t>
  </si>
  <si>
    <t>The contact of elastic regular wavy surfaces</t>
  </si>
  <si>
    <t>Johnson, K. L.; Greenwood, J. A.; Higginson, J. G.</t>
  </si>
  <si>
    <t>International Journal of Mechanical Sciences</t>
  </si>
  <si>
    <t>383-396</t>
  </si>
  <si>
    <t>https://scholar.google.com/scholar?q=%22The+contact+of+elastic+regular+wavy+surfaces%22</t>
  </si>
  <si>
    <t>Elsevier (ScienceDirect).</t>
  </si>
  <si>
    <t>Ondulations biaxiales 3D : validation n° 2 du solveur de contact.</t>
  </si>
  <si>
    <t>Westergaard (1939)</t>
  </si>
  <si>
    <t>BIB-146</t>
  </si>
  <si>
    <t>greenwood1966contact</t>
  </si>
  <si>
    <t>Contact of nominally flat surfaces</t>
  </si>
  <si>
    <t>Greenwood, J. A.; Williamson, J. B. P.</t>
  </si>
  <si>
    <t>Proceedings of the Royal Society of London. Series A</t>
  </si>
  <si>
    <t>295</t>
  </si>
  <si>
    <t>1442</t>
  </si>
  <si>
    <t>300-319</t>
  </si>
  <si>
    <t>10.1098/rspa.1966.0242</t>
  </si>
  <si>
    <t>https://doi.org/10.1098/rspa.1966.0242</t>
  </si>
  <si>
    <t>Royal Society Publishing.</t>
  </si>
  <si>
    <t>Page éditeur + Semantic Scholar</t>
  </si>
  <si>
    <t>Modèle statistique d'aspérités : aire réelle proportionnelle à la charge. À confronter à Persson et au BEM (T2).</t>
  </si>
  <si>
    <t>Persson (2001)</t>
  </si>
  <si>
    <t>https://scholar.google.com/scholar?q=%22Contact+of+nominally+flat+surfaces%22</t>
  </si>
  <si>
    <t>BIB-147</t>
  </si>
  <si>
    <t>persson2001rubber</t>
  </si>
  <si>
    <t>Theory of rubber friction and contact mechanics</t>
  </si>
  <si>
    <t>Persson, B. N. J.</t>
  </si>
  <si>
    <t>The Journal of Chemical Physics</t>
  </si>
  <si>
    <t>115</t>
  </si>
  <si>
    <t>3840-3861</t>
  </si>
  <si>
    <t>10.1063/1.1388626</t>
  </si>
  <si>
    <t>https://doi.org/10.1063/1.1388626</t>
  </si>
  <si>
    <t>AIP Publishing.</t>
  </si>
  <si>
    <t>Théorie de Persson : aire de contact A(zeta)/A0 par diffusion de la pression avec le grossissement ; référence du contrôle T2.</t>
  </si>
  <si>
    <t>Persson (2006)</t>
  </si>
  <si>
    <t>https://scholar.google.com/scholar?q=%22Theory+of+rubber+friction+and+contact+mechanics%22</t>
  </si>
  <si>
    <t>BIB-148</t>
  </si>
  <si>
    <t>persson2006surfsci</t>
  </si>
  <si>
    <t>Contact mechanics for randomly rough surfaces</t>
  </si>
  <si>
    <t>Surface Science Reports</t>
  </si>
  <si>
    <t>61</t>
  </si>
  <si>
    <t>201-227</t>
  </si>
  <si>
    <t>10.1016/j.surfrep.2006.04.001</t>
  </si>
  <si>
    <t>https://doi.org/10.1016/j.surfrep.2006.04.001</t>
  </si>
  <si>
    <t>Version auteur libre sur arXiv (cond-mat/0603807).</t>
  </si>
  <si>
    <t>NASA ADS + arXiv</t>
  </si>
  <si>
    <t>La revue la plus lisible sur le contact rugueux (élastique, élastoplastique, adhésif). À lire avant Persson (2001).</t>
  </si>
  <si>
    <t>Persson (2001) ; Müser et al. (2017)</t>
  </si>
  <si>
    <t>https://scholar.google.com/scholar?q=%22Contact+mechanics+for+randomly+rough+surfaces%22</t>
  </si>
  <si>
    <t>BIB-149</t>
  </si>
  <si>
    <t>persson2005roughness</t>
  </si>
  <si>
    <t>On the nature of surface roughness with application to contact mechanics, sealing, rubber friction and adhesion</t>
  </si>
  <si>
    <t>Persson, B. N. J.; Albohr, O.; Tartaglino, U.; Volokitin, A. I.; Tosatti, E.</t>
  </si>
  <si>
    <t>Journal of Physics: Condensed Matter</t>
  </si>
  <si>
    <t>R1-R62</t>
  </si>
  <si>
    <t>10.1088/0953-8984/17/1/R01</t>
  </si>
  <si>
    <t>https://doi.org/10.1088/0953-8984/17/1/R01</t>
  </si>
  <si>
    <t>IOP Publishing ; versions arXiv disponibles.</t>
  </si>
  <si>
    <t>Surfaces auto-affines (Hurst, coupures q0, q1), exemples de chaussées : base de la génération de textures.</t>
  </si>
  <si>
    <t>Jacobs et al. (2017)</t>
  </si>
  <si>
    <t>https://scholar.google.com/scholar?q=%22On+the+nature+of+surface+roughness+with+application+to+contact+mechanics%2C+sealing%2C+rubber+friction+and+adhesion%22</t>
  </si>
  <si>
    <t>BIB-150</t>
  </si>
  <si>
    <t>jacobs2017psd</t>
  </si>
  <si>
    <t>Quantitative characterization of surface topography using spectral analysis</t>
  </si>
  <si>
    <t>Jacobs, T. D. B.; Junge, T.; Pastewka, L.</t>
  </si>
  <si>
    <t>Surface Topography: Metrology and Properties</t>
  </si>
  <si>
    <t>013001</t>
  </si>
  <si>
    <t>10.1088/2051-672X/aa51f8</t>
  </si>
  <si>
    <t>https://doi.org/10.1088/2051-672X/aa51f8</t>
  </si>
  <si>
    <t>Accès libre chez IOP.</t>
  </si>
  <si>
    <t>Page éditeur + ResearchGate</t>
  </si>
  <si>
    <t>Texte de base de la génération de surfaces : DSP 1D/2D, normalisations, fenêtrage. La boucle DSP -&gt; surface -&gt; DSP de chausspec doit coïncider avec ses formules.</t>
  </si>
  <si>
    <t>Persson et al. (2005)</t>
  </si>
  <si>
    <t>https://scholar.google.com/scholar?q=%22Quantitative+characterization+of+surface+topography+using+spectral+analysis%22</t>
  </si>
  <si>
    <t>BIB-151</t>
  </si>
  <si>
    <t>hu1992tonder</t>
  </si>
  <si>
    <t>Simulation of 3-D random rough surface by 2-D digital filter and Fourier analysis</t>
  </si>
  <si>
    <t>Hu, Y. Z.; Tonder, K.</t>
  </si>
  <si>
    <t>International Journal of Machine Tools and Manufacture</t>
  </si>
  <si>
    <t>32</t>
  </si>
  <si>
    <t>83-90</t>
  </si>
  <si>
    <t>https://scholar.google.com/scholar?q=%22Simulation+of+3-D+random+rough+surface+by+2-D+digital+filter+and+Fourier+analysis%22</t>
  </si>
  <si>
    <t>Surfaces non gaussiennes (asymétrie, kurtosis) : la brique « texture positive / négative ».</t>
  </si>
  <si>
    <t>BIB-152</t>
  </si>
  <si>
    <t>kluppel2000rubber</t>
  </si>
  <si>
    <t>Rubber friction on self-affine road tracks</t>
  </si>
  <si>
    <t>Klüppel, M.; Heinrich, G.</t>
  </si>
  <si>
    <t>Rubber Chemistry and Technology</t>
  </si>
  <si>
    <t>73</t>
  </si>
  <si>
    <t>578-606</t>
  </si>
  <si>
    <t>https://scholar.google.com/scholar?q=%22Rubber+friction+on+self-affine+road+tracks%22</t>
  </si>
  <si>
    <t>Rubber Chemistry and Technology.</t>
  </si>
  <si>
    <t>Description auto-affine des chaussées appliquée au frottement du caoutchouc.</t>
  </si>
  <si>
    <t>BIB-153</t>
  </si>
  <si>
    <t>yastrebov2013numerical</t>
  </si>
  <si>
    <t>Numerical methods in contact mechanics</t>
  </si>
  <si>
    <t>Yastrebov, V. A.</t>
  </si>
  <si>
    <t>Wiley-ISTE</t>
  </si>
  <si>
    <t>10.1002/9781118647974</t>
  </si>
  <si>
    <t>ISBN 978-1-848-21519-1</t>
  </si>
  <si>
    <t>https://doi.org/10.1002/9781118647974</t>
  </si>
  <si>
    <t>Wiley ; bibliothèque ENTPE. Auteur au Centre des Matériaux (Mines Paris).</t>
  </si>
  <si>
    <t>Page éditeur (Wiley)</t>
  </si>
  <si>
    <t>Conditions de Signorini et de Coulomb, algorithmes prêts à implémenter : cadre formel du solveur de contact.</t>
  </si>
  <si>
    <t>Johnson (1985) ; Wriggers (2006)</t>
  </si>
  <si>
    <t>https://scholar.google.com/scholar?q=%22Numerical+methods+in+contact+mechanics%22</t>
  </si>
  <si>
    <t>BIB-154</t>
  </si>
  <si>
    <t>barber2018contact</t>
  </si>
  <si>
    <t>Barber, J. R.</t>
  </si>
  <si>
    <t>Springer (Solid Mechanics and its Applications, 250)</t>
  </si>
  <si>
    <t>SpringerLink via l'école.</t>
  </si>
  <si>
    <t>Plus pédagogique que Johnson sur les problèmes périodiques, rugueux et le glissement partiel.</t>
  </si>
  <si>
    <t>BIB-155</t>
  </si>
  <si>
    <t>wriggers2006computational</t>
  </si>
  <si>
    <t>Computational contact mechanics (2nd edition)</t>
  </si>
  <si>
    <t>Wriggers, P.</t>
  </si>
  <si>
    <t>10.1007/978-3-540-32609-0</t>
  </si>
  <si>
    <t>https://doi.org/10.1007/978-3-540-32609-0</t>
  </si>
  <si>
    <t>Contact par éléments finis (principes de COMSOL) ; utile pour comparer au BEM spectral.</t>
  </si>
  <si>
    <t>https://scholar.google.com/scholar?q=%22Computational+contact+mechanics+%282nd+edition%29%22</t>
  </si>
  <si>
    <t>BIB-156</t>
  </si>
  <si>
    <t>muser2017challenge</t>
  </si>
  <si>
    <t>Meeting the contact-mechanics challenge</t>
  </si>
  <si>
    <t>Müser, M. H.; Dapp, W. B.; Bugnicourt, R.; Sainsot, P.; Lesaffre, N.; Lubrecht, T. A.; Persson, B. N. J.; et al.</t>
  </si>
  <si>
    <t>Tribology Letters</t>
  </si>
  <si>
    <t>65</t>
  </si>
  <si>
    <t>118</t>
  </si>
  <si>
    <t>10.1007/s11249-017-0900-2</t>
  </si>
  <si>
    <t>https://doi.org/10.1007/s11249-017-0900-2</t>
  </si>
  <si>
    <t>Accès libre chez Springer.</t>
  </si>
  <si>
    <t>Page éditeur + RUG research portal</t>
  </si>
  <si>
    <t>Benchmark commun (surface et résultats téléchargeables) : banc d'essai idéal du solveur de contact.</t>
  </si>
  <si>
    <t>https://scholar.google.com/scholar?q=%22Meeting+the+contact-mechanics+challenge%22</t>
  </si>
  <si>
    <t>BIB-157</t>
  </si>
  <si>
    <t>yastrebov2014infinitesimal</t>
  </si>
  <si>
    <t>From infinitesimal to full contact between rough surfaces: evolution of the contact area</t>
  </si>
  <si>
    <t>Yastrebov, V. A.; Anciaux, G.; Molinari, J.-F.</t>
  </si>
  <si>
    <t>arXiv</t>
  </si>
  <si>
    <t>1401.3800</t>
  </si>
  <si>
    <t>https://arxiv.org/abs/1401.3800</t>
  </si>
  <si>
    <t>arXiv (version publiée ensuite dans IJSS : référence à relever).</t>
  </si>
  <si>
    <t>arXiv ; version revue à confirmer</t>
  </si>
  <si>
    <t>Aire de contact de 0 à 100 % et rôle des coupures : validation de A(p) contre Persson.</t>
  </si>
  <si>
    <t>Dapp et al. (2014)</t>
  </si>
  <si>
    <t>https://scholar.google.com/scholar?q=%22From+infinitesimal+to+full+contact+between+rough+surfaces%3A+evolution+of+the+contact+area%22</t>
  </si>
  <si>
    <t>BIB-158</t>
  </si>
  <si>
    <t>dapp2014persson</t>
  </si>
  <si>
    <t>Systematic analysis of Persson's contact mechanics theory of randomly rough elastic surfaces</t>
  </si>
  <si>
    <t>Dapp, W. B.; Prodanov, N.; Müser, M. H.</t>
  </si>
  <si>
    <t>1406.6151</t>
  </si>
  <si>
    <t>https://arxiv.org/abs/1406.6151</t>
  </si>
  <si>
    <t>arXiv.</t>
  </si>
  <si>
    <t>Limites quantitatives de la théorie de Persson face aux simulations exactes : explique l'écart de 20 à 30 % de T2.</t>
  </si>
  <si>
    <t>https://scholar.google.com/scholar?q=%22Systematic+analysis+of+Persson%27s+contact+mechanics+theory+of+randomly+rough+elastic+surfaces%22</t>
  </si>
  <si>
    <t>BIB-159</t>
  </si>
  <si>
    <t>bemporad2015optimization</t>
  </si>
  <si>
    <t>Optimization algorithms for the solution of the frictionless normal contact between rough surfaces</t>
  </si>
  <si>
    <t>Bemporad, A.; Paggi, M.</t>
  </si>
  <si>
    <t>69-70</t>
  </si>
  <si>
    <t>94-105</t>
  </si>
  <si>
    <t>10.1016/j.ijsolstr.2015.06.005</t>
  </si>
  <si>
    <t>https://doi.org/10.1016/j.ijsolstr.2015.06.005</t>
  </si>
  <si>
    <t>Version arXiv 1506.00532.</t>
  </si>
  <si>
    <t>Page éditeur + arXiv</t>
  </si>
  <si>
    <t>Comparaison greedy / CG de Polonsky-Keer / NNLS accéléré : pistes pour accélérer le solveur de contact.</t>
  </si>
  <si>
    <t>https://scholar.google.com/scholar?q=%22Optimization+algorithms+for+the+solution+of+the+frictionless+normal+contact+between+rough+surfaces%22</t>
  </si>
  <si>
    <t>BIB-160</t>
  </si>
  <si>
    <t>pohrt2014bem</t>
  </si>
  <si>
    <t>Complete boundary element formulation for normal and tangential contact problems</t>
  </si>
  <si>
    <t>Pohrt, R.; Li, Q.</t>
  </si>
  <si>
    <t>Physical Mesomechanics</t>
  </si>
  <si>
    <t>334-340</t>
  </si>
  <si>
    <t>10.1134/S1029959914040109</t>
  </si>
  <si>
    <t>https://doi.org/10.1134/S1029959914040109</t>
  </si>
  <si>
    <t>Springer.</t>
  </si>
  <si>
    <t>BEM normal + tangentiel (adhérence partielle, Coulomb) : pour dépasser l'hypothèse de glissement total du niveau 2.</t>
  </si>
  <si>
    <t>https://scholar.google.com/scholar?q=%22Complete+boundary+element+formulation+for+normal+and+tangential+contact+problems%22</t>
  </si>
  <si>
    <t>BIB-161</t>
  </si>
  <si>
    <t>cesbron2007these</t>
  </si>
  <si>
    <t>Influence de la texture de chaussée sur le bruit de contact pneumatique/chaussée</t>
  </si>
  <si>
    <t>Cesbron, J.</t>
  </si>
  <si>
    <t>Université de Nantes / LCPC</t>
  </si>
  <si>
    <t>NNT 2007NANT2079</t>
  </si>
  <si>
    <t>https://theses.fr/2007NANT2079</t>
  </si>
  <si>
    <t>theses.fr / HAL.</t>
  </si>
  <si>
    <t>Thèse française la plus proche du cadre texture/contact : contact multi-aspérités par la Méthode Itérative à Deux Échelles (MIDE), validée par essais.</t>
  </si>
  <si>
    <t>https://scholar.google.com/scholar?q=%22Influence+de+la+texture+de+chauss%C3%A9e+sur+le+bruit+de+contact+pneumatique%2Fchauss%C3%A9e%22</t>
  </si>
  <si>
    <t>BIB-162</t>
  </si>
  <si>
    <t>sandberg2002tyreroad</t>
  </si>
  <si>
    <t>Tyre/road noise reference book</t>
  </si>
  <si>
    <t>Sandberg, U.; Ejsmont, J. A.</t>
  </si>
  <si>
    <t>Informex</t>
  </si>
  <si>
    <t>https://scholar.google.com/scholar?q=%22Tyre%2Froad+noise+reference+book%22</t>
  </si>
  <si>
    <t>Bibliothèque (Université Gustave Eiffel).</t>
  </si>
  <si>
    <t>Micro-, macro- et mégatexture et leurs mesures : vocabulaire et ordres de grandeur des textures de chaussée.</t>
  </si>
  <si>
    <t>BIB-163</t>
  </si>
  <si>
    <t>iso2019_13473_1</t>
  </si>
  <si>
    <t>ISO 13473-1 — Caractérisation de la texture d'un revêtement de chaussée à partir de relevés de profils — Partie 1 : détermination de la profondeur moyenne de profil (MPD)</t>
  </si>
  <si>
    <t>ISO</t>
  </si>
  <si>
    <t>ISO 13473-1:2019</t>
  </si>
  <si>
    <t>https://scholar.google.com/scholar?q=%22ISO+13473-1+%E2%80%94+Caract%C3%A9risation+de+la+texture+d%27un+rev%C3%AAtement+de+chauss%C3%A9e+%C3%A0+partir+de+relev%C3%A9s+de+profils+%E2%80%94+Partie+1+%3A+d%C3%A9termination+de+la+profondeur+moyenne+de+profil+%28MPD%29%22</t>
  </si>
  <si>
    <t>Cobaz / AFNOR via l'école.</t>
  </si>
  <si>
    <t>Recherche du 25/09/2026 ; édition à contrôler</t>
  </si>
  <si>
    <t>Définition de la MPD (segments de 100 mm, deux demi-segments) et de l'ETD = 0,2 + 0,8 MPD utilisées pour régler les textures synthétiques.</t>
  </si>
  <si>
    <t>BIB-164</t>
  </si>
  <si>
    <t>iso13473_4</t>
  </si>
  <si>
    <t>ISO/TS 13473-4 — Caractérisation de la texture d'un revêtement de chaussée à partir de relevés de profils — Partie 4 : analyse spectrale des profils</t>
  </si>
  <si>
    <t>ISO/TS 13473-4</t>
  </si>
  <si>
    <t>https://scholar.google.com/scholar?q=%22ISO%2FTS+13473-4+%E2%80%94+Caract%C3%A9risation+de+la+texture+d%27un+rev%C3%AAtement+de+chauss%C3%A9e+%C3%A0+partir+de+relev%C3%A9s+de+profils+%E2%80%94+Partie+4+%3A+analyse+spectrale+des+profils%22</t>
  </si>
  <si>
    <t>Recherche du 25/09/2026 ; année à contrôler</t>
  </si>
  <si>
    <t>Analyse spectrale normalisée des profils de texture : lien DSP / relevés réels.</t>
  </si>
  <si>
    <t>BIB-165</t>
  </si>
  <si>
    <t>astm_e1845</t>
  </si>
  <si>
    <t>ASTM E1845 — Standard practice for calculating pavement macrotexture mean profile depth</t>
  </si>
  <si>
    <t>ASTM International</t>
  </si>
  <si>
    <t>ASTM E1845</t>
  </si>
  <si>
    <t>https://scholar.google.com/scholar?q=%22ASTM+E1845+%E2%80%94+Standard+practice+for+calculating+pavement+macrotexture+mean+profile+depth%22</t>
  </si>
  <si>
    <t>ASTM Compass via l'école.</t>
  </si>
  <si>
    <t>Recherche du 25/09/2026 ; version en vigueur à contrôler</t>
  </si>
  <si>
    <t>Équivalent américain du calcul de MPD.</t>
  </si>
  <si>
    <t>BIB-166</t>
  </si>
  <si>
    <t>astm_e965</t>
  </si>
  <si>
    <t>ASTM E965 — Standard test method for measuring pavement macrotexture depth using a volumetric technique</t>
  </si>
  <si>
    <t>ASTM E965</t>
  </si>
  <si>
    <t>https://scholar.google.com/scholar?q=%22ASTM+E965+%E2%80%94+Standard+test+method+for+measuring+pavement+macrotexture+depth+using+a+volumetric+technique%22</t>
  </si>
  <si>
    <t>Hauteur au sable (volumétrique) : relation empirique avec la MPD (ETD).</t>
  </si>
  <si>
    <t>BIB-167</t>
  </si>
  <si>
    <t>faa1997ac532012c</t>
  </si>
  <si>
    <t>Measurement, construction, and maintenance of skid-resistant airport pavement surfaces (AC 150/5320-12C)</t>
  </si>
  <si>
    <t>Federal Aviation Administration</t>
  </si>
  <si>
    <t>10.21949/1402821</t>
  </si>
  <si>
    <t>AC 150/5320-12C</t>
  </si>
  <si>
    <t>https://rosap.ntl.bts.gov/view/dot/12611</t>
  </si>
  <si>
    <t>ROSA-P (BTS), libre. Vérifier la version en vigueur sur faa.gov (brouillon 12D de 2016).</t>
  </si>
  <si>
    <t>ROSA-P + faa.gov</t>
  </si>
  <si>
    <t>Géométrie normalisée du rainurage transversal (1/4 x 1/4 po, pas 1 1/2 po) utilisée dans T1 et T11.</t>
  </si>
  <si>
    <t>https://scholar.google.com/scholar?q=%22Measurement%2C+construction%2C+and+maintenance+of+skid-resistant+airport+pavement+surfaces+%28AC+150%2F5320-12C%29%22</t>
  </si>
  <si>
    <t>BIB-168</t>
  </si>
  <si>
    <t>fabre2009fullscale</t>
  </si>
  <si>
    <t>Full-scale aircraft tire pressure tests</t>
  </si>
  <si>
    <t>Fabre, C.; Balay, J.-M.; Lerat, P.; Mazars, A.</t>
  </si>
  <si>
    <t>2nd European Airport Pavement Workshop</t>
  </si>
  <si>
    <t>HAL hal-00402480</t>
  </si>
  <si>
    <t>https://hal.science/hal-00402480</t>
  </si>
  <si>
    <t>HAL (déjà sur ton bureau).</t>
  </si>
  <si>
    <t>HAL</t>
  </si>
  <si>
    <t>Programme PEP-3 (15 et 17,5 bar, 7 sections instrumentées) : effet de la pression de gonflement. Attention : pas de mesure directe de la distribution des pressions de contact.</t>
  </si>
  <si>
    <t>Petitjean et al. (2001) ; STAC (2011)</t>
  </si>
  <si>
    <t>https://scholar.google.com/scholar?q=%22Full-scale+aircraft+tire+pressure+tests%22</t>
  </si>
  <si>
    <t>BIB-169</t>
  </si>
  <si>
    <t>roussel2022rgrafatigue</t>
  </si>
  <si>
    <t>Étude de la fatigue des chaussées aéronautiques souples</t>
  </si>
  <si>
    <t>Roussel, J.-M.; Broutin, M.; Voisin, G.; Mercadier, D.</t>
  </si>
  <si>
    <t>Revue Générale des Routes et de l'Aménagement (RGRA)</t>
  </si>
  <si>
    <t>https://scholar.google.com/scholar?q=%22%C3%89tude+de+la+fatigue+des+chauss%C3%A9es+a%C3%A9ronautiques+souples%22</t>
  </si>
  <si>
    <t>RGRA (même dossier que Travailleur &amp; Broutin).</t>
  </si>
  <si>
    <t>Sommaire RGRA n° 993 (recherche du 25/09/2026) ; année et pages à contrôler</t>
  </si>
  <si>
    <t>Fatigue des chaussées aéronautiques souples par l'équipe STAC : cadre du critère d'endommagement à viser.</t>
  </si>
  <si>
    <t>BIB-170</t>
  </si>
  <si>
    <t>taylor2007tcd</t>
  </si>
  <si>
    <t>The theory of critical distances: a new perspective in fracture mechanics</t>
  </si>
  <si>
    <t>Taylor, D.</t>
  </si>
  <si>
    <t>Elsevier</t>
  </si>
  <si>
    <t>ISBN 978-0-08-044478-9</t>
  </si>
  <si>
    <t>https://scholar.google.com/scholar?q=%22The+theory+of+critical+distances%3A+a+new+perspective+in+fracture+mechanics%22</t>
  </si>
  <si>
    <t>Bibliothèque ENTPE / ScienceDirect.</t>
  </si>
  <si>
    <t>Éditeur (ISBN) + recherche du 25/09/2026</t>
  </si>
  <si>
    <t>Méthodes du point et de la ligne (L = (1/pi)(Kc/sigma0)^2) : justifie la moyenne sur Lc = 0,5 à 1 mm au coin des rainures (T11).</t>
  </si>
  <si>
    <t>Taylor (2008)</t>
  </si>
  <si>
    <t>BIB-171</t>
  </si>
  <si>
    <t>taylor2008tcd</t>
  </si>
  <si>
    <t>The theory of critical distances</t>
  </si>
  <si>
    <t>Engineering Fracture Mechanics</t>
  </si>
  <si>
    <t>75</t>
  </si>
  <si>
    <t>1696-1705</t>
  </si>
  <si>
    <t>https://scholar.google.com/scholar?q=%22The+theory+of+critical+distances%22</t>
  </si>
  <si>
    <t>Cité dans la littérature ; DOI à relever</t>
  </si>
  <si>
    <t>Synthèse courte du livre : à lire en premier.</t>
  </si>
  <si>
    <t>Taylor (2007)</t>
  </si>
  <si>
    <t>BIB-172</t>
  </si>
  <si>
    <t>marsavina2023tcd</t>
  </si>
  <si>
    <t>The application of the Theory of Critical Distances to nonhomogeneous materials</t>
  </si>
  <si>
    <t>Marsavina, L.; et al.</t>
  </si>
  <si>
    <t>Fatigue &amp; Fracture of Engineering Materials &amp; Structures</t>
  </si>
  <si>
    <t>10.1111/ffe.13922</t>
  </si>
  <si>
    <t>https://doi.org/10.1111/ffe.13922</t>
  </si>
  <si>
    <t>Wiley.</t>
  </si>
  <si>
    <t>Page éditeur (DOI) ; liste d'auteurs à relever</t>
  </si>
  <si>
    <t>Lien entre la distance critique et la microstructure : la question exacte pour un enrobé.</t>
  </si>
  <si>
    <t>https://scholar.google.com/scholar?q=%22The+application+of+the+Theory+of+Critical+Distances+to+nonhomogeneous+materials%22</t>
  </si>
  <si>
    <t>BIB-173</t>
  </si>
  <si>
    <t>pilkey2008peterson</t>
  </si>
  <si>
    <t>Peterson's stress concentration factors (3rd edition)</t>
  </si>
  <si>
    <t>Pilkey, W. D.; Pilkey, D. F.</t>
  </si>
  <si>
    <t>Wiley</t>
  </si>
  <si>
    <t>https://scholar.google.com/scholar?q=%22Peterson%27s+stress+concentration+factors+%283rd+edition%29%22</t>
  </si>
  <si>
    <t>Abaques Kt pour valider le maillage en fond de rainure.</t>
  </si>
  <si>
    <t>BIB-174</t>
  </si>
  <si>
    <t>fuller1907proportioning</t>
  </si>
  <si>
    <t>The laws of proportioning concrete</t>
  </si>
  <si>
    <t>Fuller, W. B.; Thompson, S. E.</t>
  </si>
  <si>
    <t>Transactions of the American Society of Civil Engineers</t>
  </si>
  <si>
    <t>59</t>
  </si>
  <si>
    <t>67-143</t>
  </si>
  <si>
    <t>10.1061/TACEAT.0001979</t>
  </si>
  <si>
    <t>https://doi.org/10.1061/TACEAT.0001979</t>
  </si>
  <si>
    <t>ASCE Library.</t>
  </si>
  <si>
    <t>ASCE + Semantic Scholar (la plage 67-172 inclut probablement les discussions)</t>
  </si>
  <si>
    <t>Courbe granulométrique P = (d/D)^n utilisée pour générer les squelettes granulaires de T12.</t>
  </si>
  <si>
    <t>https://scholar.google.com/scholar?q=%22The+laws+of+proportioning+concrete%22</t>
  </si>
  <si>
    <t>BIB-175</t>
  </si>
  <si>
    <t>kim2003fatigue</t>
  </si>
  <si>
    <t>Fatigue and healing characterization of asphalt mixtures</t>
  </si>
  <si>
    <t>Kim, Y.-R.; Little, D. N.; Lytton, R. L.</t>
  </si>
  <si>
    <t>75-83</t>
  </si>
  <si>
    <t>10.1061/(ASCE)0899-1561(2003)15:1(75)</t>
  </si>
  <si>
    <t>https://doi.org/10.1061/(ASCE)0899-1561(2003)15:1(75)</t>
  </si>
  <si>
    <t>Page éditeur (ASCE)</t>
  </si>
  <si>
    <t>Fatigue et autoréparation de sand asphalt (précurseur de la FAM). Justifie l'échelle du mortier ; NE traite PAS de concentration de déformation (correction de la citation du rapport v2).</t>
  </si>
  <si>
    <t>Underwood &amp; Kim (2013)</t>
  </si>
  <si>
    <t>https://scholar.google.com/scholar?q=%22Fatigue+and+healing+characterization+of+asphalt+mixtures%22</t>
  </si>
  <si>
    <t>BIB-176</t>
  </si>
  <si>
    <t>aragao2011micromechanical</t>
  </si>
  <si>
    <t>Micromechanical model for heterogeneous asphalt concrete mixtures subjected to fracture failure</t>
  </si>
  <si>
    <t>Aragão, F. T. S.; Kim, Y.-R.; Lee, J.; Allen, D. H.</t>
  </si>
  <si>
    <t>30-38</t>
  </si>
  <si>
    <t>10.1061/(ASCE)MT.1943-5533.0000004</t>
  </si>
  <si>
    <t>https://doi.org/10.1061/(ASCE)MT.1943-5533.0000004</t>
  </si>
  <si>
    <t>EF 2D sur microstructure réelle (FAM viscoélastique, granulats élastiques, zones cohésives) : modèle type pour faire évoluer T12.</t>
  </si>
  <si>
    <t>https://scholar.google.com/scholar?q=%22Micromechanical+model+for+heterogeneous+asphalt+concrete+mixtures+subjected+to+fracture+failure%22</t>
  </si>
  <si>
    <t>BIB-177</t>
  </si>
  <si>
    <t>underwood2013fam</t>
  </si>
  <si>
    <t>Microstructural investigation of asphalt concrete for performing multiscale experimental studies</t>
  </si>
  <si>
    <t>Underwood, B. S.; Kim, Y. R.</t>
  </si>
  <si>
    <t>498-516</t>
  </si>
  <si>
    <t>10.1080/10298436.2012.746689</t>
  </si>
  <si>
    <t>https://doi.org/10.1080/10298436.2012.746689</t>
  </si>
  <si>
    <t>Taylor &amp; Francis.</t>
  </si>
  <si>
    <t>Méthode de référence pour définir la matrice fine (FAM) : fixe la composition du « mortier » du modèle granulats-mortier.</t>
  </si>
  <si>
    <t>Aragão et al. (2011)</t>
  </si>
  <si>
    <t>https://scholar.google.com/scholar?q=%22Microstructural+investigation+of+asphalt+concrete+for+performing+multiscale+experimental+studies%22</t>
  </si>
  <si>
    <t>BIB-178</t>
  </si>
  <si>
    <t>vulcano2010stripping</t>
  </si>
  <si>
    <t>Stripping phenomenon of top layers of thick pavements</t>
  </si>
  <si>
    <t>Vulcano-Greullet, N.; Kerzreho, J.-P.; Mauduit, V.; Chabot, A.</t>
  </si>
  <si>
    <t>11th International Conference on Asphalt Pavements (ISAP), Nagoya</t>
  </si>
  <si>
    <t>552-561</t>
  </si>
  <si>
    <t>https://scholar.google.com/scholar?q=%22Stripping+phenomenon+of+top+layers+of+thick+pavements%22</t>
  </si>
  <si>
    <t>Actes ISAP 2010 ; chercher une version HAL.</t>
  </si>
  <si>
    <t>Arrachement des couches de surface des chaussées épaisses : dégradation superficielle directement liée à la « seconde zone critique ».</t>
  </si>
  <si>
    <t>Canestrari et al. (2020)</t>
  </si>
  <si>
    <t>BIB-179</t>
  </si>
  <si>
    <t>grellet2016interfaces</t>
  </si>
  <si>
    <t>Experimental evidence of the viscoelastic behavior of interfaces in bituminous pavements – an explanation to top-down cracking</t>
  </si>
  <si>
    <t>Grellet, D.; Doré, G.; Chupin, O.; Piau, J.-M.</t>
  </si>
  <si>
    <t>8th RILEM International Conference on Mechanisms of Cracking and Debonding in Pavements</t>
  </si>
  <si>
    <t>575-580</t>
  </si>
  <si>
    <t>https://scholar.google.com/scholar?q=%22Experimental+evidence+of+the+viscoelastic+behavior+of+interfaces+in+bituminous+pavements+%E2%80%93+an+explanation+to+top-down+cracking%22</t>
  </si>
  <si>
    <t>Actes RILEM MCD 2016 (Springer).</t>
  </si>
  <si>
    <t>Un mécanisme de fissuration par le haut lié aux interfaces viscoélastiques.</t>
  </si>
  <si>
    <t>Canestrari et al. (2020) ; Chupin et al. (2010)</t>
  </si>
  <si>
    <t>Repérage (recherche du 25/09/2026) : texte non relu, contenu classique à confirmer</t>
  </si>
  <si>
    <t>Exposer les méthodes numériques du contact.</t>
  </si>
  <si>
    <t>Ouvrage : contact EF, pénalité, lagrangien augmenté, frottement.</t>
  </si>
  <si>
    <t>Comprendre le contact de COMSOL et le comparer au BEM spectral.</t>
  </si>
  <si>
    <t>Chapitres contact normal et frottant.</t>
  </si>
  <si>
    <t>Contact, pneu ; méthode</t>
  </si>
  <si>
    <t>Résoudre rapidement le contact de surfaces rugueuses.</t>
  </si>
  <si>
    <t>Gradient conjugué projeté avec contraintes p &gt;= 0 et g &gt;= 0, sommation multi-niveaux.</t>
  </si>
  <si>
    <t>Résultat classique, à confirmer en lisant : convergence garantie pour toute surface rugueuse, en une seule boucle.</t>
  </si>
  <si>
    <t>Sans frottement, demi-espace élastique.</t>
  </si>
  <si>
    <t>Algorithme du solveur de contact de chausspec : à recoder depuis l'article.</t>
  </si>
  <si>
    <t>Critère d'arrêt, gestion de l'équilibre.</t>
  </si>
  <si>
    <t>Contact élastique sur corps en couches, rapide et précis.</t>
  </si>
  <si>
    <t>FFT avec correction de périodicité, fonctions de Green multicouches.</t>
  </si>
  <si>
    <t>Pont entre contact et noyaux multicouches (souplesse de la bande de roulement).</t>
  </si>
  <si>
    <t>Correction de périodicité.</t>
  </si>
  <si>
    <t>Pressions d'appui et fissures (fonctions de contrainte complexes).</t>
  </si>
  <si>
    <t>Solution analytique du contact d'une surface ondulée ; fonctions de Westergaard.</t>
  </si>
  <si>
    <t>Résultat classique, à confirmer en lisant : aire de contact partielle fonction de p/p*, avec p* = π E* Δ / λ.</t>
  </si>
  <si>
    <t>Contact 2D, sans frottement.</t>
  </si>
  <si>
    <t>Validation analytique n° 1 du solveur de contact.</t>
  </si>
  <si>
    <t>Normalisation, lien avec T1.</t>
  </si>
  <si>
    <t>Contact de surfaces élastiques ondulées régulières.</t>
  </si>
  <si>
    <t>Analyse et asymptotiques pour ondulations biaxiales.</t>
  </si>
  <si>
    <t>Validation n° 2 du solveur de contact.</t>
  </si>
  <si>
    <t>Cas biaxial.</t>
  </si>
  <si>
    <t>Contact de surfaces nominalement planes.</t>
  </si>
  <si>
    <t>Modèle statistique d'aspérités sphériques.</t>
  </si>
  <si>
    <t>Résultat classique, à confirmer en lisant : aire réelle proportionnelle à la charge même en élasticité ; indice de plasticité.</t>
  </si>
  <si>
    <t>Aspérités sans interaction.</t>
  </si>
  <si>
    <t>À confronter à Persson et au BEM (T2).</t>
  </si>
  <si>
    <t>Théorie du frottement du caoutchouc et du contact rugueux.</t>
  </si>
  <si>
    <t>Diffusion de la distribution de pression avec le grossissement.</t>
  </si>
  <si>
    <t>Résultat classique, à confirmer en lisant : aire de contact A(ζ)/A0 quasi proportionnelle à la charge à faible pression.</t>
  </si>
  <si>
    <t>Théorie approchée (écarts connus à faible charge).</t>
  </si>
  <si>
    <t>Référence du contrôle T2.</t>
  </si>
  <si>
    <t>Formule de l'aire, conditions aux limites.</t>
  </si>
  <si>
    <t>Statique ; glissement</t>
  </si>
  <si>
    <t>Revue du contact de surfaces aléatoirement rugueuses.</t>
  </si>
  <si>
    <t>Revue : élastique, élastoplastique, adhésif.</t>
  </si>
  <si>
    <t>À lire avant Persson (2001).</t>
  </si>
  <si>
    <t>Méthodes numériques en mécanique du contact.</t>
  </si>
  <si>
    <t>Ouvrage : Signorini, Coulomb, pénalité, lagrangien augmenté.</t>
  </si>
  <si>
    <t>Cadre formel du solveur de contact.</t>
  </si>
  <si>
    <t>Chapitres contact normal et rugueux.</t>
  </si>
  <si>
    <t>EF ; revue</t>
  </si>
  <si>
    <t>Ouvrage de mécanique du contact.</t>
  </si>
  <si>
    <t>Ouvrage.</t>
  </si>
  <si>
    <t>Problèmes périodiques et rugueux, glissement partiel.</t>
  </si>
  <si>
    <t>Comparer les méthodes de contact rugueux sur un problème commun.</t>
  </si>
  <si>
    <t>Défi ouvert : GFMD, BEM, EF, aspérités, Persson.</t>
  </si>
  <si>
    <t>Benchmark téléchargeable pour valider le solveur de contact.</t>
  </si>
  <si>
    <t>Grandeurs comparées, surface fournie.</t>
  </si>
  <si>
    <t>Semi-analytique ; EF</t>
  </si>
  <si>
    <t>Autres méthodes</t>
  </si>
  <si>
    <t>Évolution de l'aire de contact de 0 à 100 %.</t>
  </si>
  <si>
    <t>Simulations EF de contact rugueux.</t>
  </si>
  <si>
    <t>Version arXiv.</t>
  </si>
  <si>
    <t>Valider A(p) contre Persson.</t>
  </si>
  <si>
    <t>Référence publiée.</t>
  </si>
  <si>
    <t>Évaluer la théorie de Persson face aux simulations exactes.</t>
  </si>
  <si>
    <t>Simulations GFMD systématiques.</t>
  </si>
  <si>
    <t>Explique l'écart de 20 à 30 % de T2 à faible charge.</t>
  </si>
  <si>
    <t>Comparer des algorithmes d'optimisation pour le contact normal rugueux.</t>
  </si>
  <si>
    <t>Greedy, CG de Polonsky-Keer, NNLS à gradients projetés accélérés.</t>
  </si>
  <si>
    <t>Résultat classique, à confirmer en lisant : le NNLS accéléré serait nettement plus rapide que Polonsky-Keer (d'après le résumé).</t>
  </si>
  <si>
    <t>Sans frottement.</t>
  </si>
  <si>
    <t>Pistes pour accélérer le solveur de contact.</t>
  </si>
  <si>
    <t>Conditions de comparaison.</t>
  </si>
  <si>
    <t>Autres algorithmes</t>
  </si>
  <si>
    <t>Formulation BEM complète du contact normal et tangentiel.</t>
  </si>
  <si>
    <t>BEM, adhérence partielle, Coulomb.</t>
  </si>
  <si>
    <t>Pour dépasser le glissement total du niveau 2.</t>
  </si>
  <si>
    <t>Contact calculé ; tangentiel</t>
  </si>
  <si>
    <t>Nature de la rugosité et conséquences (contact, étanchéité, frottement, adhésion).</t>
  </si>
  <si>
    <t>Revue : surfaces auto-affines, coupures, exemples de chaussées.</t>
  </si>
  <si>
    <t>Base de la génération de textures (Hurst, coupures).</t>
  </si>
  <si>
    <t>Exemples de chaussées.</t>
  </si>
  <si>
    <t>Surface ; contact</t>
  </si>
  <si>
    <t>Caractériser la topographie des surfaces par analyse spectrale.</t>
  </si>
  <si>
    <t>DSP 1D et 2D, normalisations, fenêtrage, bruit instrumental.</t>
  </si>
  <si>
    <t>La boucle DSP -&gt; surface -&gt; DSP de chausspec doit coïncider avec ses formules.</t>
  </si>
  <si>
    <t>Normalisation de la DSP 2D.</t>
  </si>
  <si>
    <t>Surface ; méthode</t>
  </si>
  <si>
    <t>Simuler des surfaces rugueuses 3D aléatoires.</t>
  </si>
  <si>
    <t>Filtre numérique 2D et analyse de Fourier ; surfaces non gaussiennes.</t>
  </si>
  <si>
    <t>Brique « asymétrie » (textures positive et négative).</t>
  </si>
  <si>
    <t>Méthode d'imposition de l'asymétrie.</t>
  </si>
  <si>
    <t>Conversion numérique (FFT)</t>
  </si>
  <si>
    <t>Frottement du caoutchouc sur des chaussées auto-affines.</t>
  </si>
  <si>
    <t>Modèle de frottement hystérétique, description fractale des routes.</t>
  </si>
  <si>
    <t>Description auto-affine des chaussées.</t>
  </si>
  <si>
    <t>Paramètres de texture utilisés.</t>
  </si>
  <si>
    <t>Glissement</t>
  </si>
  <si>
    <t>Influence de la texture de chaussée sur le bruit de contact pneu-chaussée.</t>
  </si>
  <si>
    <t>Contact multi-aspérités par la Méthode Itérative à Deux Échelles (MIDE), essais gomme / pointes et mesures sur route.</t>
  </si>
  <si>
    <t>Pneu de tourisme, objectif acoustique.</t>
  </si>
  <si>
    <t>Thèse française la plus proche du cadre texture/contact de chausspec.</t>
  </si>
  <si>
    <t>Principe de la MIDE, validations.</t>
  </si>
  <si>
    <t>Non uniforme calculé (texture)</t>
  </si>
  <si>
    <t>Statique (suite d'états)</t>
  </si>
  <si>
    <t>Contact, pneu ; surface</t>
  </si>
  <si>
    <t>Essais ; mesures in situ</t>
  </si>
  <si>
    <t>Ouvrage de référence sur le bruit pneu-chaussée.</t>
  </si>
  <si>
    <t>Centré sur le bruit.</t>
  </si>
  <si>
    <t>Vocabulaire et ordres de grandeur des textures.</t>
  </si>
  <si>
    <t>Chapitres texture.</t>
  </si>
  <si>
    <t>Surface</t>
  </si>
  <si>
    <t>Ramener l'analyse de corps viscoélastiques à des problèmes élastiques associés.</t>
  </si>
  <si>
    <t>Transformée de Laplace ou de Fourier : principe de correspondance.</t>
  </si>
  <si>
    <t>Résultat classique, à confirmer en lisant : la solution viscoélastique s'obtient en remplaçant les modules élastiques par les modules opérationnels (E*(ω) en régime harmonique).</t>
  </si>
  <si>
    <t>Conditions aux limites fixes dans le temps.</t>
  </si>
  <si>
    <t>Justifie E -&gt; E*(ω) dans chausspec (harmonique, charge roulante ω = -k1 V).</t>
  </si>
  <si>
    <t>Hypothèses sur les frontières mobiles (contact).</t>
  </si>
  <si>
    <t>Loi, méthode</t>
  </si>
  <si>
    <t>Exposer la théorie de la viscoélasticité linéaire.</t>
  </si>
  <si>
    <t>Ouvrage : intégrale d'hérédité, fonctions de fluage et de relaxation, modules complexes, correspondance.</t>
  </si>
  <si>
    <t>Ouvrage général, pas spécifique aux enrobés.</t>
  </si>
  <si>
    <t>Base de la méthode héréditaire du module texture de chausspec.</t>
  </si>
  <si>
    <t>Chapitres sur la correspondance et les milieux à coefficient de Poisson constant.</t>
  </si>
  <si>
    <t>Présenter la viscoélasticité pour le calcul des structures (cours de l'X).</t>
  </si>
  <si>
    <t>Ouvrage : fonctionnelles d'hérédité, problèmes quasi statiques, correspondance.</t>
  </si>
  <si>
    <t>Ouvrage de cours.</t>
  </si>
  <si>
    <t>Pour rédiger la démonstration « Poisson constant » du chapitre méthode.</t>
  </si>
  <si>
    <t>Cas du matériau à coefficient de Poisson constant.</t>
  </si>
  <si>
    <t>Établir la théorie des multicouches élastiques et l'appliquer aux pistes d'aéroport.</t>
  </si>
  <si>
    <t>Fonctions de contrainte par couche, continuité aux interfaces.</t>
  </si>
  <si>
    <t>Élastique, charge circulaire uniforme.</t>
  </si>
  <si>
    <t>Origine historique du calcul multicouche, dans le contexte aéronautique.</t>
  </si>
  <si>
    <t>Pages et contenu exact (Proc. HRB 23).</t>
  </si>
  <si>
    <t>Traité d'élasticité linéaire.</t>
  </si>
  <si>
    <t>Fonctions de Love, Saint-Venant (portée de la perturbation de texture).</t>
  </si>
  <si>
    <t>Chapitres 3D et demi-espace.</t>
  </si>
  <si>
    <t>Manuel d'analyse et de dimensionnement des chaussées.</t>
  </si>
  <si>
    <t>Ouvrage : multicouches (Burmister, KENLAYER), dimensionnement.</t>
  </si>
  <si>
    <t>Contexte américain.</t>
  </si>
  <si>
    <t>Relier les sorties de chausspec aux grandeurs de dimensionnement.</t>
  </si>
  <si>
    <t>Chapitres multicouches et viscoélasticité.</t>
  </si>
  <si>
    <t>Présenter et valider le logiciel ViscoRoute.</t>
  </si>
  <si>
    <t>Solution semi-analytique en repère mobile ; comparaisons analytique, EF et manège de fatigue.</t>
  </si>
  <si>
    <t>Actes de conférence.</t>
  </si>
  <si>
    <t>Maillon entre Duhamel et al. (2005) et Chabot et al. (2010) ; cas de validation pour chausspec.</t>
  </si>
  <si>
    <t>Cas comparés et écarts obtenus.</t>
  </si>
  <si>
    <t>Mesures in situ ; EF</t>
  </si>
  <si>
    <t>Donner des solutions de réponse viscoélastique de multicouches bitumineux.</t>
  </si>
  <si>
    <t>Solution analytique multicouche viscoélastique.</t>
  </si>
  <si>
    <t>Métadonnées partielles.</t>
  </si>
  <si>
    <t>Cas tests possibles pour chausspec.</t>
  </si>
  <si>
    <t>Loi utilisée, chargement, cas publiés.</t>
  </si>
  <si>
    <t>Statique ; mobile</t>
  </si>
  <si>
    <t>Exposer la méthode des éléments finis linéaires.</t>
  </si>
  <si>
    <t>Éléments Q4, déformation plane : base du solveur fe2d.py et des choix COMSOL.</t>
  </si>
  <si>
    <t>Chapitres éléments isoparamétriques, intégration.</t>
  </si>
  <si>
    <t>Formuler des matrices de rigidité pour sols stratifiés.</t>
  </si>
  <si>
    <t>Solution exacte par couche en nombres d'onde, P-SV et SH, assemblage global, demi-espace.</t>
  </si>
  <si>
    <t>Résultat classique, à confirmer en lisant : formulation stable (sans exponentielles croissantes) équivalente aux matrices de transfert.</t>
  </si>
  <si>
    <t>Dynamique des sols ; conventions à transposer.</t>
  </si>
  <si>
    <t>Brique centrale de chausspec : refaire les matrices 4x4 et 2x2 et la condensation.</t>
  </si>
  <si>
    <t>Conventions de signe, cas du demi-espace.</t>
  </si>
  <si>
    <t>Semi-analytique ; domaine fréquentiel</t>
  </si>
  <si>
    <t>Harmonique</t>
  </si>
  <si>
    <t>Propager des ondes élastiques à travers un milieu stratifié.</t>
  </si>
  <si>
    <t>Matrices de transfert.</t>
  </si>
  <si>
    <t>Instabilité numérique connue aux grands nombres d'onde.</t>
  </si>
  <si>
    <t>Explique pourquoi chausspec n'utilise pas les matrices de transfert.</t>
  </si>
  <si>
    <t>Forme des matrices.</t>
  </si>
  <si>
    <t>Calculer la dispersion des ondes de surface dans un milieu multicouche.</t>
  </si>
  <si>
    <t>Matrices de transfert (Thomson-Haskell).</t>
  </si>
  <si>
    <t>Même instabilité que Thomson (1950).</t>
  </si>
  <si>
    <t>Fondement historique des méthodes matricielles.</t>
  </si>
  <si>
    <t>Solution explicite pour charges internes dans un stratifié.</t>
  </si>
  <si>
    <t>Matrices de rigidité, formes explicites.</t>
  </si>
  <si>
    <t>Contrôle croisé du noyau multicouche.</t>
  </si>
  <si>
    <t>Recueil de solutions fondamentales en élastodynamique.</t>
  </si>
  <si>
    <t>Vérifier les noyaux Fourier et Hankel de chausspec.</t>
  </si>
  <si>
    <t>Solutions pour le demi-espace et les couches.</t>
  </si>
  <si>
    <t>Statique ; harmonique</t>
  </si>
  <si>
    <t>Code Python de calcul multicouche élastique.</t>
  </si>
  <si>
    <t>Solution de Burmister, transformée de Hankel, interfaces collées ou non.</t>
  </si>
  <si>
    <t>Élastique, charge circulaire.</t>
  </si>
  <si>
    <t>Référence de la validation V2 de chausspec.</t>
  </si>
  <si>
    <t>Version utilisée, paramètres d'intégration.</t>
  </si>
  <si>
    <t>Résoudre le demi-espace sous effort tangentiel de surface.</t>
  </si>
  <si>
    <t>Transformée de Hankel d'ordre 1.</t>
  </si>
  <si>
    <t>En japonais ; texte à localiser.</t>
  </si>
  <si>
    <t>Référence de la réponse au frottement (T9).</t>
  </si>
  <si>
    <t>Forme de la solution.</t>
  </si>
  <si>
    <t>Uniforme ; tangentiel</t>
  </si>
  <si>
    <t>Contact ; réponse</t>
  </si>
  <si>
    <t>Accélérer et fiabiliser le calcul multicouche élastique.</t>
  </si>
  <si>
    <t>Évaluation améliorée de la transformée de Hankel inverse.</t>
  </si>
  <si>
    <t>Résultat classique, à confirmer en lisant : précision au moins égale aux codes usuels pour un temps de calcul très réduit (jusqu'à 1/20 selon le résumé).</t>
  </si>
  <si>
    <t>Élastique, axisymétrique.</t>
  </si>
  <si>
    <t>Référence du solveur de Hankel de chausspec.</t>
  </si>
  <si>
    <t>Schéma d'intégration, cas de validation.</t>
  </si>
  <si>
    <t>Autres logiciels</t>
  </si>
  <si>
    <t>Traité d'homogénéisation en mécanique des matériaux.</t>
  </si>
  <si>
    <t>Séparation d'échelles et homogénéisation granulats-mortier.</t>
  </si>
  <si>
    <t>Chapitres homogénéisation périodique.</t>
  </si>
  <si>
    <t>Loi, module ; méthode</t>
  </si>
  <si>
    <t>Calculer la réponse effective de composites à microstructure complexe.</t>
  </si>
  <si>
    <t>Schéma itératif par FFT sur images.</t>
  </si>
  <si>
    <t>Alternative au solveur EF pixel pour la mésostructure.</t>
  </si>
  <si>
    <t>Caractériser fatigue et autoréparation d'enrobés à l'échelle du sand asphalt.</t>
  </si>
  <si>
    <t>Essais DMA à déformation contrôlée (25 °C, 10 Hz), liants SHRP AAD-1 et AAM-1.</t>
  </si>
  <si>
    <t>Ne traite pas de concentration de déformation dans le mortier (citation du rapport v2 à corriger).</t>
  </si>
  <si>
    <t>Justifie l'échelle du mortier pour un futur critère d'amorçage.</t>
  </si>
  <si>
    <t>Protocole, critère de rupture, effet des repos.</t>
  </si>
  <si>
    <t>Définir la matrice fine (FAM) d'un enrobé pour des essais multi-échelles.</t>
  </si>
  <si>
    <t>Analyse de la microstructure (film de mastic, vides, granulats fins).</t>
  </si>
  <si>
    <t>Enrobés routiers américains.</t>
  </si>
  <si>
    <t>Fixe la composition du « mortier » du modèle granulats-mortier (T12).</t>
  </si>
  <si>
    <t>Taille de coupure retenue, part des vides dans la FAM.</t>
  </si>
  <si>
    <t>Présenter la théorie des distances critiques.</t>
  </si>
  <si>
    <t>Ouvrage : méthodes du point, de la ligne, de l'aire, du volume.</t>
  </si>
  <si>
    <t>Résultat classique, à confirmer en lisant : L = (1/π)(Kc/σ0)^2 relie ténacité et résistance.</t>
  </si>
  <si>
    <t>Matériaux plutôt homogènes.</t>
  </si>
  <si>
    <t>Justifie la moyenne sur Lc au coin des rainures (T11).</t>
  </si>
  <si>
    <t>Application aux matériaux hétérogènes.</t>
  </si>
  <si>
    <t>Synthèse de la théorie des distances critiques.</t>
  </si>
  <si>
    <t>Article de synthèse.</t>
  </si>
  <si>
    <t>À lire avant l'ouvrage.</t>
  </si>
  <si>
    <t>Appliquer la théorie des distances critiques aux matériaux hétérogènes.</t>
  </si>
  <si>
    <t>Article (liste d'auteurs à relever).</t>
  </si>
  <si>
    <t>Lien entre la distance critique et la microstructure d'un enrobé.</t>
  </si>
  <si>
    <t>Matériaux étudiés.</t>
  </si>
  <si>
    <t>Recueil de facteurs de concentration de contrainte.</t>
  </si>
  <si>
    <t>Ouvrage (abaques).</t>
  </si>
  <si>
    <t>Valider le maillage en fond de rainure.</t>
  </si>
  <si>
    <t>Cas d'entailles en U.</t>
  </si>
  <si>
    <t>Fatigue, dommage ; méthode</t>
  </si>
  <si>
    <t>Lois de dosage des bétons.</t>
  </si>
  <si>
    <t>Essais de compacité selon la granulométrie.</t>
  </si>
  <si>
    <t>Résultat classique, à confirmer en lisant : courbe de compacité maximale P = (d/D)^n, n voisin de 0,5.</t>
  </si>
  <si>
    <t>Bétons de ciment.</t>
  </si>
  <si>
    <t>Granulométrie des squelettes de T12.</t>
  </si>
  <si>
    <t>Exposant retenu.</t>
  </si>
  <si>
    <t>Modèle micromécanique d'enrobé hétérogène jusqu'à rupture.</t>
  </si>
  <si>
    <t>EF 2D sur microstructure réelle : FAM viscoélastique, granulats élastiques, zones cohésives.</t>
  </si>
  <si>
    <t>2D.</t>
  </si>
  <si>
    <t>Modèle type pour faire évoluer T12 (mortier viscoélastique, décohésion).</t>
  </si>
  <si>
    <t>Calage des zones cohésives.</t>
  </si>
  <si>
    <t>Fatigue, dommage ; loi</t>
  </si>
  <si>
    <t>Étudier l'arrachement des couches de surface des chaussées épaisses.</t>
  </si>
  <si>
    <t>Actes ISAP (texte à localiser).</t>
  </si>
  <si>
    <t>Texte non localisé.</t>
  </si>
  <si>
    <t>Dégradation superficielle liée à la « seconde zone critique ».</t>
  </si>
  <si>
    <t>Mécanisme proposé, contexte (aéronautique ?).</t>
  </si>
  <si>
    <t>Montrer le comportement viscoélastique des interfaces et l'expliquer comme cause de fissuration par le haut.</t>
  </si>
  <si>
    <t>Mesures expérimentales (actes RILEM MCD).</t>
  </si>
  <si>
    <t>Actes courts.</t>
  </si>
  <si>
    <t>Un mécanisme de fissuration par le haut à discuter avec ton critère de surface.</t>
  </si>
  <si>
    <t>Structure et mesures utilisées.</t>
  </si>
  <si>
    <t>Surface, fiss. descendante ; interfaces</t>
  </si>
  <si>
    <t>Spécifier la mesure, la construction et l'entretien des surfaces de piste antidérapantes.</t>
  </si>
  <si>
    <t>Circulaire FAA : essais de frottement, texture, rainurage scié.</t>
  </si>
  <si>
    <t>Géométrie standard du rainurage transversal : 1/4 po de profondeur, 1/4 po de largeur, 1 1/2 po d'entraxe (§2-21).</t>
  </si>
  <si>
    <t>Circulaire de 1997 ; version en vigueur et brouillon 12D (2016) à vérifier.</t>
  </si>
  <si>
    <t>Géométrie des rainures des calculs T1 et T11 de chausspec.</t>
  </si>
  <si>
    <t>Tolérances, texture minimale, état de la version en vigueur.</t>
  </si>
  <si>
    <t>Mesurer l'effet de la pression de gonflage de pneus d'avion sur des chaussées souples en vraie grandeur (PEP-3).</t>
  </si>
  <si>
    <t>Essais sur 7 sections instrumentées, 15 et 17,5 bar, 28,5 et 33,2 t par roue.</t>
  </si>
  <si>
    <t>Pas de mesure directe de la distribution des pressions de contact.</t>
  </si>
  <si>
    <t>Contexte du HTPT et de ton A340 ; ne pas le citer comme source de cartes de pression.</t>
  </si>
  <si>
    <t>Profondeur des capteurs, grandeurs mesurées, conclusions sur la surface.</t>
  </si>
  <si>
    <t>Réponse de structure ; surface</t>
  </si>
  <si>
    <t>Étudier la fatigue des chaussées aéronautiques souples (STAC).</t>
  </si>
  <si>
    <t>Article RGRA (texte à localiser).</t>
  </si>
  <si>
    <t>Cadre du critère d'endommagement visé par la thèse.</t>
  </si>
  <si>
    <t>Année, pages, données utilisées.</t>
  </si>
  <si>
    <t>Normaliser le calcul de la MPD à partir de profils.</t>
  </si>
  <si>
    <t>Norme.</t>
  </si>
  <si>
    <t>MPD par segments de 100 mm (deux demi-segments) ; ETD = 0,2 + 0,8 MPD (mm).</t>
  </si>
  <si>
    <t>Norme payante ; édition à vérifier.</t>
  </si>
  <si>
    <t>Réglage des textures synthétiques de chausspec.</t>
  </si>
  <si>
    <t>Filtrage et traitement des pointes.</t>
  </si>
  <si>
    <t>Normaliser l'analyse spectrale des profils de texture.</t>
  </si>
  <si>
    <t>Spécification technique.</t>
  </si>
  <si>
    <t>Payante.</t>
  </si>
  <si>
    <t>Lien DSP / relevés réels.</t>
  </si>
  <si>
    <t>Bandes de tiers d'octave.</t>
  </si>
  <si>
    <t>Calcul de la MPD (pratique ASTM).</t>
  </si>
  <si>
    <t>Équivalent américain de l'ISO 13473-1.</t>
  </si>
  <si>
    <t>Écarts avec l'ISO.</t>
  </si>
  <si>
    <t>Mesurer la profondeur de macrotexture par méthode volumétrique.</t>
  </si>
  <si>
    <t>Norme (hauteur au sable).</t>
  </si>
  <si>
    <t>Relation MPD / ETD.</t>
  </si>
  <si>
    <t>Analyse croisée — les 179 références mises en regard</t>
  </si>
  <si>
    <t>Analyse rédigée à partir des résumés publiés (ou, à défaut, de la notice ou de la page de présentation) : elle dit ce que les auteurs annoncent, pas ce que tu en retiendras après lecture complète. 70 références ont un résumé complet, 18 un texte partiel (résumé reconstruit, chapeau, pages lues en partie) et 34 n'ont aucun résumé en ligne (normes, ouvrages, thèses anciennes, manuels, rapport confidentiel) : celles-là n'interviennent ici que pour ce que dit leur notice. Tout est reformulé, sans citation longue. Ajout du 25/09/2026 (section 9) : 57 références sur la texture, le contact, le calcul semi-analytique et la mésostructure, analysées sur fiches de repérage (texte non relu) : à confirmer à la lecture.</t>
  </si>
  <si>
    <t>9. Ajout du 25/09/2026 : texture, contact, calcul semi-analytique et mésostructure (BIB-123 à BIB-179)</t>
  </si>
  <si>
    <t>Statut de cette section</t>
  </si>
  <si>
    <t>57 références ajoutées pour pouvoir refaire le code chausspec et le rapport « texture ». Les fiches sont des fiches de repérage (Texte lu = Aucun) : elles disent ce que ces travaux sont connus pour apporter, à confirmer en lisant. Les références marquées « Partiel » dans Références ne sont pas à citer en l'état.</t>
  </si>
  <si>
    <t>Voir Lecture détaillée, lignes 127 à 183</t>
  </si>
  <si>
    <t>H. Décrire et générer une texture
Quelle description de la surface, au-delà de la MPD ?</t>
  </si>
  <si>
    <t>La texture se décrit par sa densité spectrale de puissance, auto-affine (exposant de Hurst) entre deux coupures de longueur d'onde (Persson et al., 2005 ; Jacobs et al., 2017 ; Klüppel &amp; Heinrich, 2000). Les normes ne retiennent qu'un indicateur scalaire, la MPD, et sa conversion en ETD (ISO 13473-1 ; ASTM E1845 ; ASTM E965) ; l'analyse spectrale est normalisée à part (ISO/TS 13473-4). L'asymétrie des textures positive et négative demande une génération non gaussienne (Hu &amp; Tonder, 1992). Point clé : à MPD égale, deux textures peuvent avoir des spectres et des pentes différents, ce que retrouve le rapport texture de chausspec.</t>
  </si>
  <si>
    <t>Persson et al. (2005) ; Jacobs et al. (2017) ; Klüppel &amp; Heinrich (2000) ; Hu &amp; Tonder (1992) ; ISO (2019) ; ISO (2008) ; ASTM International (2015) [E1845, E965] ; Sandberg &amp; Ejsmont (2002) ; FAA (1997)</t>
  </si>
  <si>
    <t>I. Calculer le contact sur une texture
Quelle pression réelle sous le pneu, et avec quelle méthode ?</t>
  </si>
  <si>
    <t>Deux familles : les théories statistiques (Greenwood &amp; Williamson, 1966 ; Persson, 2001 et 2006) et la résolution numérique directe, dont le gradient conjugué projeté par FFT (Polonsky &amp; Keer, 1999 et 2000 ; Liu et al., 2000 ; Bemporad &amp; Paggi, 2015) et le BEM avec frottement (Pohrt &amp; Li, 2014). Les comparaisons systématiques (Müser et al., 2017 ; Dapp et al., 2014 ; Yastrebov et al., 2014) indiquent que la théorie de Persson suit la tendance de l'aire mais s'écarte des calculs exacts à faible charge. Solutions exactes de validation : Westergaard (1939) et Johnson et al. (1985). La seule application française au pneu sur chaussée réelle est Cesbron (2007), méthode MIDE, pour l'acoustique : aucune de ces références ne propage ensuite la pression de contact dans une chaussée viscoélastique.</t>
  </si>
  <si>
    <t>Greenwood &amp; Williamson (1966) ; Persson (2001) ; Persson (2006) ; Polonsky &amp; Keer (1999) ; Polonsky &amp; Keer (2000) ; Liu et al. (2000) ; Bemporad &amp; Paggi (2015) ; Pohrt &amp; Li (2014) ; Müser et al. (2017) ; Dapp et al. (2014) ; Yastrebov et al. (2014) ; Westergaard (1939) ; Johnson et al. (1985) ; Cesbron (2007) ; Yastrebov (2013) ; Barber (2018) ; Wriggers (2006)</t>
  </si>
  <si>
    <t>J. Les fondations du calcul semi-analytique
Sur quoi repose un code comme chausspec ?</t>
  </si>
  <si>
    <t>Les matrices de transfert (Thomson, 1950 ; Haskell, 1953) deviennent instables aux grands nombres d'onde ; les matrices de rigidité de couche (Kausel &amp; Roësset, 1981 ; Kausel &amp; Peek, 1982 ; Kausel, 2006) donnent une formulation stable, héritière de Burmister (1943). Le principe de correspondance (Lee, 1955 ; Christensen, 1982 ; Salençon, 2009) étend l'élasticité au régime harmonique et à la charge roulante, comme dans ViscoRoute (Duhamel et al., 2005 ; Chabot et al., 2006 et 2010). L'évaluation de la transformée de Hankel fait la précision des codes axisymétriques (Khazanovich &amp; Wang, 2007 ; PyMastic). Les efforts tangentiels ont leur solution de référence chez Muki (1956). Ce thème complète le thème D.</t>
  </si>
  <si>
    <t>Thomson (1950) ; Haskell (1953) ; Kausel &amp; Roësset (1981) ; Kausel &amp; Peek (1982) ; Kausel (2006) ; Burmister (1943) ; Lee (1955) ; Christensen (1982) ; Salençon (2009) ; Chabot et al. (2006) ; Zhao et al. (2014) ; Khazanovich &amp; Wang (2007) ; Nakhaei (2023) ; Muki (1956) ; Timoshenko &amp; Goodier (1970) ; Huang (2004)</t>
  </si>
  <si>
    <t>K. Entailles et mésostructure
Comment passer d'une déformation moyenne à une sollicitation locale ?</t>
  </si>
  <si>
    <t>Au coin d'une entaille la déformation élastique est singulière ; la théorie des distances critiques la remplace par une moyenne sur une longueur liée au matériau (Taylor, 2007 et 2008 ; Marsavina et al., 2023), à recouper avec les facteurs de concentration classiques (Pilkey &amp; Pilkey, 2008). À l'échelle de l'enrobé, la matrice fine (FAM) est définie expérimentalement (Underwood &amp; Kim, 2013 ; Kim et al., 2003) et les modèles EF sur microstructure réelle associent FAM viscoélastique et granulats élastiques (Aragão et al., 2011) ; l'homogénéisation fait le lien entre les échelles (Bornert et al., 2001 ; Moulinec &amp; Suquet, 1998 ; Fuller &amp; Thompson, 1907 pour la granulométrie). Côté dégradations, l'arrachement des couches de surface (Vulcano-Greullet et al., 2010) et le rôle des interfaces viscoélastiques dans la fissuration par le haut (Grellet et al., 2016) complètent le thème E ; la fatigue des chaussées aéronautiques souples est étudiée par le STAC (Roussel et al., 2022).</t>
  </si>
  <si>
    <t>Taylor (2007) ; Taylor (2008) ; Marsavina et al. (2023) ; Pilkey &amp; Pilkey (2008) ; Underwood &amp; Kim (2013) ; Kim et al. (2003) ; Aragão et al. (2011) ; Bornert et al. (2001) ; Moulinec &amp; Suquet (1998) ; Fuller &amp; Thompson (1907) ; Hughes (2000) ; Vulcano-Greullet et al. (2010) ; Grellet et al. (2016) ; Roussel et al. (2022)</t>
  </si>
  <si>
    <t>Convergence, divergence ou lacune</t>
  </si>
  <si>
    <t>Convergence : la perturbation due à la texture s'amortit sur une profondeur de l'ordre de sa longueur d'onde.</t>
  </si>
  <si>
    <t>Solutions de surfaces ondulées (Westergaard, 1939 ; Johnson et al., 1985) et principe de Saint-Venant (Timoshenko &amp; Goodier, 1970) ; c'est le résultat du niveau 1 du rapport texture.</t>
  </si>
  <si>
    <t>Nuance : pour une rainure, la profondeur d'influence est fixée par la profondeur de la rainure (niveau 2 du rapport).</t>
  </si>
  <si>
    <t>Convergence : la formulation en rigidité est la voie stable pour le multicouche.</t>
  </si>
  <si>
    <t>Kausel &amp; Roësset (1981) ; Kausel (2006) ; codes récents (Khazanovich &amp; Wang, 2007 ; Chabot et al., 2010).</t>
  </si>
  <si>
    <t>Vérifier en lisant ViscoRoute la base de solutions retenue et la comparer à celle de chausspec.</t>
  </si>
  <si>
    <t>Divergence : la théorie de Persson suffit-elle pour l'aire de contact ?</t>
  </si>
  <si>
    <t>A — Oui en tendance (Persson, 2001 et 2006). B — Écarts notables à faible charge face aux calculs exacts (Dapp et al., 2014 ; Müser et al., 2017 ; Yastrebov et al., 2014).</t>
  </si>
  <si>
    <t>Garder le BEM comme référence et Persson comme contrôle (validation T2 de chausspec, écart de 20 à 30 % à faible charge).</t>
  </si>
  <si>
    <t>Lacune 8 : aucun travail ne propage le contact pneu-texture dans une chaussée viscoélastique multicouche sous charge roulante.</t>
  </si>
  <si>
    <t>Travaux les plus proches : Cesbron (2007) pour le contact sur texture ; Polonsky &amp; Keer (2000) pour le contact sur corps en couches ; Chabot et al. (2010) pour la charge roulante.</t>
  </si>
  <si>
    <t>C'est l'originalité du module texture de chausspec : à défendre après lecture de ces trois références.</t>
  </si>
  <si>
    <t>Lacune 9 : peu de littérature sur la tenue des bords de rainure dans les enrobés.</t>
  </si>
  <si>
    <t>FAA (1997) fixe la géométrie ; Taylor (2007) fournit l'outil ; Vulcano-Greullet et al. (2010) documentent l'arrachement de surface.</t>
  </si>
  <si>
    <t>Niveau 2 du rapport texture (entaille, distance critique), puis observations sur pistes rainurées avec le STAC.</t>
  </si>
  <si>
    <t>Lacune 10 : pas de mesure directe de pression de contact sous pneu d'avion lourd sur surface texturée.</t>
  </si>
  <si>
    <t>Fabre et al. (2009), Airbus S.A.S. (2010) et STAC (2011) mesurent des réponses de chaussée, pas la distribution des pressions de contact.</t>
  </si>
  <si>
    <t>Demander au STAC si des mesures existent ; sinon, essais en laboratoire avec capteurs en film sur surface texturée.</t>
  </si>
  <si>
    <t>Expliquer, sources à l'appui, pourquoi la pression de contact n'est pas uniforme (profils n et M, rôle de la déflexion), ce que disent les rapports HTPT et PEP, et pourquoi la surface devient une zone critique (fissuration descendante à Toulouse). Situer aussi le rainurage transversal normalisé (FAA AC 150/5320-12C) et ce que les essais PEP-3 disent de la pression de gonflage (Fabre et al., 2009).</t>
  </si>
  <si>
    <t>Décrire les spécificités des pneus d'avion (gonflage, déflexion d'environ 32 %, carcasse radiale ou diagonale) et refaire seul la chaîne Huet → Huet-Sayegh → 2S2P1D → Kelvin-Voigt généralisé (méthode de Tiouajni), y compris la conversion en séries de Prony. Savoir démontrer le principe de correspondance (Lee, 1955) et la réduction « Poisson constant » (solution viscoélastique = solution élastique unitaire convoluée par la complaisance ; Christensen, Salençon) : c'est la base de la méthode héréditaire de chausspec.</t>
  </si>
  <si>
    <t>Consolider le protocole Instron (effets transitoires, non-linéarité, auto-échauffement, thixotropie) et décider comment traiter le coefficient de Poisson complexe et la décomposition K/G dans COMSOL. Définir la matrice fine (FAM) d'un enrobé et ce qu'on sait mesurer à cette échelle (Underwood &amp; Kim, 2013 ; Kim et al., 2003) : c'est le « mortier » du modèle granulats-mortier.</t>
  </si>
  <si>
    <t>Justifier chaque choix du modèle COMSOL (domaine, conditions aux limites, maillage, charge mobile, viscoélasticité) par la littérature, et situer ton modèle par rapport à la méthode rationnelle STAC (Alizé-Aéronautique) et aux calculs publiés (Wu 2020, Wang 2009 et 2013). Relire Burmister (1943) et Chabot et al. (2006) pour situer le calcul multicouche, et justifier les éléments finis (Hughes) et le contact (Wriggers) utilisés par COMSOL.</t>
  </si>
  <si>
    <t>Choisir entre (a) une formulation fréquentielle avec le 2S2P1D et la transformée de Fourier de l'empreinte, et (b) une superposition de solutions élémentaires de type Boussinesq accélérée par FFT (DC-FFT), et en écrire le principe sur deux pages. Le code chausspec (v0.4) met déjà en œuvre la piste (a) : l'objectif devient de le refaire toi-même (matrices de rigidité de couche de Kausel &amp; Roësset, solveur de Hankel de Khazanovich &amp; Wang, contact rugueux par FFT de Polonsky &amp; Keer) et de relancer ses validations (PyMastic, Westergaard, contact-mechanics challenge de Müser et al.).</t>
  </si>
  <si>
    <t>Rien de bloquant ; vérifier l'accès aux articles ASME et Elsevier depuis le réseau de l'ENTPE. Muki (1956, J-STAGE) et Burmister (1943) en PEB ; emprunter Yastrebov (2013) et Bornert et al. (2001).</t>
  </si>
  <si>
    <t>Proposer une première forme de critère de surface (cisaillement, énergie, top-down) et la situer dans les méthodes STAC, FAA et OACI (ACR-PCR, balayage latéral). Relier la texture (DSP selon Jacobs et al., 2017 ; MPD selon l'ISO 13473-1) à l'amplification superficielle, et poser la question du critère d'amorçage au bord des rainures et dans le mortier (distances critiques de Taylor ; mésomécanique d'Aragão et al., 2011).</t>
  </si>
  <si>
    <t>Annexe 14 et Doc 9157 partie 3 via le STAC ; RGRA n° 993 via la documentation de l'ENTPE. Normes ISO 13473-1 et -4, ASTM E1845 et E965 via Cobaz ; actes ISAP 2010 (Vulcano-Greullet et al.) et RILEM MCD 2016 (Grellet et al.).</t>
  </si>
  <si>
    <t>XXXX</t>
  </si>
  <si>
    <t>BIB-019_DiBenedetto-etal_2004_Linear-viscoelastic-behaviour-binders-to-mixes.pdf</t>
  </si>
  <si>
    <t>BIB-020_Olard-DiBenedetto_2003_General-2S2P1D-model.pdf</t>
  </si>
  <si>
    <t>BIB-021_Tiouajni-etal_2011_3D-linear-viscoelastic-model-analogues.pdf</t>
  </si>
  <si>
    <t>BIB-022_DeBeer-etal_1997_Tyre-pavement-contact-stresses-moving-loads.pdf</t>
  </si>
  <si>
    <t>BIB-023_DeBeer-etal_2002_Non-uniform-tyre-contact-stresses-thin-asphalt.pdf</t>
  </si>
  <si>
    <t>BIB-024_Daugherty_2003_Mechanical-properties-radial-aircraft-tires.pdf</t>
  </si>
  <si>
    <t>BIB-025_He-etal_2021_Tire-pavement-contact-stress-maneuvering.pdf</t>
  </si>
  <si>
    <t>BIB-026_KongoKonde-etal_2013_Modeling-aircraft-tire.pdf</t>
  </si>
  <si>
    <t>BIB-027_Wang-etal_2012_Tyre-pavement-interaction-contact-stresses.pdf</t>
  </si>
  <si>
    <t>BIB-028_Xie-Yang_2019_Contact-stress-distribution-tyre-types.pdf</t>
  </si>
  <si>
    <t>BIB-029_Huet_1963_Methode-impedance-viscoelasticite-materiaux-hydrocarbones.pdf</t>
  </si>
  <si>
    <t>BIB-030_Park-Schapery_1999_Interconversion-viscoelastic-functions-Prony.pdf</t>
  </si>
  <si>
    <t>BIB-032_Behroozi-etal_2012_FE-analysis-aircraft-tyre-model-complexity.pdf</t>
  </si>
  <si>
    <t>BIB-033_ElFahham-etal_2023_Vehicle-tire-strength-test.pdf</t>
  </si>
  <si>
    <t>BIB-035_Gent-Walter_2006_The-pneumatic-tire.pdf</t>
  </si>
  <si>
    <t>BIB-038_Liu-etal_2022_Flexible-ring-model-heavy-load-radial-tires.pdf</t>
  </si>
  <si>
    <t>BIB-039_Liu-AlQadi_2022_3D-contact-stresses-deep-learning.pdf</t>
  </si>
  <si>
    <t>BIB-040_Rosu-etal_2018_FE-aircraft-tire-rolling-steel-drum.pdf</t>
  </si>
  <si>
    <t>BIB-041_Tang-etal_2022_3D-contact-stresses-radial-truck-tire.pdf</t>
  </si>
  <si>
    <t>BIB-043_Olard_2003_Enrobes-bitumineux-basses-temperatures-these.pdf</t>
  </si>
  <si>
    <t>BIB-044_Tschoegl_1989_Phenomenological-theory-linear-viscoelasticity.pdf</t>
  </si>
  <si>
    <t>BIB-139_Lee_1955_Stress-analysis-viscoelastic-bodies.pdf</t>
  </si>
  <si>
    <t>BIB-141_Salencon_2009_Viscoelasticite-calcul-des-structures.pdf</t>
  </si>
  <si>
    <t>BIB-167_FAA_1997_AC-150-5320-12C-skid-resistant-pavements.pdf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</si>
</sst>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2" x14ac:knownFonts="1">
    <font>
      <sz val="11"/>
      <color theme="1"/>
      <name val="Calibri"/>
      <family val="2"/>
      <charset val="1"/>
    </font>
    <font>
      <b/>
      <sz val="16"/>
      <color rgb="FF1F3864"/>
      <name val="Arial"/>
      <charset val="1"/>
    </font>
    <font>
      <i/>
      <sz val="10"/>
      <color rgb="FF595959"/>
      <name val="Arial"/>
      <charset val="1"/>
    </font>
    <font>
      <b/>
      <sz val="12"/>
      <color rgb="FF1F3864"/>
      <name val="Arial"/>
      <charset val="1"/>
    </font>
    <font>
      <b/>
      <sz val="10"/>
      <name val="Arial"/>
      <charset val="1"/>
    </font>
    <font>
      <sz val="10"/>
      <name val="Arial"/>
      <charset val="1"/>
    </font>
    <font>
      <b/>
      <sz val="10"/>
      <color rgb="FFFFFFFF"/>
      <name val="Arial"/>
      <charset val="1"/>
    </font>
    <font>
      <u/>
      <sz val="10"/>
      <color rgb="FF0563C1"/>
      <name val="Arial"/>
      <charset val="1"/>
    </font>
    <font>
      <sz val="10"/>
      <name val="Arial"/>
      <family val="2"/>
    </font>
    <font>
      <b/>
      <sz val="10"/>
      <color rgb="FF1F3864"/>
      <name val="Arial"/>
      <charset val="1"/>
    </font>
    <font>
      <b/>
      <sz val="9"/>
      <color rgb="FFFFFFFF"/>
      <name val="Arial"/>
      <charset val="1"/>
    </font>
    <font>
      <sz val="10"/>
      <color rgb="FF1F3864"/>
      <name val="Arial"/>
      <charset val="1"/>
    </font>
  </fonts>
  <fills count="10">
    <fill>
      <patternFill patternType="none"/>
    </fill>
    <fill>
      <patternFill patternType="gray125"/>
    </fill>
    <fill>
      <patternFill patternType="solid">
        <fgColor rgb="FF1F3864"/>
        <bgColor rgb="FF44546A"/>
      </patternFill>
    </fill>
    <fill>
      <patternFill patternType="solid">
        <fgColor rgb="FF44546A"/>
        <bgColor rgb="FF595959"/>
      </patternFill>
    </fill>
    <fill>
      <patternFill patternType="solid">
        <fgColor rgb="FFBF8F00"/>
        <bgColor rgb="FFC55A11"/>
      </patternFill>
    </fill>
    <fill>
      <patternFill patternType="solid">
        <fgColor rgb="FFF2F2F2"/>
        <bgColor rgb="FFDDEBF7"/>
      </patternFill>
    </fill>
    <fill>
      <patternFill patternType="solid">
        <fgColor rgb="FFFFF2CC"/>
        <bgColor rgb="FFF2F2F2"/>
      </patternFill>
    </fill>
    <fill>
      <patternFill patternType="solid">
        <fgColor rgb="FF5B2C6F"/>
        <bgColor rgb="FF44546A"/>
      </patternFill>
    </fill>
    <fill>
      <patternFill patternType="solid">
        <fgColor rgb="FFE4DFEC"/>
        <bgColor rgb="FFD9E2F3"/>
      </patternFill>
    </fill>
    <fill>
      <patternFill patternType="solid">
        <fgColor rgb="FFD9E2F3"/>
        <bgColor rgb="FFE4DFE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6">
    <xf numFmtId="0" fontId="0" fillId="0" borderId="0" xfId="0"/>
    <xf numFmtId="0" fontId="5" fillId="0" borderId="0" xfId="0" applyFont="1"/>
    <xf numFmtId="0" fontId="2" fillId="0" borderId="1" xfId="0" applyFont="1" applyBorder="1" applyAlignment="1">
      <alignment vertical="top" wrapText="1"/>
    </xf>
    <xf numFmtId="0" fontId="5" fillId="0" borderId="1" xfId="0" applyFont="1" applyBorder="1" applyAlignment="1">
      <alignment vertical="top" wrapText="1"/>
    </xf>
    <xf numFmtId="0" fontId="5" fillId="0" borderId="0" xfId="0" applyFont="1" applyAlignment="1">
      <alignment vertical="top" wrapText="1"/>
    </xf>
    <xf numFmtId="0" fontId="6" fillId="2" borderId="1" xfId="0" applyFont="1" applyFill="1" applyBorder="1" applyAlignment="1">
      <alignment horizontal="center" vertical="top" wrapText="1"/>
    </xf>
    <xf numFmtId="0" fontId="1" fillId="0" borderId="0" xfId="0" applyFont="1"/>
    <xf numFmtId="0" fontId="3" fillId="0" borderId="0" xfId="0" applyFont="1"/>
    <xf numFmtId="0" fontId="4" fillId="0" borderId="0" xfId="0" applyFont="1" applyAlignment="1">
      <alignment vertical="top" wrapText="1"/>
    </xf>
    <xf numFmtId="0" fontId="2" fillId="0" borderId="0" xfId="0" applyFont="1"/>
    <xf numFmtId="0" fontId="5" fillId="0" borderId="1" xfId="0" applyFont="1" applyBorder="1"/>
    <xf numFmtId="1" fontId="4" fillId="0" borderId="1" xfId="0" applyNumberFormat="1" applyFont="1" applyBorder="1" applyAlignment="1">
      <alignment horizontal="center"/>
    </xf>
    <xf numFmtId="0" fontId="5" fillId="0" borderId="1" xfId="0" applyFont="1" applyBorder="1" applyAlignment="1">
      <alignment horizontal="center"/>
    </xf>
    <xf numFmtId="9" fontId="5" fillId="0" borderId="1" xfId="0" applyNumberFormat="1" applyFont="1" applyBorder="1"/>
    <xf numFmtId="0" fontId="4" fillId="0" borderId="1" xfId="0" applyFont="1" applyBorder="1"/>
    <xf numFmtId="1" fontId="5" fillId="0" borderId="1" xfId="0" applyNumberFormat="1" applyFont="1" applyBorder="1"/>
    <xf numFmtId="9" fontId="4" fillId="0" borderId="1" xfId="0" applyNumberFormat="1" applyFont="1" applyBorder="1" applyAlignment="1">
      <alignment horizontal="center"/>
    </xf>
    <xf numFmtId="0" fontId="5" fillId="0" borderId="1" xfId="0" applyFont="1" applyBorder="1" applyAlignment="1">
      <alignment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1" fontId="5" fillId="0" borderId="1" xfId="0" applyNumberFormat="1" applyFont="1" applyBorder="1" applyAlignment="1">
      <alignment horizontal="center" vertical="center"/>
    </xf>
    <xf numFmtId="0" fontId="7" fillId="0" borderId="1" xfId="0" applyFont="1" applyBorder="1" applyAlignment="1">
      <alignment vertical="center"/>
    </xf>
    <xf numFmtId="1" fontId="4" fillId="0" borderId="1" xfId="0" applyNumberFormat="1" applyFont="1" applyBorder="1" applyAlignment="1">
      <alignment horizontal="center" vertical="center" wrapText="1"/>
    </xf>
    <xf numFmtId="0" fontId="6" fillId="3" borderId="1" xfId="0" applyFont="1" applyFill="1" applyBorder="1" applyAlignment="1">
      <alignment horizontal="center" vertical="top" wrapText="1"/>
    </xf>
    <xf numFmtId="0" fontId="6" fillId="4" borderId="1" xfId="0" applyFont="1" applyFill="1" applyBorder="1" applyAlignment="1">
      <alignment horizontal="center" vertical="top" wrapText="1"/>
    </xf>
    <xf numFmtId="0" fontId="5" fillId="0" borderId="0" xfId="0" applyFont="1" applyAlignment="1">
      <alignment vertical="top"/>
    </xf>
    <xf numFmtId="0" fontId="5" fillId="5" borderId="0" xfId="0" applyFont="1" applyFill="1" applyAlignment="1">
      <alignment vertical="top"/>
    </xf>
    <xf numFmtId="0" fontId="7" fillId="5" borderId="0" xfId="0" applyFont="1" applyFill="1" applyAlignment="1">
      <alignment vertical="top"/>
    </xf>
    <xf numFmtId="0" fontId="5" fillId="0" borderId="0" xfId="0" applyFont="1" applyAlignment="1">
      <alignment horizontal="center" vertical="top"/>
    </xf>
    <xf numFmtId="0" fontId="5" fillId="6" borderId="0" xfId="0" applyFont="1" applyFill="1" applyAlignment="1">
      <alignment vertical="top"/>
    </xf>
    <xf numFmtId="0" fontId="5" fillId="5" borderId="0" xfId="0" applyFont="1" applyFill="1" applyAlignment="1">
      <alignment vertical="top" wrapText="1"/>
    </xf>
    <xf numFmtId="0" fontId="5" fillId="5" borderId="0" xfId="0" applyFont="1" applyFill="1" applyAlignment="1">
      <alignment horizontal="center" vertical="top"/>
    </xf>
    <xf numFmtId="14" fontId="5" fillId="6" borderId="0" xfId="0" applyNumberFormat="1" applyFont="1" applyFill="1" applyAlignment="1">
      <alignment vertical="top"/>
    </xf>
    <xf numFmtId="0" fontId="5" fillId="6" borderId="0" xfId="0" applyFont="1" applyFill="1" applyAlignment="1">
      <alignment horizontal="center" vertical="top"/>
    </xf>
    <xf numFmtId="0" fontId="5" fillId="6" borderId="0" xfId="0" applyFont="1" applyFill="1" applyAlignment="1">
      <alignment vertical="top" wrapText="1"/>
    </xf>
    <xf numFmtId="0" fontId="7" fillId="0" borderId="0" xfId="0" applyFont="1" applyAlignment="1">
      <alignment vertical="top"/>
    </xf>
    <xf numFmtId="164" fontId="5" fillId="5" borderId="0" xfId="0" applyNumberFormat="1" applyFont="1" applyFill="1" applyAlignment="1">
      <alignment vertical="top"/>
    </xf>
    <xf numFmtId="0" fontId="6" fillId="7" borderId="1" xfId="0" applyFont="1" applyFill="1" applyBorder="1" applyAlignment="1">
      <alignment horizontal="center" vertical="top" wrapText="1"/>
    </xf>
    <xf numFmtId="0" fontId="5" fillId="0" borderId="1" xfId="0" applyFont="1" applyBorder="1" applyAlignment="1">
      <alignment vertical="top"/>
    </xf>
    <xf numFmtId="0" fontId="5" fillId="5" borderId="1" xfId="0" applyFont="1" applyFill="1" applyBorder="1" applyAlignment="1">
      <alignment vertical="top" wrapText="1"/>
    </xf>
    <xf numFmtId="0" fontId="5" fillId="5" borderId="1" xfId="0" applyFont="1" applyFill="1" applyBorder="1" applyAlignment="1">
      <alignment horizontal="center" vertical="top" wrapText="1"/>
    </xf>
    <xf numFmtId="0" fontId="7" fillId="5" borderId="1" xfId="0" applyFont="1" applyFill="1" applyBorder="1" applyAlignment="1">
      <alignment vertical="top"/>
    </xf>
    <xf numFmtId="0" fontId="5" fillId="0" borderId="1" xfId="0" applyFont="1" applyBorder="1" applyAlignment="1">
      <alignment horizontal="center" vertical="top" wrapText="1"/>
    </xf>
    <xf numFmtId="0" fontId="4" fillId="0" borderId="1" xfId="0" applyFont="1" applyBorder="1" applyAlignment="1">
      <alignment vertical="top" wrapText="1"/>
    </xf>
    <xf numFmtId="0" fontId="0" fillId="6" borderId="1" xfId="0" applyFill="1" applyBorder="1"/>
    <xf numFmtId="0" fontId="5" fillId="6" borderId="1" xfId="0" applyFont="1" applyFill="1" applyBorder="1" applyAlignment="1">
      <alignment vertical="top" wrapText="1"/>
    </xf>
    <xf numFmtId="0" fontId="3" fillId="8" borderId="0" xfId="0" applyFont="1" applyFill="1"/>
    <xf numFmtId="0" fontId="0" fillId="8" borderId="0" xfId="0" applyFill="1"/>
    <xf numFmtId="0" fontId="4" fillId="5" borderId="1" xfId="0" applyFont="1" applyFill="1" applyBorder="1"/>
    <xf numFmtId="0" fontId="4" fillId="5" borderId="1" xfId="0" applyFont="1" applyFill="1" applyBorder="1" applyAlignment="1">
      <alignment horizontal="center"/>
    </xf>
    <xf numFmtId="0" fontId="9" fillId="9" borderId="1" xfId="0" applyFont="1" applyFill="1" applyBorder="1"/>
    <xf numFmtId="0" fontId="0" fillId="9" borderId="1" xfId="0" applyFill="1" applyBorder="1"/>
    <xf numFmtId="165" fontId="5" fillId="5" borderId="1" xfId="0" applyNumberFormat="1" applyFont="1" applyFill="1" applyBorder="1" applyAlignment="1">
      <alignment horizontal="center" vertical="top"/>
    </xf>
    <xf numFmtId="0" fontId="4" fillId="5" borderId="1" xfId="0" applyFont="1" applyFill="1" applyBorder="1" applyAlignment="1">
      <alignment horizontal="center" vertical="top"/>
    </xf>
    <xf numFmtId="0" fontId="5" fillId="6" borderId="1" xfId="0" applyFont="1" applyFill="1" applyBorder="1" applyAlignment="1">
      <alignment horizontal="center" vertical="top"/>
    </xf>
    <xf numFmtId="0" fontId="10" fillId="2" borderId="1" xfId="0" applyFont="1" applyFill="1" applyBorder="1" applyAlignment="1">
      <alignment horizontal="center" textRotation="90"/>
    </xf>
    <xf numFmtId="0" fontId="0" fillId="5" borderId="1" xfId="0" applyFill="1" applyBorder="1"/>
    <xf numFmtId="0" fontId="5" fillId="5" borderId="1" xfId="0" applyFont="1" applyFill="1" applyBorder="1" applyAlignment="1">
      <alignment vertical="top"/>
    </xf>
    <xf numFmtId="0" fontId="5" fillId="5" borderId="1" xfId="0" applyFont="1" applyFill="1" applyBorder="1" applyAlignment="1">
      <alignment horizontal="center" vertical="top"/>
    </xf>
    <xf numFmtId="0" fontId="11" fillId="0" borderId="1" xfId="0" applyFont="1" applyBorder="1" applyAlignment="1">
      <alignment horizontal="center" vertical="top"/>
    </xf>
    <xf numFmtId="0" fontId="4" fillId="9" borderId="0" xfId="0" applyFont="1" applyFill="1" applyAlignment="1">
      <alignment vertical="top" wrapText="1"/>
    </xf>
    <xf numFmtId="0" fontId="4" fillId="9" borderId="0" xfId="0" applyFont="1" applyFill="1"/>
    <xf numFmtId="0" fontId="4" fillId="0" borderId="0" xfId="0" applyFont="1"/>
    <xf numFmtId="0" fontId="4" fillId="9" borderId="1" xfId="0" applyFont="1" applyFill="1" applyBorder="1" applyAlignment="1">
      <alignment horizontal="center" vertical="top" wrapText="1"/>
    </xf>
    <xf numFmtId="0" fontId="5" fillId="0" borderId="1" xfId="0" applyFont="1" applyBorder="1" applyAlignment="1">
      <alignment horizontal="center" vertical="top"/>
    </xf>
    <xf numFmtId="0" fontId="7" fillId="0" borderId="1" xfId="0" applyFont="1" applyBorder="1" applyAlignment="1">
      <alignment vertical="top"/>
    </xf>
    <xf numFmtId="14" fontId="5" fillId="5" borderId="1" xfId="0" applyNumberFormat="1" applyFont="1" applyFill="1" applyBorder="1" applyAlignment="1">
      <alignment vertical="top"/>
    </xf>
    <xf numFmtId="14" fontId="5" fillId="6" borderId="1" xfId="0" applyNumberFormat="1" applyFont="1" applyFill="1" applyBorder="1"/>
    <xf numFmtId="0" fontId="4" fillId="5" borderId="1" xfId="0" applyFont="1" applyFill="1" applyBorder="1" applyAlignment="1">
      <alignment vertical="top" wrapText="1"/>
    </xf>
    <xf numFmtId="0" fontId="5" fillId="6" borderId="1" xfId="0" applyFont="1" applyFill="1" applyBorder="1"/>
    <xf numFmtId="0" fontId="5" fillId="6" borderId="1" xfId="0" applyFont="1" applyFill="1" applyBorder="1" applyAlignment="1">
      <alignment vertical="top"/>
    </xf>
    <xf numFmtId="14" fontId="5" fillId="6" borderId="1" xfId="0" applyNumberFormat="1" applyFont="1" applyFill="1" applyBorder="1" applyAlignment="1">
      <alignment vertical="top" wrapText="1"/>
    </xf>
    <xf numFmtId="14" fontId="5" fillId="0" borderId="1" xfId="0" applyNumberFormat="1" applyFont="1" applyBorder="1"/>
    <xf numFmtId="14" fontId="5" fillId="6" borderId="1" xfId="0" applyNumberFormat="1" applyFont="1" applyFill="1" applyBorder="1" applyAlignment="1">
      <alignment vertical="top"/>
    </xf>
    <xf numFmtId="1" fontId="5" fillId="5" borderId="1" xfId="0" applyNumberFormat="1" applyFont="1" applyFill="1" applyBorder="1" applyAlignment="1">
      <alignment vertical="top"/>
    </xf>
    <xf numFmtId="1" fontId="5" fillId="6" borderId="1" xfId="0" applyNumberFormat="1" applyFont="1" applyFill="1" applyBorder="1" applyAlignment="1">
      <alignment vertical="top"/>
    </xf>
    <xf numFmtId="0" fontId="2" fillId="0" borderId="1" xfId="0" applyFont="1" applyBorder="1"/>
    <xf numFmtId="0" fontId="6" fillId="2" borderId="0" xfId="0" applyFont="1" applyFill="1"/>
    <xf numFmtId="0" fontId="5" fillId="0" borderId="0" xfId="0" applyFont="1" applyAlignment="1">
      <alignment vertical="top" wrapText="1"/>
    </xf>
    <xf numFmtId="0" fontId="5" fillId="0" borderId="0" xfId="0" applyFont="1"/>
    <xf numFmtId="0" fontId="2" fillId="0" borderId="0" xfId="0" applyFont="1" applyAlignment="1">
      <alignment vertical="top" wrapText="1"/>
    </xf>
    <xf numFmtId="0" fontId="5" fillId="0" borderId="1" xfId="0" applyFont="1" applyBorder="1" applyAlignment="1">
      <alignment vertical="center" wrapText="1"/>
    </xf>
    <xf numFmtId="0" fontId="6" fillId="2" borderId="1" xfId="0" applyFont="1" applyFill="1" applyBorder="1" applyAlignment="1">
      <alignment horizontal="center" vertical="top" wrapText="1"/>
    </xf>
    <xf numFmtId="0" fontId="5" fillId="0" borderId="1" xfId="0" applyFont="1" applyBorder="1" applyAlignment="1">
      <alignment vertical="top" wrapText="1"/>
    </xf>
    <xf numFmtId="0" fontId="2" fillId="0" borderId="1" xfId="0" applyFont="1" applyBorder="1" applyAlignment="1">
      <alignment vertical="top" wrapText="1"/>
    </xf>
    <xf numFmtId="0" fontId="9" fillId="9" borderId="1" xfId="0" applyFont="1" applyFill="1" applyBorder="1" applyAlignment="1">
      <alignment horizontal="center" vertical="top" wrapText="1"/>
    </xf>
  </cellXfs>
  <cellStyles count="1">
    <cellStyle name="Normal" xfId="0" builtinId="0"/>
  </cellStyles>
  <dxfs count="75">
    <dxf>
      <fill>
        <patternFill>
          <bgColor rgb="FFFFE699"/>
        </patternFill>
      </fill>
    </dxf>
    <dxf>
      <fill>
        <patternFill>
          <bgColor rgb="FFC6EFCE"/>
        </patternFill>
      </fill>
    </dxf>
    <dxf>
      <fill>
        <patternFill>
          <bgColor rgb="FFFFE699"/>
        </patternFill>
      </fill>
    </dxf>
    <dxf>
      <fill>
        <patternFill>
          <bgColor rgb="FFF8CBAD"/>
        </patternFill>
      </fill>
    </dxf>
    <dxf>
      <fill>
        <patternFill>
          <bgColor rgb="FFC6EFCE"/>
        </patternFill>
      </fill>
    </dxf>
    <dxf>
      <fill>
        <patternFill>
          <bgColor rgb="FFC6EFCE"/>
        </patternFill>
      </fill>
    </dxf>
    <dxf>
      <fill>
        <patternFill>
          <bgColor rgb="FFFFE699"/>
        </patternFill>
      </fill>
    </dxf>
    <dxf>
      <fill>
        <patternFill>
          <bgColor rgb="FFF8CBAD"/>
        </patternFill>
      </fill>
    </dxf>
    <dxf>
      <fill>
        <patternFill>
          <bgColor rgb="FFF8CBAD"/>
        </patternFill>
      </fill>
    </dxf>
    <dxf>
      <fill>
        <patternFill>
          <bgColor rgb="FFC6EFCE"/>
        </patternFill>
      </fill>
    </dxf>
    <dxf>
      <fill>
        <patternFill>
          <bgColor rgb="FFFFE699"/>
        </patternFill>
      </fill>
    </dxf>
    <dxf>
      <fill>
        <patternFill>
          <bgColor rgb="FFC6EFCE"/>
        </patternFill>
      </fill>
    </dxf>
    <dxf>
      <fill>
        <patternFill>
          <bgColor rgb="FFFFE699"/>
        </patternFill>
      </fill>
    </dxf>
    <dxf>
      <fill>
        <patternFill>
          <bgColor rgb="FFF8CBAD"/>
        </patternFill>
      </fill>
    </dxf>
    <dxf>
      <fill>
        <patternFill>
          <bgColor rgb="FFFFE699"/>
        </patternFill>
      </fill>
    </dxf>
    <dxf>
      <fill>
        <patternFill>
          <bgColor rgb="FFC6EFCE"/>
        </patternFill>
      </fill>
    </dxf>
    <dxf>
      <fill>
        <patternFill>
          <bgColor rgb="FFF8CBAD"/>
        </patternFill>
      </fill>
    </dxf>
    <dxf>
      <fill>
        <patternFill>
          <bgColor rgb="FFF8CBAD"/>
        </patternFill>
      </fill>
    </dxf>
    <dxf>
      <fill>
        <patternFill>
          <bgColor rgb="FFFFE699"/>
        </patternFill>
      </fill>
    </dxf>
    <dxf>
      <fill>
        <patternFill>
          <bgColor rgb="FFC6EFCE"/>
        </patternFill>
      </fill>
    </dxf>
    <dxf>
      <fill>
        <patternFill>
          <bgColor rgb="FFC6EFCE"/>
        </patternFill>
      </fill>
    </dxf>
    <dxf>
      <fill>
        <patternFill>
          <bgColor rgb="FFF8CBAD"/>
        </patternFill>
      </fill>
    </dxf>
    <dxf>
      <fill>
        <patternFill>
          <bgColor rgb="FFFFE699"/>
        </patternFill>
      </fill>
    </dxf>
    <dxf>
      <font>
        <b/>
        <sz val="10"/>
        <color rgb="FF9C0006"/>
        <name val="Arial"/>
        <charset val="1"/>
      </font>
    </dxf>
    <dxf>
      <fill>
        <patternFill>
          <bgColor rgb="FFC6EFCE"/>
        </patternFill>
      </fill>
    </dxf>
    <dxf>
      <fill>
        <patternFill>
          <bgColor rgb="FFF8CBAD"/>
        </patternFill>
      </fill>
    </dxf>
    <dxf>
      <fill>
        <patternFill>
          <bgColor rgb="FFFFE699"/>
        </patternFill>
      </fill>
    </dxf>
    <dxf>
      <font>
        <b/>
        <sz val="10"/>
        <color rgb="FF9C0006"/>
        <name val="Arial"/>
        <charset val="1"/>
      </font>
    </dxf>
    <dxf>
      <fill>
        <patternFill>
          <bgColor rgb="FFF8CBAD"/>
        </patternFill>
      </fill>
    </dxf>
    <dxf>
      <fill>
        <patternFill>
          <bgColor rgb="FFFFE699"/>
        </patternFill>
      </fill>
    </dxf>
    <dxf>
      <fill>
        <patternFill>
          <bgColor rgb="FFC6EFCE"/>
        </patternFill>
      </fill>
    </dxf>
    <dxf>
      <font>
        <b/>
        <sz val="10"/>
        <color rgb="FF9C0006"/>
        <name val="Arial"/>
        <charset val="1"/>
      </font>
    </dxf>
    <dxf>
      <fill>
        <patternFill>
          <bgColor rgb="FFFFE699"/>
        </patternFill>
      </fill>
    </dxf>
    <dxf>
      <fill>
        <patternFill>
          <bgColor rgb="FFC6EFCE"/>
        </patternFill>
      </fill>
    </dxf>
    <dxf>
      <fill>
        <patternFill>
          <bgColor rgb="FFF8CBAD"/>
        </patternFill>
      </fill>
    </dxf>
    <dxf>
      <font>
        <b/>
        <sz val="10"/>
        <color rgb="FF9C0006"/>
        <name val="Arial"/>
        <charset val="1"/>
      </font>
    </dxf>
    <dxf>
      <fill>
        <patternFill>
          <bgColor rgb="FFC6EFCE"/>
        </patternFill>
      </fill>
    </dxf>
    <dxf>
      <fill>
        <patternFill>
          <bgColor rgb="FFFFE699"/>
        </patternFill>
      </fill>
    </dxf>
    <dxf>
      <fill>
        <patternFill>
          <bgColor rgb="FFF8CBAD"/>
        </patternFill>
      </fill>
    </dxf>
    <dxf>
      <font>
        <b/>
        <sz val="10"/>
        <color rgb="FF9C0006"/>
        <name val="Arial"/>
        <charset val="1"/>
      </font>
    </dxf>
    <dxf>
      <fill>
        <patternFill>
          <bgColor rgb="FFC6EFCE"/>
        </patternFill>
      </fill>
    </dxf>
    <dxf>
      <fill>
        <patternFill>
          <bgColor rgb="FFFFE699"/>
        </patternFill>
      </fill>
    </dxf>
    <dxf>
      <fill>
        <patternFill>
          <bgColor rgb="FFF8CBAD"/>
        </patternFill>
      </fill>
    </dxf>
    <dxf>
      <font>
        <b/>
        <sz val="10"/>
        <color rgb="FF9C0006"/>
        <name val="Arial"/>
        <charset val="1"/>
      </font>
    </dxf>
    <dxf>
      <fill>
        <patternFill>
          <bgColor rgb="FFC6EFCE"/>
        </patternFill>
      </fill>
    </dxf>
    <dxf>
      <fill>
        <patternFill>
          <bgColor rgb="FFFFE699"/>
        </patternFill>
      </fill>
    </dxf>
    <dxf>
      <fill>
        <patternFill>
          <bgColor rgb="FFF8CBAD"/>
        </patternFill>
      </fill>
    </dxf>
    <dxf>
      <fill>
        <patternFill>
          <bgColor rgb="FFBDD7EE"/>
        </patternFill>
      </fill>
    </dxf>
    <dxf>
      <fill>
        <patternFill>
          <bgColor rgb="FFFFE699"/>
        </patternFill>
      </fill>
    </dxf>
    <dxf>
      <fill>
        <patternFill>
          <bgColor rgb="FFC6EFCE"/>
        </patternFill>
      </fill>
    </dxf>
    <dxf>
      <fill>
        <patternFill>
          <bgColor rgb="FFF8CBAD"/>
        </patternFill>
      </fill>
    </dxf>
    <dxf>
      <fill>
        <patternFill>
          <bgColor rgb="FFFFE699"/>
        </patternFill>
      </fill>
    </dxf>
    <dxf>
      <fill>
        <patternFill>
          <bgColor rgb="FFC6EFCE"/>
        </patternFill>
      </fill>
    </dxf>
    <dxf>
      <fill>
        <patternFill>
          <bgColor rgb="FFC6EFCE"/>
        </patternFill>
      </fill>
    </dxf>
    <dxf>
      <fill>
        <patternFill>
          <bgColor rgb="FFFFE699"/>
        </patternFill>
      </fill>
    </dxf>
    <dxf>
      <fill>
        <patternFill>
          <bgColor rgb="FFF8CBAD"/>
        </patternFill>
      </fill>
    </dxf>
    <dxf>
      <fill>
        <patternFill>
          <bgColor rgb="FFFFE699"/>
        </patternFill>
      </fill>
    </dxf>
    <dxf>
      <fill>
        <patternFill>
          <bgColor rgb="FFF8CBAD"/>
        </patternFill>
      </fill>
    </dxf>
    <dxf>
      <fill>
        <patternFill>
          <bgColor rgb="FFC6EFCE"/>
        </patternFill>
      </fill>
    </dxf>
    <dxf>
      <font>
        <b/>
        <sz val="10"/>
        <color rgb="FF9C0006"/>
        <name val="Arial"/>
        <charset val="1"/>
      </font>
    </dxf>
    <dxf>
      <fill>
        <patternFill>
          <bgColor rgb="FFD9D9D9"/>
        </patternFill>
      </fill>
    </dxf>
    <dxf>
      <fill>
        <patternFill>
          <bgColor rgb="FFC6EFCE"/>
        </patternFill>
      </fill>
    </dxf>
    <dxf>
      <fill>
        <patternFill>
          <bgColor rgb="FFDDEBF7"/>
        </patternFill>
      </fill>
    </dxf>
    <dxf>
      <fill>
        <patternFill>
          <bgColor rgb="FFFFE699"/>
        </patternFill>
      </fill>
    </dxf>
    <dxf>
      <font>
        <b/>
        <sz val="10"/>
        <color rgb="FF9C0006"/>
        <name val="Arial"/>
        <charset val="1"/>
      </font>
      <fill>
        <patternFill>
          <bgColor rgb="FFF8CBAD"/>
        </patternFill>
      </fill>
    </dxf>
    <dxf>
      <font>
        <b/>
        <sz val="10"/>
        <color rgb="FF9C0006"/>
        <name val="Arial"/>
        <charset val="1"/>
      </font>
    </dxf>
    <dxf>
      <font>
        <b/>
        <sz val="10"/>
        <color rgb="FF1F3864"/>
        <name val="Arial"/>
        <charset val="1"/>
      </font>
      <fill>
        <patternFill>
          <bgColor rgb="FFDDEBF7"/>
        </patternFill>
      </fill>
    </dxf>
    <dxf>
      <fill>
        <patternFill>
          <bgColor rgb="FFC6EFCE"/>
        </patternFill>
      </fill>
    </dxf>
    <dxf>
      <fill>
        <patternFill>
          <bgColor rgb="FFC6EFCE"/>
        </patternFill>
      </fill>
    </dxf>
    <dxf>
      <fill>
        <patternFill>
          <bgColor rgb="FFFFE699"/>
        </patternFill>
      </fill>
    </dxf>
    <dxf>
      <fill>
        <patternFill>
          <bgColor rgb="FFF8CBAD"/>
        </patternFill>
      </fill>
    </dxf>
    <dxf>
      <fill>
        <patternFill>
          <bgColor rgb="FFFFE699"/>
        </patternFill>
      </fill>
    </dxf>
    <dxf>
      <fill>
        <patternFill>
          <bgColor rgb="FFFFE699"/>
        </patternFill>
      </fill>
    </dxf>
    <dxf>
      <fill>
        <patternFill>
          <bgColor rgb="FFFFE699"/>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548235"/>
      <rgbColor rgb="FF800080"/>
      <rgbColor rgb="FF008080"/>
      <rgbColor rgb="FFBFBFBF"/>
      <rgbColor rgb="FF7F7F7F"/>
      <rgbColor rgb="FFD9E2F3"/>
      <rgbColor rgb="FF595959"/>
      <rgbColor rgb="FFFFF2CC"/>
      <rgbColor rgb="FFDDEBF7"/>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F2F2F2"/>
      <rgbColor rgb="FFC6EFCE"/>
      <rgbColor rgb="FFFFE699"/>
      <rgbColor rgb="FF9DC3E6"/>
      <rgbColor rgb="FFD9D9D9"/>
      <rgbColor rgb="FFB4A7D6"/>
      <rgbColor rgb="FFF8CBAD"/>
      <rgbColor rgb="FF2E75B6"/>
      <rgbColor rgb="FF33CCCC"/>
      <rgbColor rgb="FF99CC00"/>
      <rgbColor rgb="FFE4DFEC"/>
      <rgbColor rgb="FFBF8F00"/>
      <rgbColor rgb="FFC55A11"/>
      <rgbColor rgb="FF7F60A8"/>
      <rgbColor rgb="FF878787"/>
      <rgbColor rgb="FF1F3864"/>
      <rgbColor rgb="FF70AD47"/>
      <rgbColor rgb="FF003300"/>
      <rgbColor rgb="FF333300"/>
      <rgbColor rgb="FF993300"/>
      <rgbColor rgb="FF993366"/>
      <rgbColor rgb="FF5B2C6F"/>
      <rgbColor rgb="FF44546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Avancement par mois (références)</a:t>
            </a:r>
          </a:p>
        </c:rich>
      </c:tx>
      <c:overlay val="0"/>
      <c:spPr>
        <a:noFill/>
        <a:ln w="0">
          <a:noFill/>
        </a:ln>
      </c:spPr>
    </c:title>
    <c:autoTitleDeleted val="0"/>
    <c:plotArea>
      <c:layout/>
      <c:barChart>
        <c:barDir val="col"/>
        <c:grouping val="stacked"/>
        <c:varyColors val="0"/>
        <c:ser>
          <c:idx val="0"/>
          <c:order val="0"/>
          <c:tx>
            <c:strRef>
              <c:f>'Tableau de bord'!$I$16</c:f>
              <c:strCache>
                <c:ptCount val="1"/>
                <c:pt idx="0">
                  <c:v>Lues</c:v>
                </c:pt>
              </c:strCache>
            </c:strRef>
          </c:tx>
          <c:spPr>
            <a:solidFill>
              <a:srgbClr val="70AD47"/>
            </a:solidFill>
            <a:ln w="0">
              <a:solidFill>
                <a:srgbClr val="70AD47"/>
              </a:solidFill>
            </a:ln>
          </c:spPr>
          <c:invertIfNegative val="0"/>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'Tableau de bord'!$G$17:$G$22</c:f>
              <c:strCache>
                <c:ptCount val="6"/>
                <c:pt idx="0">
                  <c:v>octobre 2026</c:v>
                </c:pt>
                <c:pt idx="1">
                  <c:v>novembre 2026</c:v>
                </c:pt>
                <c:pt idx="2">
                  <c:v>décembre 2026</c:v>
                </c:pt>
                <c:pt idx="3">
                  <c:v>janvier 2027</c:v>
                </c:pt>
                <c:pt idx="4">
                  <c:v>février 2027</c:v>
                </c:pt>
                <c:pt idx="5">
                  <c:v>mars 2027</c:v>
                </c:pt>
              </c:strCache>
            </c:strRef>
          </c:cat>
          <c:val>
            <c:numRef>
              <c:f>'Tableau de bord'!$I$17:$I$22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13B9-4378-843E-4BCC9F8D43F3}"/>
            </c:ext>
          </c:extLst>
        </c:ser>
        <c:ser>
          <c:idx val="1"/>
          <c:order val="1"/>
          <c:tx>
            <c:strRef>
              <c:f>'Tableau de bord'!$J$16</c:f>
              <c:strCache>
                <c:ptCount val="1"/>
                <c:pt idx="0">
                  <c:v>Reste</c:v>
                </c:pt>
              </c:strCache>
            </c:strRef>
          </c:tx>
          <c:spPr>
            <a:solidFill>
              <a:srgbClr val="9DC3E6"/>
            </a:solidFill>
            <a:ln w="0">
              <a:solidFill>
                <a:srgbClr val="9DC3E6"/>
              </a:solidFill>
            </a:ln>
          </c:spPr>
          <c:invertIfNegative val="0"/>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'Tableau de bord'!$G$17:$G$22</c:f>
              <c:strCache>
                <c:ptCount val="6"/>
                <c:pt idx="0">
                  <c:v>octobre 2026</c:v>
                </c:pt>
                <c:pt idx="1">
                  <c:v>novembre 2026</c:v>
                </c:pt>
                <c:pt idx="2">
                  <c:v>décembre 2026</c:v>
                </c:pt>
                <c:pt idx="3">
                  <c:v>janvier 2027</c:v>
                </c:pt>
                <c:pt idx="4">
                  <c:v>février 2027</c:v>
                </c:pt>
                <c:pt idx="5">
                  <c:v>mars 2027</c:v>
                </c:pt>
              </c:strCache>
            </c:strRef>
          </c:cat>
          <c:val>
            <c:numRef>
              <c:f>'Tableau de bord'!$J$17:$J$22</c:f>
              <c:numCache>
                <c:formatCode>General</c:formatCode>
                <c:ptCount val="6"/>
                <c:pt idx="0">
                  <c:v>20</c:v>
                </c:pt>
                <c:pt idx="1">
                  <c:v>29</c:v>
                </c:pt>
                <c:pt idx="2">
                  <c:v>20</c:v>
                </c:pt>
                <c:pt idx="3">
                  <c:v>29</c:v>
                </c:pt>
                <c:pt idx="4">
                  <c:v>41</c:v>
                </c:pt>
                <c:pt idx="5">
                  <c:v>40</c:v>
                </c:pt>
              </c:numCache>
            </c:numRef>
          </c:val>
          <c:extLst>
            <c:ext xmlns:c16="http://schemas.microsoft.com/office/drawing/2014/chart" uri="{C3380CC4-5D6E-409C-BE32-E72D297353CC}">
              <c16:uniqueId val="{00000001-13B9-4378-843E-4BCC9F8D43F3}"/>
            </c:ext>
          </c:extLst>
        </c:ser>
        <c:dLbls>
          <c:showLegendKey val="0"/>
          <c:showVal val="0"/>
          <c:showCatName val="0"/>
          <c:showSerName val="0"/>
          <c:showPercent val="0"/>
          <c:showBubbleSize val="0"/>
        </c:dLbls>
        <c:gapWidth val="150"/>
        <c:overlap val="100"/>
        <c:axId val="65348941"/>
        <c:axId val="26935040"/>
      </c:barChart>
      <c:catAx>
        <c:axId val="6534894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26935040"/>
        <c:crosses val="autoZero"/>
        <c:auto val="1"/>
        <c:lblAlgn val="ctr"/>
        <c:lblOffset val="100"/>
        <c:noMultiLvlLbl val="0"/>
      </c:catAx>
      <c:valAx>
        <c:axId val="2693504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Références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534894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Avancement par axe (références)</a:t>
            </a:r>
          </a:p>
        </c:rich>
      </c:tx>
      <c:overlay val="0"/>
      <c:spPr>
        <a:noFill/>
        <a:ln w="0">
          <a:noFill/>
        </a:ln>
      </c:spPr>
    </c:title>
    <c:autoTitleDeleted val="0"/>
    <c:plotArea>
      <c:layout/>
      <c:barChart>
        <c:barDir val="bar"/>
        <c:grouping val="stacked"/>
        <c:varyColors val="0"/>
        <c:ser>
          <c:idx val="0"/>
          <c:order val="0"/>
          <c:tx>
            <c:strRef>
              <c:f>'Tableau de bord'!$J$5</c:f>
              <c:strCache>
                <c:ptCount val="1"/>
                <c:pt idx="0">
                  <c:v>Lues</c:v>
                </c:pt>
              </c:strCache>
            </c:strRef>
          </c:tx>
          <c:spPr>
            <a:solidFill>
              <a:srgbClr val="70AD47"/>
            </a:solidFill>
            <a:ln w="0">
              <a:solidFill>
                <a:srgbClr val="70AD47"/>
              </a:solidFill>
            </a:ln>
          </c:spPr>
          <c:invertIfNegative val="0"/>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'Tableau de bord'!$F$6:$F$13</c:f>
              <c:numCache>
                <c:formatCode>General</c:formatCode>
                <c:ptCount val="8"/>
                <c:pt idx="0">
                  <c:v>1</c:v>
                </c:pt>
                <c:pt idx="1">
                  <c:v>2</c:v>
                </c:pt>
                <c:pt idx="2">
                  <c:v>3</c:v>
                </c:pt>
                <c:pt idx="3">
                  <c:v>4</c:v>
                </c:pt>
                <c:pt idx="4">
                  <c:v>5</c:v>
                </c:pt>
                <c:pt idx="5">
                  <c:v>6</c:v>
                </c:pt>
                <c:pt idx="6">
                  <c:v>7</c:v>
                </c:pt>
                <c:pt idx="7">
                  <c:v>8</c:v>
                </c:pt>
              </c:numCache>
            </c:numRef>
          </c:cat>
          <c:val>
            <c:numRef>
              <c:f>'Tableau de bord'!$J$6:$J$13</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AB97-414A-BF50-5E9995A54886}"/>
            </c:ext>
          </c:extLst>
        </c:ser>
        <c:ser>
          <c:idx val="1"/>
          <c:order val="1"/>
          <c:tx>
            <c:strRef>
              <c:f>'Tableau de bord'!$K$5</c:f>
              <c:strCache>
                <c:ptCount val="1"/>
                <c:pt idx="0">
                  <c:v>Reste</c:v>
                </c:pt>
              </c:strCache>
            </c:strRef>
          </c:tx>
          <c:spPr>
            <a:solidFill>
              <a:srgbClr val="9DC3E6"/>
            </a:solidFill>
            <a:ln w="0">
              <a:solidFill>
                <a:srgbClr val="9DC3E6"/>
              </a:solidFill>
            </a:ln>
          </c:spPr>
          <c:invertIfNegative val="0"/>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'Tableau de bord'!$F$6:$F$13</c:f>
              <c:numCache>
                <c:formatCode>General</c:formatCode>
                <c:ptCount val="8"/>
                <c:pt idx="0">
                  <c:v>1</c:v>
                </c:pt>
                <c:pt idx="1">
                  <c:v>2</c:v>
                </c:pt>
                <c:pt idx="2">
                  <c:v>3</c:v>
                </c:pt>
                <c:pt idx="3">
                  <c:v>4</c:v>
                </c:pt>
                <c:pt idx="4">
                  <c:v>5</c:v>
                </c:pt>
                <c:pt idx="5">
                  <c:v>6</c:v>
                </c:pt>
                <c:pt idx="6">
                  <c:v>7</c:v>
                </c:pt>
                <c:pt idx="7">
                  <c:v>8</c:v>
                </c:pt>
              </c:numCache>
            </c:numRef>
          </c:cat>
          <c:val>
            <c:numRef>
              <c:f>'Tableau de bord'!$K$6:$K$13</c:f>
              <c:numCache>
                <c:formatCode>General</c:formatCode>
                <c:ptCount val="8"/>
                <c:pt idx="0">
                  <c:v>16</c:v>
                </c:pt>
                <c:pt idx="1">
                  <c:v>36</c:v>
                </c:pt>
                <c:pt idx="2">
                  <c:v>20</c:v>
                </c:pt>
                <c:pt idx="3">
                  <c:v>10</c:v>
                </c:pt>
                <c:pt idx="4">
                  <c:v>45</c:v>
                </c:pt>
                <c:pt idx="5">
                  <c:v>23</c:v>
                </c:pt>
                <c:pt idx="6">
                  <c:v>22</c:v>
                </c:pt>
                <c:pt idx="7">
                  <c:v>7</c:v>
                </c:pt>
              </c:numCache>
            </c:numRef>
          </c:val>
          <c:extLst>
            <c:ext xmlns:c16="http://schemas.microsoft.com/office/drawing/2014/chart" uri="{C3380CC4-5D6E-409C-BE32-E72D297353CC}">
              <c16:uniqueId val="{00000001-AB97-414A-BF50-5E9995A54886}"/>
            </c:ext>
          </c:extLst>
        </c:ser>
        <c:dLbls>
          <c:showLegendKey val="0"/>
          <c:showVal val="0"/>
          <c:showCatName val="0"/>
          <c:showSerName val="0"/>
          <c:showPercent val="0"/>
          <c:showBubbleSize val="0"/>
        </c:dLbls>
        <c:gapWidth val="150"/>
        <c:overlap val="100"/>
        <c:axId val="32283797"/>
        <c:axId val="88718112"/>
      </c:barChart>
      <c:catAx>
        <c:axId val="32283797"/>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Axe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8718112"/>
        <c:crosses val="autoZero"/>
        <c:auto val="1"/>
        <c:lblAlgn val="ctr"/>
        <c:lblOffset val="100"/>
        <c:noMultiLvlLbl val="0"/>
      </c:catAx>
      <c:valAx>
        <c:axId val="88718112"/>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Références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228379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44</xdr:row>
      <xdr:rowOff>131040</xdr:rowOff>
    </xdr:from>
    <xdr:to>
      <xdr:col>6</xdr:col>
      <xdr:colOff>128520</xdr:colOff>
      <xdr:row>59</xdr:row>
      <xdr:rowOff>153000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44</xdr:row>
      <xdr:rowOff>131040</xdr:rowOff>
    </xdr:from>
    <xdr:to>
      <xdr:col>9</xdr:col>
      <xdr:colOff>551520</xdr:colOff>
      <xdr:row>59</xdr:row>
      <xdr:rowOff>153000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6" Type="http://schemas.openxmlformats.org/officeDocument/2006/relationships/hyperlink" Target="https://doi.org/10.1016/j.ast.2012.06.008" TargetMode="External"/><Relationship Id="rId117" Type="http://schemas.openxmlformats.org/officeDocument/2006/relationships/hyperlink" Target="https://norminfo.afnor.org/norme/nf-en-12697-24/melanges-bitumineux-methodes-dessai-pour-melange-hydrocarbone-a-chaud-partie-24-resistance-a-la-fatigue/107546" TargetMode="External"/><Relationship Id="rId21" Type="http://schemas.openxmlformats.org/officeDocument/2006/relationships/hyperlink" Target="https://doi.org/10.1080/14680629.2011.9713899" TargetMode="External"/><Relationship Id="rId42" Type="http://schemas.openxmlformats.org/officeDocument/2006/relationships/hyperlink" Target="http://www.lavoisier.eu/books/civil-engineering/materiaux-routiers-bitumineux-2-constitution-et-proprietes-thermomecaniques-des-melanges/di-benedetto/description-9782746209602" TargetMode="External"/><Relationship Id="rId47" Type="http://schemas.openxmlformats.org/officeDocument/2006/relationships/hyperlink" Target="https://hal.science/hal-01582496" TargetMode="External"/><Relationship Id="rId63" Type="http://schemas.openxmlformats.org/officeDocument/2006/relationships/hyperlink" Target="https://theses.hal.science/tel-03232608" TargetMode="External"/><Relationship Id="rId68" Type="http://schemas.openxmlformats.org/officeDocument/2006/relationships/hyperlink" Target="https://infoscience.epfl.ch/record/33261" TargetMode="External"/><Relationship Id="rId84" Type="http://schemas.openxmlformats.org/officeDocument/2006/relationships/hyperlink" Target="https://www.alize-lcpc.com/fr/documents/ALIZE-LCPC-MU-v1.5-FR.pdf" TargetMode="External"/><Relationship Id="rId89" Type="http://schemas.openxmlformats.org/officeDocument/2006/relationships/hyperlink" Target="https://doi.org/10.1016/S0020-7683(00)00112-8" TargetMode="External"/><Relationship Id="rId112" Type="http://schemas.openxmlformats.org/officeDocument/2006/relationships/hyperlink" Target="https://www.airporttech.tc.faa.gov/Products/Airport-Safety-Papers-Publications/Airport-Safety-Detail/ArtMID/3682/ArticleID/152/Field-Survey-and-Analysis-of-Aircraft-Distribution-on-Airport-Pavements" TargetMode="External"/><Relationship Id="rId16" Type="http://schemas.openxmlformats.org/officeDocument/2006/relationships/hyperlink" Target="https://doi.org/10.4271/892351" TargetMode="External"/><Relationship Id="rId107" Type="http://schemas.openxmlformats.org/officeDocument/2006/relationships/hyperlink" Target="https://hal.science/hal-03660005" TargetMode="External"/><Relationship Id="rId11" Type="http://schemas.openxmlformats.org/officeDocument/2006/relationships/hyperlink" Target="https://library.ctr.utexas.edu/digitized/texasarchive/phase2/1190-1.pdf" TargetMode="External"/><Relationship Id="rId32" Type="http://schemas.openxmlformats.org/officeDocument/2006/relationships/hyperlink" Target="https://doi.org/10.1016/j.matdes.2011.05.055" TargetMode="External"/><Relationship Id="rId37" Type="http://schemas.openxmlformats.org/officeDocument/2006/relationships/hyperlink" Target="https://doi.org/10.70675/8e64093dzdd25z4a64za9fczf6d298da3f8a" TargetMode="External"/><Relationship Id="rId53" Type="http://schemas.openxmlformats.org/officeDocument/2006/relationships/hyperlink" Target="https://link.springer.com/content/pdf/10.1007/BF02481553.pdf" TargetMode="External"/><Relationship Id="rId58" Type="http://schemas.openxmlformats.org/officeDocument/2006/relationships/hyperlink" Target="https://doi.org/10.1021/ja01619a008" TargetMode="External"/><Relationship Id="rId74" Type="http://schemas.openxmlformats.org/officeDocument/2006/relationships/hyperlink" Target="https://www.alize-lcpc.com/fr/documents/ALIZE-AERO-MU-v1.5-FR.pdf" TargetMode="External"/><Relationship Id="rId79" Type="http://schemas.openxmlformats.org/officeDocument/2006/relationships/hyperlink" Target="https://doi.org/10.1177/0361198196153900113" TargetMode="External"/><Relationship Id="rId102" Type="http://schemas.openxmlformats.org/officeDocument/2006/relationships/hyperlink" Target="https://jtte.chd.edu.cn/article/doi/10.1016/j.jtte.2020.08.002" TargetMode="External"/><Relationship Id="rId123" Type="http://schemas.openxmlformats.org/officeDocument/2006/relationships/vmlDrawing" Target="../drawings/vmlDrawing1.vml"/><Relationship Id="rId5" Type="http://schemas.openxmlformats.org/officeDocument/2006/relationships/hyperlink" Target="https://www.aircraft.airbus.com/sites/g/files/jlcbta126/files/2023-02/Airbus-Commercial-Aircraft-HTPT-final-report-31-Aug-2010.pdf" TargetMode="External"/><Relationship Id="rId90" Type="http://schemas.openxmlformats.org/officeDocument/2006/relationships/hyperlink" Target="https://doi.org/10.1177/0361198196153900110" TargetMode="External"/><Relationship Id="rId95" Type="http://schemas.openxmlformats.org/officeDocument/2006/relationships/hyperlink" Target="https://doi.org/10.1007/978-3-030-48679-2_65" TargetMode="External"/><Relationship Id="rId22" Type="http://schemas.openxmlformats.org/officeDocument/2006/relationships/hyperlink" Target="https://scholar.google.com/scholar?q=%22Determination+of+pneumatic+tyre%2Fpavement+interface+contact+stresses+under+moving+loads+and+some+effects+on+pavements+with+thin+asphalt+surfacing+layers%22" TargetMode="External"/><Relationship Id="rId27" Type="http://schemas.openxmlformats.org/officeDocument/2006/relationships/hyperlink" Target="https://doi.org/10.1080/10298436.2011.565767" TargetMode="External"/><Relationship Id="rId43" Type="http://schemas.openxmlformats.org/officeDocument/2006/relationships/hyperlink" Target="https://theses.hal.science/tel-00006050" TargetMode="External"/><Relationship Id="rId48" Type="http://schemas.openxmlformats.org/officeDocument/2006/relationships/hyperlink" Target="https://doi.org/10.1061/(ASCE)1532-3641(2007)7:2(149)" TargetMode="External"/><Relationship Id="rId64" Type="http://schemas.openxmlformats.org/officeDocument/2006/relationships/hyperlink" Target="https://www.stac.aviation-civile.gouv.fr/sites/default/files/dim_chau_souple-v2_light.pdf" TargetMode="External"/><Relationship Id="rId69" Type="http://schemas.openxmlformats.org/officeDocument/2006/relationships/hyperlink" Target="https://scholar.google.com/scholar?q=%22Influence+des+propri&#233;t&#233;s+&#233;lastiques+ou+visco&#233;lastiques+des+rev&#234;tements+sur+le+comportement+des+ponts+&#224;+dalle+orthotrope%22" TargetMode="External"/><Relationship Id="rId113" Type="http://schemas.openxmlformats.org/officeDocument/2006/relationships/hyperlink" Target="https://store.icao.int/en/annex-14-aerodromes" TargetMode="External"/><Relationship Id="rId118" Type="http://schemas.openxmlformats.org/officeDocument/2006/relationships/hyperlink" Target="https://doi.org/10.1177/0361198118794293" TargetMode="External"/><Relationship Id="rId80" Type="http://schemas.openxmlformats.org/officeDocument/2006/relationships/hyperlink" Target="https://doi.org/10.1617/s11527-011-9820-z" TargetMode="External"/><Relationship Id="rId85" Type="http://schemas.openxmlformats.org/officeDocument/2006/relationships/hyperlink" Target="https://archive.org/download/applicationdesp00bousgoog/applicationdesp00bousgoog.pdf" TargetMode="External"/><Relationship Id="rId12" Type="http://schemas.openxmlformats.org/officeDocument/2006/relationships/hyperlink" Target="https://doi.org/10.1061/(ASCE)0733-947X(1987)113:1(56)" TargetMode="External"/><Relationship Id="rId17" Type="http://schemas.openxmlformats.org/officeDocument/2006/relationships/hyperlink" Target="https://doi.org/10.1016/j.conbuildmat.2021.125355" TargetMode="External"/><Relationship Id="rId33" Type="http://schemas.openxmlformats.org/officeDocument/2006/relationships/hyperlink" Target="https://doi.org/10.1016/j.jterra.2022.10.001" TargetMode="External"/><Relationship Id="rId38" Type="http://schemas.openxmlformats.org/officeDocument/2006/relationships/hyperlink" Target="https://www.sciencedirect.com/science/article/pii/S0888327022001376/pdf" TargetMode="External"/><Relationship Id="rId59" Type="http://schemas.openxmlformats.org/officeDocument/2006/relationships/hyperlink" Target="https://www.boutique.afnor.org/en-gb/standard/nf-en-12593/bitumen-and-bituminous-binders-determination-of-the-fraass-breaking-point/fa176331/45812" TargetMode="External"/><Relationship Id="rId103" Type="http://schemas.openxmlformats.org/officeDocument/2006/relationships/hyperlink" Target="https://doi.org/10.3141/2154-08" TargetMode="External"/><Relationship Id="rId108" Type="http://schemas.openxmlformats.org/officeDocument/2006/relationships/hyperlink" Target="https://nap.nationalacademies.org/catalog/22935" TargetMode="External"/><Relationship Id="rId124" Type="http://schemas.openxmlformats.org/officeDocument/2006/relationships/comments" Target="../comments1.xml"/><Relationship Id="rId54" Type="http://schemas.openxmlformats.org/officeDocument/2006/relationships/hyperlink" Target="https://hal.science/hal-01829833" TargetMode="External"/><Relationship Id="rId70" Type="http://schemas.openxmlformats.org/officeDocument/2006/relationships/hyperlink" Target="https://hal.science/hal-02378224" TargetMode="External"/><Relationship Id="rId75" Type="http://schemas.openxmlformats.org/officeDocument/2006/relationships/hyperlink" Target="https://theses.fr/2010ENPC1008" TargetMode="External"/><Relationship Id="rId91" Type="http://schemas.openxmlformats.org/officeDocument/2006/relationships/hyperlink" Target="https://doi.org/10.1115/1.1467920" TargetMode="External"/><Relationship Id="rId96" Type="http://schemas.openxmlformats.org/officeDocument/2006/relationships/hyperlink" Target="https://doi.org/10.1061/(ASCE)0733-947X(1998)124:6(557)" TargetMode="External"/><Relationship Id="rId1" Type="http://schemas.openxmlformats.org/officeDocument/2006/relationships/hyperlink" Target="https://doi.org/10.2346/tire.12.400403" TargetMode="External"/><Relationship Id="rId6" Type="http://schemas.openxmlformats.org/officeDocument/2006/relationships/hyperlink" Target="https://www.stac.aviation-civile.gouv.fr/sites/default/files/rapportPEP.pdf" TargetMode="External"/><Relationship Id="rId23" Type="http://schemas.openxmlformats.org/officeDocument/2006/relationships/hyperlink" Target="https://trid.trb.org/view.aspx?id=732149" TargetMode="External"/><Relationship Id="rId28" Type="http://schemas.openxmlformats.org/officeDocument/2006/relationships/hyperlink" Target="https://doi.org/10.1080/14680629.2018.1473285" TargetMode="External"/><Relationship Id="rId49" Type="http://schemas.openxmlformats.org/officeDocument/2006/relationships/hyperlink" Target="https://doi.org/10.1007/s11043-014-9240-x" TargetMode="External"/><Relationship Id="rId114" Type="http://schemas.openxmlformats.org/officeDocument/2006/relationships/hyperlink" Target="https://store.icao.int/en/aerodrome-design-manual-part-3-pavements-doc-9157-part-3" TargetMode="External"/><Relationship Id="rId119" Type="http://schemas.openxmlformats.org/officeDocument/2006/relationships/hyperlink" Target="https://www.nature.com/articles/s41598-025-87453-2.pdf" TargetMode="External"/><Relationship Id="rId44" Type="http://schemas.openxmlformats.org/officeDocument/2006/relationships/hyperlink" Target="https://doi.org/10.1007/978-3-642-73602-5" TargetMode="External"/><Relationship Id="rId60" Type="http://schemas.openxmlformats.org/officeDocument/2006/relationships/hyperlink" Target="https://www.boutique.afnor.org/fr-fr/norme/nf-en-1427/bitumes-et-liants-bitumineux-determination-du-point-de-ramollissement-methode-bille-et-anneau/fa176342/1705" TargetMode="External"/><Relationship Id="rId65" Type="http://schemas.openxmlformats.org/officeDocument/2006/relationships/hyperlink" Target="https://doi.org/10.1063/1.1707558" TargetMode="External"/><Relationship Id="rId81" Type="http://schemas.openxmlformats.org/officeDocument/2006/relationships/hyperlink" Target="https://www.aircraft.airbus.com/sites/g/files/jlcbta126/files/2025-12/AC_A340-200-300_20251201.pdf" TargetMode="External"/><Relationship Id="rId86" Type="http://schemas.openxmlformats.org/officeDocument/2006/relationships/hyperlink" Target="https://hal.science/hal-05390538" TargetMode="External"/><Relationship Id="rId4" Type="http://schemas.openxmlformats.org/officeDocument/2006/relationships/hyperlink" Target="https://doi.org/10.1007/978-3-030-46455-4_236" TargetMode="External"/><Relationship Id="rId9" Type="http://schemas.openxmlformats.org/officeDocument/2006/relationships/hyperlink" Target="https://researchspace.csir.co.za/server/api/core/bitstreams/78155ecc-6d57-4492-a4dc-e32e2d93602a/content" TargetMode="External"/><Relationship Id="rId13" Type="http://schemas.openxmlformats.org/officeDocument/2006/relationships/hyperlink" Target="https://www.mdpi.com/2079-6412/13/2/416/pdf?version=1676191118" TargetMode="External"/><Relationship Id="rId18" Type="http://schemas.openxmlformats.org/officeDocument/2006/relationships/hyperlink" Target="https://www.mdpi.com/2079-6412/10/6/591/pdf" TargetMode="External"/><Relationship Id="rId39" Type="http://schemas.openxmlformats.org/officeDocument/2006/relationships/hyperlink" Target="https://doi.org/10.1080/10298436.2021.1990288" TargetMode="External"/><Relationship Id="rId109" Type="http://schemas.openxmlformats.org/officeDocument/2006/relationships/hyperlink" Target="https://doi.org/10.3141/1655-21" TargetMode="External"/><Relationship Id="rId34" Type="http://schemas.openxmlformats.org/officeDocument/2006/relationships/hyperlink" Target="https://doi.org/10.4271/880001" TargetMode="External"/><Relationship Id="rId50" Type="http://schemas.openxmlformats.org/officeDocument/2006/relationships/hyperlink" Target="https://doi.org/10.1617/s11527-013-0117-2" TargetMode="External"/><Relationship Id="rId55" Type="http://schemas.openxmlformats.org/officeDocument/2006/relationships/hyperlink" Target="https://doi.org/10.1061/(ASCE)MT.1943-5533.0000658" TargetMode="External"/><Relationship Id="rId76" Type="http://schemas.openxmlformats.org/officeDocument/2006/relationships/hyperlink" Target="https://www.stac.aviation-civile.gouv.fr/sites/default/files/gt_methode_dim_soup_alize-aero_light.pdf" TargetMode="External"/><Relationship Id="rId97" Type="http://schemas.openxmlformats.org/officeDocument/2006/relationships/hyperlink" Target="https://doi.org/10.1061/(ASCE)0733-947X(2002)128:2(136)" TargetMode="External"/><Relationship Id="rId104" Type="http://schemas.openxmlformats.org/officeDocument/2006/relationships/hyperlink" Target="https://doi.org/10.1007/BF02481620" TargetMode="External"/><Relationship Id="rId120" Type="http://schemas.openxmlformats.org/officeDocument/2006/relationships/hyperlink" Target="https://doi.org/10.1115/1.4009458" TargetMode="External"/><Relationship Id="rId7" Type="http://schemas.openxmlformats.org/officeDocument/2006/relationships/hyperlink" Target="https://www.stac.aviation-civile.gouv.fr/en/publications/high-tire-pressure-test" TargetMode="External"/><Relationship Id="rId71" Type="http://schemas.openxmlformats.org/officeDocument/2006/relationships/hyperlink" Target="https://doi.org/10.3141/2095-06" TargetMode="External"/><Relationship Id="rId92" Type="http://schemas.openxmlformats.org/officeDocument/2006/relationships/hyperlink" Target="https://doi.org/10.1017/CBO9781139171731" TargetMode="External"/><Relationship Id="rId2" Type="http://schemas.openxmlformats.org/officeDocument/2006/relationships/hyperlink" Target="https://doi.org/10.1016/j.measurement.2013.03.012" TargetMode="External"/><Relationship Id="rId29" Type="http://schemas.openxmlformats.org/officeDocument/2006/relationships/hyperlink" Target="https://scholar.google.com/scholar?q=%22&#201;tude+par+une+m&#233;thode+d%27imp&#233;dance+du+comportement+visco&#233;lastique+des+mat&#233;riaux+hydrocarbon&#233;s%22" TargetMode="External"/><Relationship Id="rId24" Type="http://schemas.openxmlformats.org/officeDocument/2006/relationships/hyperlink" Target="https://www.cs.odu.edu/~mln/ltrs-pdfs/NASA-2003-tm212415.pdf" TargetMode="External"/><Relationship Id="rId40" Type="http://schemas.openxmlformats.org/officeDocument/2006/relationships/hyperlink" Target="https://www.mdpi.com/2076-3417/8/4/593/pdf?version=1525347784" TargetMode="External"/><Relationship Id="rId45" Type="http://schemas.openxmlformats.org/officeDocument/2006/relationships/hyperlink" Target="https://norminfo.afnor.org/norme/nf-en-12697-26a1/melanges-bitumineux-methodes-dessai-partie-26-rigidite/201578" TargetMode="External"/><Relationship Id="rId66" Type="http://schemas.openxmlformats.org/officeDocument/2006/relationships/hyperlink" Target="https://doi.org/10.1061/(ASCE)0733-9399(2006)132:2(172)" TargetMode="External"/><Relationship Id="rId87" Type="http://schemas.openxmlformats.org/officeDocument/2006/relationships/hyperlink" Target="https://arxiv.org/pdf/1005.1763" TargetMode="External"/><Relationship Id="rId110" Type="http://schemas.openxmlformats.org/officeDocument/2006/relationships/hyperlink" Target="https://www.faa.gov/documentLibrary/media/Advisory_Circular/150-5320-6G-Pavement-Design.pdf" TargetMode="External"/><Relationship Id="rId115" Type="http://schemas.openxmlformats.org/officeDocument/2006/relationships/hyperlink" Target="https://proceedings-paris2007.piarc.org/ressources/files/3/AP01-ROGINSKI-E.pdf" TargetMode="External"/><Relationship Id="rId61" Type="http://schemas.openxmlformats.org/officeDocument/2006/relationships/hyperlink" Target="https://norminfo.afnor.org/norme/nf-en-1426/bitumes-et-liants-bitumineux-determination-de-la-penetrabilite-a-laiguille/194770" TargetMode="External"/><Relationship Id="rId82" Type="http://schemas.openxmlformats.org/officeDocument/2006/relationships/hyperlink" Target="https://doi.org/10.1007/978-3-030-46455-4_33" TargetMode="External"/><Relationship Id="rId19" Type="http://schemas.openxmlformats.org/officeDocument/2006/relationships/hyperlink" Target="https://doi.org/10.1080/14680629.2004.9689992" TargetMode="External"/><Relationship Id="rId14" Type="http://schemas.openxmlformats.org/officeDocument/2006/relationships/hyperlink" Target="https://doi.org/10.1016/j.conbuildmat.2025.142649" TargetMode="External"/><Relationship Id="rId30" Type="http://schemas.openxmlformats.org/officeDocument/2006/relationships/hyperlink" Target="https://doi.org/10.1016/S0020-7683(98)00055-9" TargetMode="External"/><Relationship Id="rId35" Type="http://schemas.openxmlformats.org/officeDocument/2006/relationships/hyperlink" Target="https://www.fueleconomy.gov/feg/pdfs/PneumaticTire_HS-810-561.pdf" TargetMode="External"/><Relationship Id="rId56" Type="http://schemas.openxmlformats.org/officeDocument/2006/relationships/hyperlink" Target="https://www.routledge.com/Mechanical-Tests-for-Bituminous-Mixes---Characterization-Design-and-Quality/Eustacchio-Fritz/p/book/9780429082238" TargetMode="External"/><Relationship Id="rId77" Type="http://schemas.openxmlformats.org/officeDocument/2006/relationships/hyperlink" Target="https://doi.org/10.3141/2367-08" TargetMode="External"/><Relationship Id="rId100" Type="http://schemas.openxmlformats.org/officeDocument/2006/relationships/hyperlink" Target="https://doi.org/10.1139/L08-118" TargetMode="External"/><Relationship Id="rId105" Type="http://schemas.openxmlformats.org/officeDocument/2006/relationships/hyperlink" Target="https://doi.org/10.1061/(ASCE)0899-1561(2009)21:7(324)" TargetMode="External"/><Relationship Id="rId8" Type="http://schemas.openxmlformats.org/officeDocument/2006/relationships/hyperlink" Target="https://scholar.google.com/scholar?q=%22Contact+stresses+of+the+11.00-R22.5+pneumatic+radial+tyres+on+the+Gautrans+Heavy+Vehicle+Simulator+%28HVS%29+measured+with+the+Vehicle-Road+Pressure+Transducer+Array+%28VRSPTA%29+system%22" TargetMode="External"/><Relationship Id="rId51" Type="http://schemas.openxmlformats.org/officeDocument/2006/relationships/hyperlink" Target="https://link.springer.com/content/pdf/10.1617/s11527-017-1008-8.pdf" TargetMode="External"/><Relationship Id="rId72" Type="http://schemas.openxmlformats.org/officeDocument/2006/relationships/hyperlink" Target="https://downloads.hindawi.com/journals/mpe/2020/1029089.pdf" TargetMode="External"/><Relationship Id="rId93" Type="http://schemas.openxmlformats.org/officeDocument/2006/relationships/hyperlink" Target="https://doi.org/10.1098/rsta.1929.0009" TargetMode="External"/><Relationship Id="rId98" Type="http://schemas.openxmlformats.org/officeDocument/2006/relationships/hyperlink" Target="https://hal.science/hal-00561917" TargetMode="External"/><Relationship Id="rId121" Type="http://schemas.openxmlformats.org/officeDocument/2006/relationships/hyperlink" Target="https://doi.org/10.1080/10298436.2019.1671589" TargetMode="External"/><Relationship Id="rId3" Type="http://schemas.openxmlformats.org/officeDocument/2006/relationships/hyperlink" Target="https://apps.dtic.mil/sti/pdfs/ADA279100.pdf" TargetMode="External"/><Relationship Id="rId25" Type="http://schemas.openxmlformats.org/officeDocument/2006/relationships/hyperlink" Target="https://doi.org/10.1007/s12205-021-1306-0" TargetMode="External"/><Relationship Id="rId46" Type="http://schemas.openxmlformats.org/officeDocument/2006/relationships/hyperlink" Target="https://doi.org/10.1080/14680629.2011.9690356" TargetMode="External"/><Relationship Id="rId67" Type="http://schemas.openxmlformats.org/officeDocument/2006/relationships/hyperlink" Target="https://doi.org/10.1080/10298436.2017.1380803" TargetMode="External"/><Relationship Id="rId116" Type="http://schemas.openxmlformats.org/officeDocument/2006/relationships/hyperlink" Target="https://www.editions-rgra.com/revue/993/aeroports/methode-acrpcr-dadmissibilite-des-aeronefs" TargetMode="External"/><Relationship Id="rId20" Type="http://schemas.openxmlformats.org/officeDocument/2006/relationships/hyperlink" Target="https://doi.org/10.1080/14680629.2003.9689946" TargetMode="External"/><Relationship Id="rId41" Type="http://schemas.openxmlformats.org/officeDocument/2006/relationships/hyperlink" Target="https://doi.org/10.1177/16878132221092346" TargetMode="External"/><Relationship Id="rId62" Type="http://schemas.openxmlformats.org/officeDocument/2006/relationships/hyperlink" Target="https://doi.org/10.1080/14680629.2006.9690059" TargetMode="External"/><Relationship Id="rId83" Type="http://schemas.openxmlformats.org/officeDocument/2006/relationships/hyperlink" Target="https://www.boutique.afnor.org/en-gb/standard/nf-p98086/road-pavement-structural-design-application-to-new-pavement/fa191354/82623" TargetMode="External"/><Relationship Id="rId88" Type="http://schemas.openxmlformats.org/officeDocument/2006/relationships/hyperlink" Target="https://doi.org/10.1016/S0043-1648(00)00427-0" TargetMode="External"/><Relationship Id="rId111" Type="http://schemas.openxmlformats.org/officeDocument/2006/relationships/hyperlink" Target="https://www.faa.gov/documentLibrary/media/Advisory_Circular/150-5335-5D-Pavement-Strength-202501.pdf" TargetMode="External"/><Relationship Id="rId15" Type="http://schemas.openxmlformats.org/officeDocument/2006/relationships/hyperlink" Target="https://doi.org/10.3390/lubricants13070309" TargetMode="External"/><Relationship Id="rId36" Type="http://schemas.openxmlformats.org/officeDocument/2006/relationships/hyperlink" Target="https://doi.org/10.1061/(ASCE)TE.1943-5436.0000893" TargetMode="External"/><Relationship Id="rId57" Type="http://schemas.openxmlformats.org/officeDocument/2006/relationships/hyperlink" Target="https://doi.org/10.1080/14680629.2002.9689918" TargetMode="External"/><Relationship Id="rId106" Type="http://schemas.openxmlformats.org/officeDocument/2006/relationships/hyperlink" Target="https://doi.org/10.3141/1778-14" TargetMode="External"/><Relationship Id="rId10" Type="http://schemas.openxmlformats.org/officeDocument/2006/relationships/hyperlink" Target="https://www.mdpi.com/2079-6412/14/2/157/pdf?version=1706522583" TargetMode="External"/><Relationship Id="rId31" Type="http://schemas.openxmlformats.org/officeDocument/2006/relationships/hyperlink" Target="https://scholar.google.com/scholar?q=%22Contribution+&#224;+l%27&#233;tude+des+propri&#233;t&#233;s+visco&#233;lastiques+des+bitumes+purs+et+des+b&#233;tons+bitumineux%22" TargetMode="External"/><Relationship Id="rId52" Type="http://schemas.openxmlformats.org/officeDocument/2006/relationships/hyperlink" Target="https://doi.org/10.1007/s11043-015-9258-8" TargetMode="External"/><Relationship Id="rId73" Type="http://schemas.openxmlformats.org/officeDocument/2006/relationships/hyperlink" Target="https://doi.org/10.1080/10298430500516074" TargetMode="External"/><Relationship Id="rId78" Type="http://schemas.openxmlformats.org/officeDocument/2006/relationships/hyperlink" Target="https://doc.cerema.fr/Default/doc/SYRACUSE/15924" TargetMode="External"/><Relationship Id="rId94" Type="http://schemas.openxmlformats.org/officeDocument/2006/relationships/hyperlink" Target="https://www.mdpi.com/1996-1944/14/9/2117/pdf" TargetMode="External"/><Relationship Id="rId99" Type="http://schemas.openxmlformats.org/officeDocument/2006/relationships/hyperlink" Target="https://www.ifsttar.fr/collections/BLPCpdfs/blpc_258-259_89-103.pdf" TargetMode="External"/><Relationship Id="rId101" Type="http://schemas.openxmlformats.org/officeDocument/2006/relationships/hyperlink" Target="https://doi.org/10.3141/1896-11" TargetMode="External"/><Relationship Id="rId122" Type="http://schemas.openxmlformats.org/officeDocument/2006/relationships/hyperlink" Target="https://www.airporttech.tc.faa.gov/Products/Airport-Pavement-Papers-Publications/Airport-Pavement-Detail/FAARFIELD-2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B2:C86"/>
  <sheetViews>
    <sheetView showGridLines="0" zoomScaleNormal="100" workbookViewId="0"/>
  </sheetViews>
  <sheetFormatPr baseColWidth="10" defaultColWidth="8.7109375" defaultRowHeight="15" x14ac:dyDescent="0.25"/>
  <cols>
    <col min="1" max="1" width="2" customWidth="1"/>
    <col min="2" max="2" width="30" customWidth="1"/>
    <col min="3" max="3" width="100" customWidth="1"/>
  </cols>
  <sheetData>
    <row r="2" spans="2:3" ht="20.25" x14ac:dyDescent="0.3">
      <c r="B2" s="6" t="s">
        <v>0</v>
      </c>
    </row>
    <row r="3" spans="2:3" ht="30" customHeight="1" x14ac:dyDescent="0.25">
      <c r="B3" s="80" t="s">
        <v>1</v>
      </c>
      <c r="C3" s="80"/>
    </row>
    <row r="5" spans="2:3" ht="15.75" x14ac:dyDescent="0.25">
      <c r="B5" s="7" t="s">
        <v>2</v>
      </c>
    </row>
    <row r="6" spans="2:3" x14ac:dyDescent="0.25">
      <c r="B6" s="8" t="s">
        <v>3</v>
      </c>
      <c r="C6" s="4" t="str">
        <f>'Tableau de bord'!C6&amp;" références, dont "&amp;'Tableau de bord'!C7&amp;" issues de la bibliographie du TFE"</f>
        <v>179 références, dont 39 issues de la bibliographie du TFE</v>
      </c>
    </row>
    <row r="7" spans="2:3" x14ac:dyDescent="0.25">
      <c r="B7" s="8" t="s">
        <v>4</v>
      </c>
      <c r="C7" s="4" t="str">
        <f>'Tableau de bord'!C8&amp;" vérifiées sur source primaire, "&amp;'Tableau de bord'!C9&amp;" partiellement, "&amp;'Tableau de bord'!C10&amp;" non vérifiée(s) ; "&amp;'Tableau de bord'!C11&amp;" DOI, tous résolus"</f>
        <v>140 vérifiées sur source primaire, 38 partiellement, 1 non vérifiée(s) ; 106 DOI, tous résolus</v>
      </c>
    </row>
    <row r="8" spans="2:3" x14ac:dyDescent="0.25">
      <c r="B8" s="8" t="s">
        <v>5</v>
      </c>
      <c r="C8" s="4" t="str">
        <f>'Tableau de bord'!C12&amp;" téléchargeables tout de suite, "&amp;'Tableau de bord'!C13&amp;" via l'abonnement ENTPE, "&amp;'Tableau de bord'!C14&amp;" payantes, "&amp;'Tableau de bord'!C15&amp;" à demander ou localiser"</f>
        <v>56 téléchargeables tout de suite, 80 via l'abonnement ENTPE, 28 payantes, 15 à demander ou localiser</v>
      </c>
    </row>
    <row r="9" spans="2:3" ht="30" customHeight="1" x14ac:dyDescent="0.25">
      <c r="B9" s="8" t="s">
        <v>6</v>
      </c>
      <c r="C9" s="4" t="str">
        <f ca="1">'Tableau de bord'!C27&amp;" : "&amp;'Tableau de bord'!C17&amp;" lues, "&amp;'Tableau de bord'!C20&amp;" en retard. Prochaine action : "&amp;'Tableau de bord'!C32</f>
        <v>1 — octobre 2026 : 0 lues, 0 en retard. Prochaine action : Envoyer ou relancer 3 demande(s) : feuille Demandes</v>
      </c>
    </row>
    <row r="10" spans="2:3" x14ac:dyDescent="0.25">
      <c r="B10" s="8" t="s">
        <v>7</v>
      </c>
      <c r="C10" s="4" t="str">
        <f>COUNTIF('Lecture détaillée'!$J$5:$J$204,"Complet")&amp;" d'après un résumé complet, "&amp;COUNTIF('Lecture détaillée'!$J$5:$J$204,"Partiel")&amp;" d'après un texte partiel, "&amp;COUNTIF('Lecture détaillée'!$J$5:$J$204,"Aucun")&amp;" fiches de repérage (pas de résumé en ligne)"</f>
        <v>70 d'après un résumé complet, 18 d'après un texte partiel, 91 fiches de repérage (pas de résumé en ligne)</v>
      </c>
    </row>
    <row r="12" spans="2:3" ht="15.75" x14ac:dyDescent="0.25">
      <c r="B12" s="7" t="s">
        <v>8</v>
      </c>
    </row>
    <row r="13" spans="2:3" ht="43.5" customHeight="1" x14ac:dyDescent="0.25">
      <c r="B13" s="78" t="s">
        <v>9</v>
      </c>
      <c r="C13" s="78"/>
    </row>
    <row r="14" spans="2:3" ht="43.5" customHeight="1" x14ac:dyDescent="0.25">
      <c r="B14" s="78" t="s">
        <v>10</v>
      </c>
      <c r="C14" s="78"/>
    </row>
    <row r="15" spans="2:3" ht="43.5" customHeight="1" x14ac:dyDescent="0.25">
      <c r="B15" s="78" t="s">
        <v>11</v>
      </c>
      <c r="C15" s="78"/>
    </row>
    <row r="16" spans="2:3" ht="43.5" customHeight="1" x14ac:dyDescent="0.25">
      <c r="B16" s="78" t="s">
        <v>12</v>
      </c>
      <c r="C16" s="78"/>
    </row>
    <row r="18" spans="2:3" ht="15.75" x14ac:dyDescent="0.25">
      <c r="B18" s="7" t="s">
        <v>13</v>
      </c>
    </row>
    <row r="19" spans="2:3" ht="30" customHeight="1" x14ac:dyDescent="0.25">
      <c r="B19" s="78" t="s">
        <v>14</v>
      </c>
      <c r="C19" s="78"/>
    </row>
    <row r="20" spans="2:3" ht="30" customHeight="1" x14ac:dyDescent="0.25">
      <c r="B20" s="78" t="s">
        <v>15</v>
      </c>
      <c r="C20" s="78"/>
    </row>
    <row r="21" spans="2:3" ht="30" customHeight="1" x14ac:dyDescent="0.25">
      <c r="B21" s="78" t="s">
        <v>16</v>
      </c>
      <c r="C21" s="78"/>
    </row>
    <row r="22" spans="2:3" ht="30" customHeight="1" x14ac:dyDescent="0.25">
      <c r="B22" s="78" t="s">
        <v>17</v>
      </c>
      <c r="C22" s="78"/>
    </row>
    <row r="23" spans="2:3" ht="30" customHeight="1" x14ac:dyDescent="0.25">
      <c r="B23" s="78" t="s">
        <v>18</v>
      </c>
      <c r="C23" s="78"/>
    </row>
    <row r="24" spans="2:3" ht="30" customHeight="1" x14ac:dyDescent="0.25">
      <c r="B24" s="78" t="s">
        <v>19</v>
      </c>
      <c r="C24" s="78"/>
    </row>
    <row r="25" spans="2:3" ht="30" customHeight="1" x14ac:dyDescent="0.25">
      <c r="B25" s="78" t="s">
        <v>20</v>
      </c>
      <c r="C25" s="78"/>
    </row>
    <row r="27" spans="2:3" ht="15.75" x14ac:dyDescent="0.25">
      <c r="B27" s="7" t="s">
        <v>21</v>
      </c>
    </row>
    <row r="28" spans="2:3" ht="43.5" customHeight="1" x14ac:dyDescent="0.25">
      <c r="B28" s="8" t="s">
        <v>22</v>
      </c>
      <c r="C28" s="4" t="s">
        <v>23</v>
      </c>
    </row>
    <row r="29" spans="2:3" ht="43.5" customHeight="1" x14ac:dyDescent="0.25">
      <c r="B29" s="8" t="s">
        <v>3</v>
      </c>
      <c r="C29" s="4" t="s">
        <v>24</v>
      </c>
    </row>
    <row r="30" spans="2:3" ht="43.5" customHeight="1" x14ac:dyDescent="0.25">
      <c r="B30" s="8" t="s">
        <v>25</v>
      </c>
      <c r="C30" s="4" t="s">
        <v>26</v>
      </c>
    </row>
    <row r="31" spans="2:3" ht="43.5" customHeight="1" x14ac:dyDescent="0.25">
      <c r="B31" s="8" t="s">
        <v>27</v>
      </c>
      <c r="C31" s="4" t="s">
        <v>28</v>
      </c>
    </row>
    <row r="32" spans="2:3" ht="43.5" customHeight="1" x14ac:dyDescent="0.25">
      <c r="B32" s="8" t="s">
        <v>29</v>
      </c>
      <c r="C32" s="4" t="s">
        <v>30</v>
      </c>
    </row>
    <row r="33" spans="2:3" ht="43.5" customHeight="1" x14ac:dyDescent="0.25">
      <c r="B33" s="8" t="s">
        <v>31</v>
      </c>
      <c r="C33" s="4" t="s">
        <v>32</v>
      </c>
    </row>
    <row r="34" spans="2:3" ht="43.5" customHeight="1" x14ac:dyDescent="0.25">
      <c r="B34" s="8" t="s">
        <v>33</v>
      </c>
      <c r="C34" s="4" t="s">
        <v>34</v>
      </c>
    </row>
    <row r="35" spans="2:3" ht="30" customHeight="1" x14ac:dyDescent="0.25">
      <c r="B35" s="8" t="s">
        <v>35</v>
      </c>
      <c r="C35" s="4" t="s">
        <v>36</v>
      </c>
    </row>
    <row r="36" spans="2:3" ht="30" customHeight="1" x14ac:dyDescent="0.25">
      <c r="B36" s="8" t="s">
        <v>37</v>
      </c>
      <c r="C36" s="4" t="s">
        <v>38</v>
      </c>
    </row>
    <row r="37" spans="2:3" ht="30" customHeight="1" x14ac:dyDescent="0.25">
      <c r="B37" s="8" t="s">
        <v>39</v>
      </c>
      <c r="C37" s="4" t="s">
        <v>40</v>
      </c>
    </row>
    <row r="38" spans="2:3" ht="43.5" customHeight="1" x14ac:dyDescent="0.25">
      <c r="B38" s="8" t="s">
        <v>41</v>
      </c>
      <c r="C38" s="4" t="s">
        <v>42</v>
      </c>
    </row>
    <row r="40" spans="2:3" ht="15.75" x14ac:dyDescent="0.25">
      <c r="B40" s="7" t="s">
        <v>43</v>
      </c>
    </row>
    <row r="41" spans="2:3" x14ac:dyDescent="0.25">
      <c r="B41" s="8" t="s">
        <v>44</v>
      </c>
      <c r="C41" s="4" t="s">
        <v>45</v>
      </c>
    </row>
    <row r="42" spans="2:3" x14ac:dyDescent="0.25">
      <c r="B42" s="8" t="s">
        <v>46</v>
      </c>
      <c r="C42" s="4" t="s">
        <v>47</v>
      </c>
    </row>
    <row r="43" spans="2:3" x14ac:dyDescent="0.25">
      <c r="B43" s="8" t="s">
        <v>48</v>
      </c>
      <c r="C43" s="4" t="s">
        <v>49</v>
      </c>
    </row>
    <row r="45" spans="2:3" ht="15.75" x14ac:dyDescent="0.25">
      <c r="B45" s="7" t="s">
        <v>50</v>
      </c>
    </row>
    <row r="46" spans="2:3" ht="30" customHeight="1" x14ac:dyDescent="0.25">
      <c r="B46" s="8" t="s">
        <v>51</v>
      </c>
      <c r="C46" s="4" t="s">
        <v>52</v>
      </c>
    </row>
    <row r="47" spans="2:3" ht="30" customHeight="1" x14ac:dyDescent="0.25">
      <c r="B47" s="8" t="s">
        <v>53</v>
      </c>
      <c r="C47" s="4" t="s">
        <v>54</v>
      </c>
    </row>
    <row r="48" spans="2:3" ht="30" customHeight="1" x14ac:dyDescent="0.25">
      <c r="B48" s="8" t="s">
        <v>55</v>
      </c>
      <c r="C48" s="4" t="s">
        <v>56</v>
      </c>
    </row>
    <row r="49" spans="2:3" ht="30" customHeight="1" x14ac:dyDescent="0.25">
      <c r="B49" s="8" t="s">
        <v>57</v>
      </c>
      <c r="C49" s="4" t="s">
        <v>58</v>
      </c>
    </row>
    <row r="50" spans="2:3" ht="30" customHeight="1" x14ac:dyDescent="0.25">
      <c r="B50" s="8" t="s">
        <v>59</v>
      </c>
      <c r="C50" s="4" t="s">
        <v>60</v>
      </c>
    </row>
    <row r="52" spans="2:3" ht="15.75" x14ac:dyDescent="0.25">
      <c r="B52" s="7" t="s">
        <v>61</v>
      </c>
    </row>
    <row r="53" spans="2:3" ht="43.5" customHeight="1" x14ac:dyDescent="0.25">
      <c r="B53" s="8" t="s">
        <v>62</v>
      </c>
      <c r="C53" s="4" t="s">
        <v>63</v>
      </c>
    </row>
    <row r="54" spans="2:3" ht="43.5" customHeight="1" x14ac:dyDescent="0.25">
      <c r="B54" s="8" t="s">
        <v>64</v>
      </c>
      <c r="C54" s="4" t="s">
        <v>65</v>
      </c>
    </row>
    <row r="55" spans="2:3" ht="43.5" customHeight="1" x14ac:dyDescent="0.25">
      <c r="B55" s="8" t="s">
        <v>66</v>
      </c>
      <c r="C55" s="4" t="s">
        <v>67</v>
      </c>
    </row>
    <row r="56" spans="2:3" ht="43.5" customHeight="1" x14ac:dyDescent="0.25">
      <c r="B56" s="8" t="s">
        <v>68</v>
      </c>
      <c r="C56" s="4" t="s">
        <v>69</v>
      </c>
    </row>
    <row r="57" spans="2:3" ht="43.5" customHeight="1" x14ac:dyDescent="0.25">
      <c r="B57" s="8" t="s">
        <v>70</v>
      </c>
      <c r="C57" s="4" t="s">
        <v>71</v>
      </c>
    </row>
    <row r="58" spans="2:3" ht="43.5" customHeight="1" x14ac:dyDescent="0.25">
      <c r="B58" s="8" t="s">
        <v>72</v>
      </c>
      <c r="C58" s="4" t="s">
        <v>73</v>
      </c>
    </row>
    <row r="60" spans="2:3" ht="15.75" x14ac:dyDescent="0.25">
      <c r="B60" s="7" t="s">
        <v>74</v>
      </c>
    </row>
    <row r="61" spans="2:3" ht="15" customHeight="1" x14ac:dyDescent="0.25">
      <c r="B61" s="78" t="s">
        <v>75</v>
      </c>
      <c r="C61" s="78"/>
    </row>
    <row r="62" spans="2:3" ht="15" customHeight="1" x14ac:dyDescent="0.25">
      <c r="B62" s="78" t="s">
        <v>76</v>
      </c>
      <c r="C62" s="78"/>
    </row>
    <row r="63" spans="2:3" ht="15" customHeight="1" x14ac:dyDescent="0.25">
      <c r="B63" s="78" t="s">
        <v>77</v>
      </c>
      <c r="C63" s="78"/>
    </row>
    <row r="64" spans="2:3" ht="15" customHeight="1" x14ac:dyDescent="0.25">
      <c r="B64" s="78" t="s">
        <v>78</v>
      </c>
      <c r="C64" s="78"/>
    </row>
    <row r="66" spans="2:3" ht="15.75" x14ac:dyDescent="0.25">
      <c r="B66" s="7" t="s">
        <v>79</v>
      </c>
    </row>
    <row r="67" spans="2:3" ht="30" customHeight="1" x14ac:dyDescent="0.25">
      <c r="B67" s="8" t="s">
        <v>80</v>
      </c>
      <c r="C67" s="4" t="s">
        <v>81</v>
      </c>
    </row>
    <row r="68" spans="2:3" x14ac:dyDescent="0.25">
      <c r="B68" s="8" t="s">
        <v>82</v>
      </c>
      <c r="C68" s="4" t="s">
        <v>83</v>
      </c>
    </row>
    <row r="69" spans="2:3" ht="25.5" x14ac:dyDescent="0.25">
      <c r="B69" s="8" t="s">
        <v>84</v>
      </c>
      <c r="C69" s="4" t="s">
        <v>85</v>
      </c>
    </row>
    <row r="70" spans="2:3" ht="25.5" x14ac:dyDescent="0.25">
      <c r="B70" s="8" t="s">
        <v>86</v>
      </c>
      <c r="C70" s="4" t="s">
        <v>87</v>
      </c>
    </row>
    <row r="71" spans="2:3" ht="30" customHeight="1" x14ac:dyDescent="0.25">
      <c r="B71" s="8" t="s">
        <v>88</v>
      </c>
      <c r="C71" s="4" t="s">
        <v>89</v>
      </c>
    </row>
    <row r="72" spans="2:3" ht="30" customHeight="1" x14ac:dyDescent="0.25">
      <c r="B72" s="8" t="s">
        <v>90</v>
      </c>
      <c r="C72" s="4" t="s">
        <v>91</v>
      </c>
    </row>
    <row r="73" spans="2:3" x14ac:dyDescent="0.25">
      <c r="B73" s="8" t="s">
        <v>92</v>
      </c>
      <c r="C73" s="4" t="s">
        <v>93</v>
      </c>
    </row>
    <row r="74" spans="2:3" ht="30" customHeight="1" x14ac:dyDescent="0.25">
      <c r="B74" s="8" t="s">
        <v>94</v>
      </c>
      <c r="C74" s="4" t="s">
        <v>95</v>
      </c>
    </row>
    <row r="75" spans="2:3" ht="30" customHeight="1" x14ac:dyDescent="0.25">
      <c r="B75" s="8" t="s">
        <v>96</v>
      </c>
      <c r="C75" s="4" t="s">
        <v>97</v>
      </c>
    </row>
    <row r="76" spans="2:3" ht="30" customHeight="1" x14ac:dyDescent="0.25">
      <c r="B76" s="8" t="s">
        <v>98</v>
      </c>
      <c r="C76" s="4" t="s">
        <v>99</v>
      </c>
    </row>
    <row r="77" spans="2:3" ht="30" customHeight="1" x14ac:dyDescent="0.25">
      <c r="B77" s="8" t="s">
        <v>100</v>
      </c>
      <c r="C77" s="4" t="s">
        <v>101</v>
      </c>
    </row>
    <row r="78" spans="2:3" ht="30" customHeight="1" x14ac:dyDescent="0.25">
      <c r="B78" s="8" t="s">
        <v>102</v>
      </c>
      <c r="C78" s="4" t="s">
        <v>103</v>
      </c>
    </row>
    <row r="79" spans="2:3" x14ac:dyDescent="0.25">
      <c r="B79" s="8" t="s">
        <v>104</v>
      </c>
      <c r="C79" s="4" t="s">
        <v>105</v>
      </c>
    </row>
    <row r="80" spans="2:3" x14ac:dyDescent="0.25">
      <c r="B80" s="8" t="s">
        <v>106</v>
      </c>
      <c r="C80" s="4" t="s">
        <v>107</v>
      </c>
    </row>
    <row r="82" spans="2:3" ht="15.75" x14ac:dyDescent="0.25">
      <c r="B82" s="7" t="s">
        <v>108</v>
      </c>
    </row>
    <row r="83" spans="2:3" ht="30" customHeight="1" x14ac:dyDescent="0.25">
      <c r="B83" s="78" t="s">
        <v>109</v>
      </c>
      <c r="C83" s="78"/>
    </row>
    <row r="84" spans="2:3" ht="30" customHeight="1" x14ac:dyDescent="0.25">
      <c r="B84" s="78" t="s">
        <v>110</v>
      </c>
      <c r="C84" s="78"/>
    </row>
    <row r="85" spans="2:3" ht="30" customHeight="1" x14ac:dyDescent="0.25">
      <c r="B85" s="78" t="s">
        <v>111</v>
      </c>
      <c r="C85" s="78"/>
    </row>
    <row r="86" spans="2:3" ht="30" customHeight="1" x14ac:dyDescent="0.25">
      <c r="B86" s="78" t="s">
        <v>112</v>
      </c>
      <c r="C86" s="78"/>
    </row>
  </sheetData>
  <mergeCells count="20">
    <mergeCell ref="B3:C3"/>
    <mergeCell ref="B13:C13"/>
    <mergeCell ref="B14:C14"/>
    <mergeCell ref="B15:C15"/>
    <mergeCell ref="B16:C16"/>
    <mergeCell ref="B19:C19"/>
    <mergeCell ref="B20:C20"/>
    <mergeCell ref="B21:C21"/>
    <mergeCell ref="B22:C22"/>
    <mergeCell ref="B23:C23"/>
    <mergeCell ref="B24:C24"/>
    <mergeCell ref="B25:C25"/>
    <mergeCell ref="B61:C61"/>
    <mergeCell ref="B62:C62"/>
    <mergeCell ref="B63:C63"/>
    <mergeCell ref="B64:C64"/>
    <mergeCell ref="B83:C83"/>
    <mergeCell ref="B84:C84"/>
    <mergeCell ref="B85:C85"/>
    <mergeCell ref="B86:C86"/>
  </mergeCells>
  <pageMargins left="0.75" right="0.75" top="1" bottom="1" header="0.511811023622047" footer="0.511811023622047"/>
  <pageSetup paperSize="9"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tabColor rgb="FF1F3864"/>
    <pageSetUpPr fitToPage="1"/>
  </sheetPr>
  <dimension ref="B2:O43"/>
  <sheetViews>
    <sheetView showGridLines="0" zoomScaleNormal="100" workbookViewId="0"/>
  </sheetViews>
  <sheetFormatPr baseColWidth="10" defaultColWidth="8.7109375" defaultRowHeight="15" x14ac:dyDescent="0.25"/>
  <cols>
    <col min="1" max="1" width="2" customWidth="1"/>
    <col min="2" max="2" width="40" customWidth="1"/>
    <col min="3" max="3" width="34" customWidth="1"/>
    <col min="4" max="5" width="2" customWidth="1"/>
    <col min="6" max="6" width="7" customWidth="1"/>
    <col min="7" max="7" width="44" customWidth="1"/>
    <col min="8" max="8" width="17" customWidth="1"/>
    <col min="9" max="9" width="18" customWidth="1"/>
    <col min="10" max="10" width="10" customWidth="1"/>
    <col min="11" max="11" width="15" customWidth="1"/>
    <col min="12" max="12" width="17" customWidth="1"/>
    <col min="13" max="13" width="12" customWidth="1"/>
    <col min="14" max="14" width="10" customWidth="1"/>
    <col min="15" max="15" width="12" customWidth="1"/>
  </cols>
  <sheetData>
    <row r="2" spans="2:15" ht="20.25" x14ac:dyDescent="0.3">
      <c r="B2" s="6" t="s">
        <v>113</v>
      </c>
    </row>
    <row r="3" spans="2:15" x14ac:dyDescent="0.25">
      <c r="B3" s="9" t="s">
        <v>114</v>
      </c>
    </row>
    <row r="4" spans="2:15" ht="15.75" x14ac:dyDescent="0.25">
      <c r="B4" s="7" t="s">
        <v>115</v>
      </c>
      <c r="F4" s="7" t="s">
        <v>116</v>
      </c>
    </row>
    <row r="5" spans="2:15" ht="30" customHeight="1" x14ac:dyDescent="0.25">
      <c r="B5" s="5" t="s">
        <v>117</v>
      </c>
      <c r="C5" s="5" t="s">
        <v>118</v>
      </c>
      <c r="F5" s="5" t="s">
        <v>119</v>
      </c>
      <c r="G5" s="5" t="s">
        <v>120</v>
      </c>
      <c r="H5" s="5" t="s">
        <v>121</v>
      </c>
      <c r="I5" s="5" t="s">
        <v>122</v>
      </c>
      <c r="J5" s="5" t="s">
        <v>123</v>
      </c>
      <c r="K5" s="5" t="s">
        <v>124</v>
      </c>
      <c r="L5" s="5" t="s">
        <v>125</v>
      </c>
      <c r="M5" s="5" t="s">
        <v>126</v>
      </c>
    </row>
    <row r="6" spans="2:15" x14ac:dyDescent="0.25">
      <c r="B6" s="10" t="s">
        <v>127</v>
      </c>
      <c r="C6" s="11">
        <f>COUNTA(Références!$B$2:$B$201)</f>
        <v>179</v>
      </c>
      <c r="F6" s="12">
        <v>1</v>
      </c>
      <c r="G6" s="10" t="s">
        <v>128</v>
      </c>
      <c r="H6" s="10">
        <f>COUNTIF(Références!$G$2:$G$201,F6)</f>
        <v>16</v>
      </c>
      <c r="I6" s="10">
        <f>COUNTIFS(Références!$G$2:$G$201,F6,Références!$H$2:$H$201,"INCONTOURNABLE")</f>
        <v>3</v>
      </c>
      <c r="J6" s="10">
        <f>COUNTIFS(Références!$G$2:$G$201,F6,Références!$J$2:$J$201,"Lu")</f>
        <v>0</v>
      </c>
      <c r="K6" s="10">
        <f>H6-J6-COUNTIFS(Références!$G$2:$G$201,F6,Références!$J$2:$J$201,"Écarté")</f>
        <v>16</v>
      </c>
      <c r="L6" s="13">
        <f>IFERROR(J6/(H6-COUNTIFS(Références!$G$2:$G$201,F6,Références!$J$2:$J$201,"Écarté")),0)</f>
        <v>0</v>
      </c>
      <c r="M6" s="10">
        <f>SUMIFS(Références!$AT$2:$AT$201,Références!$G$2:$G$201,F6)-SUMIFS(Références!$AT$2:$AT$201,Références!$G$2:$G$201,F6,Références!$J$2:$J$201,"Lu")-SUMIFS(Références!$AT$2:$AT$201,Références!$G$2:$G$201,F6,Références!$J$2:$J$201,"Écarté")</f>
        <v>45</v>
      </c>
    </row>
    <row r="7" spans="2:15" x14ac:dyDescent="0.25">
      <c r="B7" s="10" t="s">
        <v>129</v>
      </c>
      <c r="C7" s="11">
        <f>COUNTIF(Références!$F$2:$F$201,"Oui")</f>
        <v>39</v>
      </c>
      <c r="F7" s="12">
        <v>2</v>
      </c>
      <c r="G7" s="10" t="s">
        <v>130</v>
      </c>
      <c r="H7" s="10">
        <f>COUNTIF(Références!$G$2:$G$201,F7)</f>
        <v>36</v>
      </c>
      <c r="I7" s="10">
        <f>COUNTIFS(Références!$G$2:$G$201,F7,Références!$H$2:$H$201,"INCONTOURNABLE")</f>
        <v>4</v>
      </c>
      <c r="J7" s="10">
        <f>COUNTIFS(Références!$G$2:$G$201,F7,Références!$J$2:$J$201,"Lu")</f>
        <v>0</v>
      </c>
      <c r="K7" s="10">
        <f>H7-J7-COUNTIFS(Références!$G$2:$G$201,F7,Références!$J$2:$J$201,"Écarté")</f>
        <v>36</v>
      </c>
      <c r="L7" s="13">
        <f>IFERROR(J7/(H7-COUNTIFS(Références!$G$2:$G$201,F7,Références!$J$2:$J$201,"Écarté")),0)</f>
        <v>0</v>
      </c>
      <c r="M7" s="10">
        <f>SUMIFS(Références!$AT$2:$AT$201,Références!$G$2:$G$201,F7)-SUMIFS(Références!$AT$2:$AT$201,Références!$G$2:$G$201,F7,Références!$J$2:$J$201,"Lu")-SUMIFS(Références!$AT$2:$AT$201,Références!$G$2:$G$201,F7,Références!$J$2:$J$201,"Écarté")</f>
        <v>80</v>
      </c>
    </row>
    <row r="8" spans="2:15" x14ac:dyDescent="0.25">
      <c r="B8" s="10" t="s">
        <v>131</v>
      </c>
      <c r="C8" s="11">
        <f>COUNTIF(Références!$AL$2:$AL$201,"Vérifié")</f>
        <v>140</v>
      </c>
      <c r="F8" s="12">
        <v>3</v>
      </c>
      <c r="G8" s="10" t="s">
        <v>132</v>
      </c>
      <c r="H8" s="10">
        <f>COUNTIF(Références!$G$2:$G$201,F8)</f>
        <v>20</v>
      </c>
      <c r="I8" s="10">
        <f>COUNTIFS(Références!$G$2:$G$201,F8,Références!$H$2:$H$201,"INCONTOURNABLE")</f>
        <v>3</v>
      </c>
      <c r="J8" s="10">
        <f>COUNTIFS(Références!$G$2:$G$201,F8,Références!$J$2:$J$201,"Lu")</f>
        <v>0</v>
      </c>
      <c r="K8" s="10">
        <f>H8-J8-COUNTIFS(Références!$G$2:$G$201,F8,Références!$J$2:$J$201,"Écarté")</f>
        <v>20</v>
      </c>
      <c r="L8" s="13">
        <f>IFERROR(J8/(H8-COUNTIFS(Références!$G$2:$G$201,F8,Références!$J$2:$J$201,"Écarté")),0)</f>
        <v>0</v>
      </c>
      <c r="M8" s="10">
        <f>SUMIFS(Références!$AT$2:$AT$201,Références!$G$2:$G$201,F8)-SUMIFS(Références!$AT$2:$AT$201,Références!$G$2:$G$201,F8,Références!$J$2:$J$201,"Lu")-SUMIFS(Références!$AT$2:$AT$201,Références!$G$2:$G$201,F8,Références!$J$2:$J$201,"Écarté")</f>
        <v>57</v>
      </c>
    </row>
    <row r="9" spans="2:15" x14ac:dyDescent="0.25">
      <c r="B9" s="10" t="s">
        <v>133</v>
      </c>
      <c r="C9" s="11">
        <f>COUNTIF(Références!$AL$2:$AL$201,"Partiel")</f>
        <v>38</v>
      </c>
      <c r="F9" s="12">
        <v>4</v>
      </c>
      <c r="G9" s="10" t="s">
        <v>134</v>
      </c>
      <c r="H9" s="10">
        <f>COUNTIF(Références!$G$2:$G$201,F9)</f>
        <v>10</v>
      </c>
      <c r="I9" s="10">
        <f>COUNTIFS(Références!$G$2:$G$201,F9,Références!$H$2:$H$201,"INCONTOURNABLE")</f>
        <v>3</v>
      </c>
      <c r="J9" s="10">
        <f>COUNTIFS(Références!$G$2:$G$201,F9,Références!$J$2:$J$201,"Lu")</f>
        <v>0</v>
      </c>
      <c r="K9" s="10">
        <f>H9-J9-COUNTIFS(Références!$G$2:$G$201,F9,Références!$J$2:$J$201,"Écarté")</f>
        <v>10</v>
      </c>
      <c r="L9" s="13">
        <f>IFERROR(J9/(H9-COUNTIFS(Références!$G$2:$G$201,F9,Références!$J$2:$J$201,"Écarté")),0)</f>
        <v>0</v>
      </c>
      <c r="M9" s="10">
        <f>SUMIFS(Références!$AT$2:$AT$201,Références!$G$2:$G$201,F9)-SUMIFS(Références!$AT$2:$AT$201,Références!$G$2:$G$201,F9,Références!$J$2:$J$201,"Lu")-SUMIFS(Références!$AT$2:$AT$201,Références!$G$2:$G$201,F9,Références!$J$2:$J$201,"Écarté")</f>
        <v>31</v>
      </c>
    </row>
    <row r="10" spans="2:15" x14ac:dyDescent="0.25">
      <c r="B10" s="10" t="s">
        <v>135</v>
      </c>
      <c r="C10" s="11">
        <f>COUNTIF(Références!$AL$2:$AL$201,"Non vérifié")</f>
        <v>1</v>
      </c>
      <c r="F10" s="12">
        <v>5</v>
      </c>
      <c r="G10" s="10" t="s">
        <v>136</v>
      </c>
      <c r="H10" s="10">
        <f>COUNTIF(Références!$G$2:$G$201,F10)</f>
        <v>45</v>
      </c>
      <c r="I10" s="10">
        <f>COUNTIFS(Références!$G$2:$G$201,F10,Références!$H$2:$H$201,"INCONTOURNABLE")</f>
        <v>6</v>
      </c>
      <c r="J10" s="10">
        <f>COUNTIFS(Références!$G$2:$G$201,F10,Références!$J$2:$J$201,"Lu")</f>
        <v>0</v>
      </c>
      <c r="K10" s="10">
        <f>H10-J10-COUNTIFS(Références!$G$2:$G$201,F10,Références!$J$2:$J$201,"Écarté")</f>
        <v>45</v>
      </c>
      <c r="L10" s="13">
        <f>IFERROR(J10/(H10-COUNTIFS(Références!$G$2:$G$201,F10,Références!$J$2:$J$201,"Écarté")),0)</f>
        <v>0</v>
      </c>
      <c r="M10" s="10">
        <f>SUMIFS(Références!$AT$2:$AT$201,Références!$G$2:$G$201,F10)-SUMIFS(Références!$AT$2:$AT$201,Références!$G$2:$G$201,F10,Références!$J$2:$J$201,"Lu")-SUMIFS(Références!$AT$2:$AT$201,Références!$G$2:$G$201,F10,Références!$J$2:$J$201,"Écarté")</f>
        <v>123</v>
      </c>
    </row>
    <row r="11" spans="2:15" x14ac:dyDescent="0.25">
      <c r="B11" s="10" t="s">
        <v>137</v>
      </c>
      <c r="C11" s="11">
        <f>COUNTA(Références!$AC$2:$AC$201)</f>
        <v>106</v>
      </c>
      <c r="F11" s="12">
        <v>6</v>
      </c>
      <c r="G11" s="10" t="s">
        <v>138</v>
      </c>
      <c r="H11" s="10">
        <f>COUNTIF(Références!$G$2:$G$201,F11)</f>
        <v>23</v>
      </c>
      <c r="I11" s="10">
        <f>COUNTIFS(Références!$G$2:$G$201,F11,Références!$H$2:$H$201,"INCONTOURNABLE")</f>
        <v>4</v>
      </c>
      <c r="J11" s="10">
        <f>COUNTIFS(Références!$G$2:$G$201,F11,Références!$J$2:$J$201,"Lu")</f>
        <v>0</v>
      </c>
      <c r="K11" s="10">
        <f>H11-J11-COUNTIFS(Références!$G$2:$G$201,F11,Références!$J$2:$J$201,"Écarté")</f>
        <v>23</v>
      </c>
      <c r="L11" s="13">
        <f>IFERROR(J11/(H11-COUNTIFS(Références!$G$2:$G$201,F11,Références!$J$2:$J$201,"Écarté")),0)</f>
        <v>0</v>
      </c>
      <c r="M11" s="10">
        <f>SUMIFS(Références!$AT$2:$AT$201,Références!$G$2:$G$201,F11)-SUMIFS(Références!$AT$2:$AT$201,Références!$G$2:$G$201,F11,Références!$J$2:$J$201,"Lu")-SUMIFS(Références!$AT$2:$AT$201,Références!$G$2:$G$201,F11,Références!$J$2:$J$201,"Écarté")</f>
        <v>65</v>
      </c>
    </row>
    <row r="12" spans="2:15" x14ac:dyDescent="0.25">
      <c r="B12" s="10" t="s">
        <v>139</v>
      </c>
      <c r="C12" s="11">
        <f>COUNTIF(Références!$AJ$2:$AJ$201,"PDF libre")+COUNTIF(Références!$AJ$2:$AJ$201,"PDF libre (dépôt)")</f>
        <v>56</v>
      </c>
      <c r="F12" s="12">
        <v>7</v>
      </c>
      <c r="G12" s="10" t="s">
        <v>140</v>
      </c>
      <c r="H12" s="10">
        <f>COUNTIF(Références!$G$2:$G$201,F12)</f>
        <v>22</v>
      </c>
      <c r="I12" s="10">
        <f>COUNTIFS(Références!$G$2:$G$201,F12,Références!$H$2:$H$201,"INCONTOURNABLE")</f>
        <v>5</v>
      </c>
      <c r="J12" s="10">
        <f>COUNTIFS(Références!$G$2:$G$201,F12,Références!$J$2:$J$201,"Lu")</f>
        <v>0</v>
      </c>
      <c r="K12" s="10">
        <f>H12-J12-COUNTIFS(Références!$G$2:$G$201,F12,Références!$J$2:$J$201,"Écarté")</f>
        <v>22</v>
      </c>
      <c r="L12" s="13">
        <f>IFERROR(J12/(H12-COUNTIFS(Références!$G$2:$G$201,F12,Références!$J$2:$J$201,"Écarté")),0)</f>
        <v>0</v>
      </c>
      <c r="M12" s="10">
        <f>SUMIFS(Références!$AT$2:$AT$201,Références!$G$2:$G$201,F12)-SUMIFS(Références!$AT$2:$AT$201,Références!$G$2:$G$201,F12,Références!$J$2:$J$201,"Lu")-SUMIFS(Références!$AT$2:$AT$201,Références!$G$2:$G$201,F12,Références!$J$2:$J$201,"Écarté")</f>
        <v>73</v>
      </c>
    </row>
    <row r="13" spans="2:15" x14ac:dyDescent="0.25">
      <c r="B13" s="10" t="s">
        <v>141</v>
      </c>
      <c r="C13" s="11">
        <f>COUNTIF(Références!$AJ$2:$AJ$201,"Éditeur (abonnement)")</f>
        <v>80</v>
      </c>
      <c r="F13" s="12">
        <v>8</v>
      </c>
      <c r="G13" s="10" t="s">
        <v>142</v>
      </c>
      <c r="H13" s="10">
        <f>COUNTIF(Références!$G$2:$G$201,F13)</f>
        <v>7</v>
      </c>
      <c r="I13" s="10">
        <f>COUNTIFS(Références!$G$2:$G$201,F13,Références!$H$2:$H$201,"INCONTOURNABLE")</f>
        <v>0</v>
      </c>
      <c r="J13" s="10">
        <f>COUNTIFS(Références!$G$2:$G$201,F13,Références!$J$2:$J$201,"Lu")</f>
        <v>0</v>
      </c>
      <c r="K13" s="10">
        <f>H13-J13-COUNTIFS(Références!$G$2:$G$201,F13,Références!$J$2:$J$201,"Écarté")</f>
        <v>7</v>
      </c>
      <c r="L13" s="13">
        <f>IFERROR(J13/(H13-COUNTIFS(Références!$G$2:$G$201,F13,Références!$J$2:$J$201,"Écarté")),0)</f>
        <v>0</v>
      </c>
      <c r="M13" s="10">
        <f>SUMIFS(Références!$AT$2:$AT$201,Références!$G$2:$G$201,F13)-SUMIFS(Références!$AT$2:$AT$201,Références!$G$2:$G$201,F13,Références!$J$2:$J$201,"Lu")-SUMIFS(Références!$AT$2:$AT$201,Références!$G$2:$G$201,F13,Références!$J$2:$J$201,"Écarté")</f>
        <v>11</v>
      </c>
    </row>
    <row r="14" spans="2:15" x14ac:dyDescent="0.25">
      <c r="B14" s="10" t="s">
        <v>143</v>
      </c>
      <c r="C14" s="11">
        <f>COUNTIF(Références!$AJ$2:$AJ$201,"Payant (boutique)")</f>
        <v>28</v>
      </c>
      <c r="F14" s="14" t="s">
        <v>121</v>
      </c>
      <c r="H14" s="14">
        <f>SUM(H6:H13)</f>
        <v>179</v>
      </c>
      <c r="I14" s="14">
        <f>SUM(I6:I13)</f>
        <v>28</v>
      </c>
      <c r="J14" s="14">
        <f>SUM(J6:J13)</f>
        <v>0</v>
      </c>
      <c r="K14" s="14">
        <f>SUM(K6:K13)</f>
        <v>179</v>
      </c>
      <c r="M14" s="14">
        <f>SUM(M6:M13)</f>
        <v>485</v>
      </c>
    </row>
    <row r="15" spans="2:15" ht="15.75" x14ac:dyDescent="0.25">
      <c r="B15" s="10" t="s">
        <v>144</v>
      </c>
      <c r="C15" s="11">
        <f>COUNTIF(Références!$AJ$2:$AJ$201,"Non diffusé (à demander)")+COUNTIF(Références!$AJ$2:$AJ$201,"Notice en ligne (texte à localiser)")</f>
        <v>15</v>
      </c>
      <c r="F15" s="7" t="s">
        <v>145</v>
      </c>
    </row>
    <row r="16" spans="2:15" ht="30" customHeight="1" x14ac:dyDescent="0.25">
      <c r="B16" s="5" t="s">
        <v>146</v>
      </c>
      <c r="C16" s="5"/>
      <c r="F16" s="5" t="s">
        <v>147</v>
      </c>
      <c r="G16" s="5" t="s">
        <v>148</v>
      </c>
      <c r="H16" s="5" t="s">
        <v>121</v>
      </c>
      <c r="I16" s="5" t="s">
        <v>123</v>
      </c>
      <c r="J16" s="5" t="s">
        <v>124</v>
      </c>
      <c r="K16" s="5" t="s">
        <v>149</v>
      </c>
      <c r="L16" s="5" t="s">
        <v>126</v>
      </c>
      <c r="M16" s="5" t="s">
        <v>150</v>
      </c>
      <c r="N16" s="5" t="s">
        <v>151</v>
      </c>
      <c r="O16" s="5" t="s">
        <v>152</v>
      </c>
    </row>
    <row r="17" spans="2:15" x14ac:dyDescent="0.25">
      <c r="B17" s="10" t="s">
        <v>123</v>
      </c>
      <c r="C17" s="11">
        <f>COUNTIF(Références!$J$2:$J$201,"Lu")</f>
        <v>0</v>
      </c>
      <c r="F17" s="12">
        <v>1</v>
      </c>
      <c r="G17" s="10" t="s">
        <v>153</v>
      </c>
      <c r="H17" s="10">
        <f>COUNTIF(Références!$I$2:$I$201,F17)</f>
        <v>20</v>
      </c>
      <c r="I17" s="10">
        <f>COUNTIFS(Références!$I$2:$I$201,F17,Références!$J$2:$J$201,"Lu")</f>
        <v>0</v>
      </c>
      <c r="J17" s="10">
        <f>H17-I17-COUNTIFS(Références!$I$2:$I$201,F17,Références!$J$2:$J$201,"Écarté")</f>
        <v>20</v>
      </c>
      <c r="K17" s="10">
        <f>SUMIFS(Références!$AT$2:$AT$201,Références!$I$2:$I$201,F17)</f>
        <v>72</v>
      </c>
      <c r="L17" s="10">
        <f>K17-SUMIFS(Références!$AT$2:$AT$201,Références!$I$2:$I$201,F17,Références!$J$2:$J$201,"Lu")-SUMIFS(Références!$AT$2:$AT$201,Références!$I$2:$I$201,F17,Références!$J$2:$J$201,"Écarté")</f>
        <v>72</v>
      </c>
      <c r="M17" s="15">
        <f>Paramètres!$C$10</f>
        <v>65</v>
      </c>
      <c r="N17" s="13">
        <f t="shared" ref="N17:N22" si="0">IFERROR(K17/M17,0)</f>
        <v>1.1076923076923078</v>
      </c>
      <c r="O17" s="10" t="str">
        <f ca="1">IF(J17=0,"Terminé",IF(F17&lt;Paramètres!$C$8,"En retard",IF(F17=Paramètres!$C$8,"En cours","À venir")))</f>
        <v>En cours</v>
      </c>
    </row>
    <row r="18" spans="2:15" x14ac:dyDescent="0.25">
      <c r="B18" s="10" t="s">
        <v>154</v>
      </c>
      <c r="C18" s="11">
        <f>COUNTIF(Références!$J$2:$J$201,"En cours")</f>
        <v>0</v>
      </c>
      <c r="F18" s="12">
        <v>2</v>
      </c>
      <c r="G18" s="10" t="s">
        <v>155</v>
      </c>
      <c r="H18" s="10">
        <f>COUNTIF(Références!$I$2:$I$201,F18)</f>
        <v>29</v>
      </c>
      <c r="I18" s="10">
        <f>COUNTIFS(Références!$I$2:$I$201,F18,Références!$J$2:$J$201,"Lu")</f>
        <v>0</v>
      </c>
      <c r="J18" s="10">
        <f>H18-I18-COUNTIFS(Références!$I$2:$I$201,F18,Références!$J$2:$J$201,"Écarté")</f>
        <v>29</v>
      </c>
      <c r="K18" s="10">
        <f>SUMIFS(Références!$AT$2:$AT$201,Références!$I$2:$I$201,F18)</f>
        <v>70</v>
      </c>
      <c r="L18" s="10">
        <f>K18-SUMIFS(Références!$AT$2:$AT$201,Références!$I$2:$I$201,F18,Références!$J$2:$J$201,"Lu")-SUMIFS(Références!$AT$2:$AT$201,Références!$I$2:$I$201,F18,Références!$J$2:$J$201,"Écarté")</f>
        <v>70</v>
      </c>
      <c r="M18" s="15">
        <f>Paramètres!$C$10</f>
        <v>65</v>
      </c>
      <c r="N18" s="13">
        <f t="shared" si="0"/>
        <v>1.0769230769230769</v>
      </c>
      <c r="O18" s="10" t="str">
        <f ca="1">IF(J18=0,"Terminé",IF(F18&lt;Paramètres!$C$8,"En retard",IF(F18=Paramètres!$C$8,"En cours","À venir")))</f>
        <v>À venir</v>
      </c>
    </row>
    <row r="19" spans="2:15" x14ac:dyDescent="0.25">
      <c r="B19" s="10" t="s">
        <v>156</v>
      </c>
      <c r="C19" s="16">
        <f>IFERROR(C17/(C6-COUNTIF(Références!$J$2:$J$201,"Écarté")),0)</f>
        <v>0</v>
      </c>
      <c r="F19" s="12">
        <v>3</v>
      </c>
      <c r="G19" s="10" t="s">
        <v>157</v>
      </c>
      <c r="H19" s="10">
        <f>COUNTIF(Références!$I$2:$I$201,F19)</f>
        <v>20</v>
      </c>
      <c r="I19" s="10">
        <f>COUNTIFS(Références!$I$2:$I$201,F19,Références!$J$2:$J$201,"Lu")</f>
        <v>0</v>
      </c>
      <c r="J19" s="10">
        <f>H19-I19-COUNTIFS(Références!$I$2:$I$201,F19,Références!$J$2:$J$201,"Écarté")</f>
        <v>20</v>
      </c>
      <c r="K19" s="10">
        <f>SUMIFS(Références!$AT$2:$AT$201,Références!$I$2:$I$201,F19)</f>
        <v>55</v>
      </c>
      <c r="L19" s="10">
        <f>K19-SUMIFS(Références!$AT$2:$AT$201,Références!$I$2:$I$201,F19,Références!$J$2:$J$201,"Lu")-SUMIFS(Références!$AT$2:$AT$201,Références!$I$2:$I$201,F19,Références!$J$2:$J$201,"Écarté")</f>
        <v>55</v>
      </c>
      <c r="M19" s="15">
        <f>Paramètres!$C$10</f>
        <v>65</v>
      </c>
      <c r="N19" s="13">
        <f t="shared" si="0"/>
        <v>0.84615384615384615</v>
      </c>
      <c r="O19" s="10" t="str">
        <f ca="1">IF(J19=0,"Terminé",IF(F19&lt;Paramètres!$C$8,"En retard",IF(F19=Paramètres!$C$8,"En cours","À venir")))</f>
        <v>À venir</v>
      </c>
    </row>
    <row r="20" spans="2:15" x14ac:dyDescent="0.25">
      <c r="B20" s="10" t="s">
        <v>158</v>
      </c>
      <c r="C20" s="11">
        <f ca="1">COUNTIF(Références!$K$2:$K$201,"EN RETARD")</f>
        <v>0</v>
      </c>
      <c r="F20" s="12">
        <v>4</v>
      </c>
      <c r="G20" s="10" t="s">
        <v>159</v>
      </c>
      <c r="H20" s="10">
        <f>COUNTIF(Références!$I$2:$I$201,F20)</f>
        <v>29</v>
      </c>
      <c r="I20" s="10">
        <f>COUNTIFS(Références!$I$2:$I$201,F20,Références!$J$2:$J$201,"Lu")</f>
        <v>0</v>
      </c>
      <c r="J20" s="10">
        <f>H20-I20-COUNTIFS(Références!$I$2:$I$201,F20,Références!$J$2:$J$201,"Écarté")</f>
        <v>29</v>
      </c>
      <c r="K20" s="10">
        <f>SUMIFS(Références!$AT$2:$AT$201,Références!$I$2:$I$201,F20)</f>
        <v>73</v>
      </c>
      <c r="L20" s="10">
        <f>K20-SUMIFS(Références!$AT$2:$AT$201,Références!$I$2:$I$201,F20,Références!$J$2:$J$201,"Lu")-SUMIFS(Références!$AT$2:$AT$201,Références!$I$2:$I$201,F20,Références!$J$2:$J$201,"Écarté")</f>
        <v>73</v>
      </c>
      <c r="M20" s="15">
        <f>Paramètres!$C$10</f>
        <v>65</v>
      </c>
      <c r="N20" s="13">
        <f t="shared" si="0"/>
        <v>1.1230769230769231</v>
      </c>
      <c r="O20" s="10" t="str">
        <f ca="1">IF(J20=0,"Terminé",IF(F20&lt;Paramètres!$C$8,"En retard",IF(F20=Paramètres!$C$8,"En cours","À venir")))</f>
        <v>À venir</v>
      </c>
    </row>
    <row r="21" spans="2:15" x14ac:dyDescent="0.25">
      <c r="B21" s="10" t="s">
        <v>160</v>
      </c>
      <c r="C21" s="11">
        <f ca="1">COUNTIF(Références!$K$2:$K$201,"Ce mois-ci")</f>
        <v>20</v>
      </c>
      <c r="F21" s="12">
        <v>5</v>
      </c>
      <c r="G21" s="10" t="s">
        <v>161</v>
      </c>
      <c r="H21" s="10">
        <f>COUNTIF(Références!$I$2:$I$201,F21)</f>
        <v>41</v>
      </c>
      <c r="I21" s="10">
        <f>COUNTIFS(Références!$I$2:$I$201,F21,Références!$J$2:$J$201,"Lu")</f>
        <v>0</v>
      </c>
      <c r="J21" s="10">
        <f>H21-I21-COUNTIFS(Références!$I$2:$I$201,F21,Références!$J$2:$J$201,"Écarté")</f>
        <v>41</v>
      </c>
      <c r="K21" s="10">
        <f>SUMIFS(Références!$AT$2:$AT$201,Références!$I$2:$I$201,F21)</f>
        <v>112</v>
      </c>
      <c r="L21" s="10">
        <f>K21-SUMIFS(Références!$AT$2:$AT$201,Références!$I$2:$I$201,F21,Références!$J$2:$J$201,"Lu")-SUMIFS(Références!$AT$2:$AT$201,Références!$I$2:$I$201,F21,Références!$J$2:$J$201,"Écarté")</f>
        <v>112</v>
      </c>
      <c r="M21" s="15">
        <f>Paramètres!$C$10</f>
        <v>65</v>
      </c>
      <c r="N21" s="13">
        <f t="shared" si="0"/>
        <v>1.7230769230769232</v>
      </c>
      <c r="O21" s="10" t="str">
        <f ca="1">IF(J21=0,"Terminé",IF(F21&lt;Paramètres!$C$8,"En retard",IF(F21=Paramètres!$C$8,"En cours","À venir")))</f>
        <v>À venir</v>
      </c>
    </row>
    <row r="22" spans="2:15" x14ac:dyDescent="0.25">
      <c r="B22" s="10" t="s">
        <v>162</v>
      </c>
      <c r="C22" s="11">
        <f ca="1">COUNTIFS(Références!$AJ$2:$AJ$201,"PDF libre",Références!$O$2:$O$201,"&lt;&gt;Oui")+COUNTIFS(Références!$AJ$2:$AJ$201,"PDF libre (dépôt)",Références!$O$2:$O$201,"&lt;&gt;Oui")</f>
        <v>29</v>
      </c>
      <c r="F22" s="12">
        <v>6</v>
      </c>
      <c r="G22" s="10" t="s">
        <v>163</v>
      </c>
      <c r="H22" s="10">
        <f>COUNTIF(Références!$I$2:$I$201,F22)</f>
        <v>40</v>
      </c>
      <c r="I22" s="10">
        <f>COUNTIFS(Références!$I$2:$I$201,F22,Références!$J$2:$J$201,"Lu")</f>
        <v>0</v>
      </c>
      <c r="J22" s="10">
        <f>H22-I22-COUNTIFS(Références!$I$2:$I$201,F22,Références!$J$2:$J$201,"Écarté")</f>
        <v>40</v>
      </c>
      <c r="K22" s="10">
        <f>SUMIFS(Références!$AT$2:$AT$201,Références!$I$2:$I$201,F22)</f>
        <v>103</v>
      </c>
      <c r="L22" s="10">
        <f>K22-SUMIFS(Références!$AT$2:$AT$201,Références!$I$2:$I$201,F22,Références!$J$2:$J$201,"Lu")-SUMIFS(Références!$AT$2:$AT$201,Références!$I$2:$I$201,F22,Références!$J$2:$J$201,"Écarté")</f>
        <v>103</v>
      </c>
      <c r="M22" s="15">
        <f>Paramètres!$C$10</f>
        <v>65</v>
      </c>
      <c r="N22" s="13">
        <f t="shared" si="0"/>
        <v>1.5846153846153845</v>
      </c>
      <c r="O22" s="10" t="str">
        <f ca="1">IF(J22=0,"Terminé",IF(F22&lt;Paramètres!$C$8,"En retard",IF(F22=Paramètres!$C$8,"En cours","À venir")))</f>
        <v>À venir</v>
      </c>
    </row>
    <row r="23" spans="2:15" x14ac:dyDescent="0.25">
      <c r="B23" s="10" t="s">
        <v>164</v>
      </c>
      <c r="C23" s="11">
        <f ca="1">COUNTIF(Demandes!$N$4:$N$40,"ENVOYER MAINTENANT")+COUNTIF(Demandes!$N$4:$N$40,"RELANCER")</f>
        <v>3</v>
      </c>
      <c r="F23" s="14" t="s">
        <v>121</v>
      </c>
      <c r="H23" s="14">
        <f>SUM(H17:H22)</f>
        <v>179</v>
      </c>
      <c r="I23" s="14">
        <f>SUM(I17:I22)</f>
        <v>0</v>
      </c>
      <c r="J23" s="14">
        <f>SUM(J17:J22)</f>
        <v>179</v>
      </c>
      <c r="K23" s="14">
        <f>SUM(K17:K22)</f>
        <v>485</v>
      </c>
      <c r="L23" s="14">
        <f>SUM(L17:L22)</f>
        <v>485</v>
      </c>
    </row>
    <row r="24" spans="2:15" x14ac:dyDescent="0.25">
      <c r="B24" s="10" t="s">
        <v>165</v>
      </c>
      <c r="C24" s="11">
        <f>COUNTIF('Corrections TFE'!$H$4:$H$60,"Non")</f>
        <v>20</v>
      </c>
    </row>
    <row r="25" spans="2:15" ht="15.75" x14ac:dyDescent="0.25">
      <c r="F25" s="7" t="s">
        <v>166</v>
      </c>
    </row>
    <row r="26" spans="2:15" ht="30" customHeight="1" x14ac:dyDescent="0.25">
      <c r="B26" s="5" t="s">
        <v>167</v>
      </c>
      <c r="C26" s="5"/>
      <c r="F26" s="5" t="s">
        <v>168</v>
      </c>
      <c r="G26" s="5" t="s">
        <v>169</v>
      </c>
      <c r="H26" s="5" t="s">
        <v>170</v>
      </c>
      <c r="I26" s="5" t="s">
        <v>147</v>
      </c>
      <c r="J26" s="5" t="s">
        <v>171</v>
      </c>
      <c r="K26" s="5" t="s">
        <v>172</v>
      </c>
      <c r="L26" s="82" t="s">
        <v>173</v>
      </c>
      <c r="M26" s="82"/>
      <c r="N26" s="82"/>
      <c r="O26" s="82"/>
    </row>
    <row r="27" spans="2:15" ht="31.5" customHeight="1" x14ac:dyDescent="0.25">
      <c r="B27" s="17" t="s">
        <v>174</v>
      </c>
      <c r="C27" s="18" t="str">
        <f ca="1">IF(Paramètres!$C$8&gt;6,"Plan terminé",Paramètres!$C$8&amp;" — "&amp;INDEX(Paramètres!$T$6:$T$11,Paramètres!$C$8))</f>
        <v>1 — octobre 2026</v>
      </c>
      <c r="F27" s="19">
        <v>1</v>
      </c>
      <c r="G27" s="17" t="str">
        <f ca="1">IF(J27&lt;1,"",INDEX(Références!$C$2:$C$201,MATCH(LARGE(Références!$BA$2:$BA$201,1),Références!$BA$2:$BA$201,0)))</f>
        <v>De Beer et al. (2012)</v>
      </c>
      <c r="H27" s="17" t="str">
        <f ca="1">IF(J27&lt;1,"",INDEX(Références!$H$2:$H$201,MATCH(LARGE(Références!$BA$2:$BA$201,1),Références!$BA$2:$BA$201,0)))</f>
        <v>INCONTOURNABLE</v>
      </c>
      <c r="I27" s="19">
        <f ca="1">IF(J27&lt;1,"",INDEX(Références!$I$2:$I$201,MATCH(LARGE(Références!$BA$2:$BA$201,1),Références!$BA$2:$BA$201,0)))</f>
        <v>1</v>
      </c>
      <c r="J27" s="20">
        <f ca="1">IFERROR(LARGE(Références!$BA$2:$BA$201,1),0)</f>
        <v>140.00998000000001</v>
      </c>
      <c r="K27" s="21" t="str">
        <f ca="1">IF(J27&lt;1,"",HYPERLINK(INDEX(Références!$AF$2:$AF$201,MATCH(LARGE(Références!$BA$2:$BA$201,1),Références!$BA$2:$BA$201,0)),"Ouvrir"))</f>
        <v>Ouvrir</v>
      </c>
      <c r="L27" s="81" t="str">
        <f ca="1">IF(J27&lt;1,"",INDEX(Références!$D$2:$D$201,MATCH(LARGE(Références!$BA$2:$BA$201,1),Références!$BA$2:$BA$201,0)))</f>
        <v>Toward using tire-road contact stresses in pavement design and analysis</v>
      </c>
      <c r="M27" s="81"/>
      <c r="N27" s="81"/>
      <c r="O27" s="81"/>
    </row>
    <row r="28" spans="2:15" ht="31.5" customHeight="1" x14ac:dyDescent="0.25">
      <c r="B28" s="17" t="s">
        <v>175</v>
      </c>
      <c r="C28" s="22">
        <f ca="1">SUMIFS(Références!$AT$2:$AT$201,Références!$I$2:$I$201,Paramètres!$C$8)-SUMIFS(Références!$AT$2:$AT$201,Références!$I$2:$I$201,Paramètres!$C$8,Références!$J$2:$J$201,"Lu")-SUMIFS(Références!$AT$2:$AT$201,Références!$I$2:$I$201,Paramètres!$C$8,Références!$J$2:$J$201,"Écarté")</f>
        <v>72</v>
      </c>
      <c r="F28" s="19">
        <v>2</v>
      </c>
      <c r="G28" s="17" t="str">
        <f ca="1">IF(J28&lt;1,"",INDEX(Références!$C$2:$C$201,MATCH(LARGE(Références!$BA$2:$BA$201,2),Références!$BA$2:$BA$201,0)))</f>
        <v>Sadoun et al. (2022)</v>
      </c>
      <c r="H28" s="17" t="str">
        <f ca="1">IF(J28&lt;1,"",INDEX(Références!$H$2:$H$201,MATCH(LARGE(Références!$BA$2:$BA$201,2),Références!$BA$2:$BA$201,0)))</f>
        <v>INCONTOURNABLE</v>
      </c>
      <c r="I28" s="19">
        <f ca="1">IF(J28&lt;1,"",INDEX(Références!$I$2:$I$201,MATCH(LARGE(Références!$BA$2:$BA$201,2),Références!$BA$2:$BA$201,0)))</f>
        <v>1</v>
      </c>
      <c r="J28" s="20">
        <f ca="1">IFERROR(LARGE(Références!$BA$2:$BA$201,2),0)</f>
        <v>140.00995</v>
      </c>
      <c r="K28" s="21" t="str">
        <f ca="1">IF(J28&lt;1,"",HYPERLINK(INDEX(Références!$AF$2:$AF$201,MATCH(LARGE(Références!$BA$2:$BA$201,2),Références!$BA$2:$BA$201,0)),"Ouvrir"))</f>
        <v>Ouvrir</v>
      </c>
      <c r="L28" s="81" t="str">
        <f ca="1">IF(J28&lt;1,"",INDEX(Références!$D$2:$D$201,MATCH(LARGE(Références!$BA$2:$BA$201,2),Références!$BA$2:$BA$201,0)))</f>
        <v>Top-down cracking in airfield pavement structures—An in-situ test survey</v>
      </c>
      <c r="M28" s="81"/>
      <c r="N28" s="81"/>
      <c r="O28" s="81"/>
    </row>
    <row r="29" spans="2:15" ht="31.5" customHeight="1" x14ac:dyDescent="0.25">
      <c r="B29" s="17" t="s">
        <v>176</v>
      </c>
      <c r="C29" s="22">
        <f ca="1">SUMIFS(Références!$AT$2:$AT$201,Références!$K$2:$K$201,"EN RETARD")</f>
        <v>0</v>
      </c>
      <c r="F29" s="19">
        <v>3</v>
      </c>
      <c r="G29" s="17" t="str">
        <f ca="1">IF(J29&lt;1,"",INDEX(Références!$C$2:$C$201,MATCH(LARGE(Références!$BA$2:$BA$201,3),Références!$BA$2:$BA$201,0)))</f>
        <v>Airbus S.A.S. (2010)</v>
      </c>
      <c r="H29" s="17" t="str">
        <f ca="1">IF(J29&lt;1,"",INDEX(Références!$H$2:$H$201,MATCH(LARGE(Références!$BA$2:$BA$201,3),Références!$BA$2:$BA$201,0)))</f>
        <v>INCONTOURNABLE</v>
      </c>
      <c r="I29" s="19">
        <f ca="1">IF(J29&lt;1,"",INDEX(Références!$I$2:$I$201,MATCH(LARGE(Références!$BA$2:$BA$201,3),Références!$BA$2:$BA$201,0)))</f>
        <v>1</v>
      </c>
      <c r="J29" s="20">
        <f ca="1">IFERROR(LARGE(Références!$BA$2:$BA$201,3),0)</f>
        <v>140.00994</v>
      </c>
      <c r="K29" s="21" t="str">
        <f ca="1">IF(J29&lt;1,"",HYPERLINK(INDEX(Références!$AF$2:$AF$201,MATCH(LARGE(Références!$BA$2:$BA$201,3),Références!$BA$2:$BA$201,0)),"Ouvrir"))</f>
        <v>Ouvrir</v>
      </c>
      <c r="L29" s="81" t="str">
        <f ca="1">IF(J29&lt;1,"",INDEX(Références!$D$2:$D$201,MATCH(LARGE(Références!$BA$2:$BA$201,3),Références!$BA$2:$BA$201,0)))</f>
        <v>High Tire Pressure Test (HTPT) — Final report</v>
      </c>
      <c r="M29" s="81"/>
      <c r="N29" s="81"/>
      <c r="O29" s="81"/>
    </row>
    <row r="30" spans="2:15" ht="31.5" customHeight="1" x14ac:dyDescent="0.25">
      <c r="B30" s="17" t="s">
        <v>177</v>
      </c>
      <c r="C30" s="22">
        <f>Paramètres!$C$10</f>
        <v>65</v>
      </c>
      <c r="F30" s="19">
        <v>4</v>
      </c>
      <c r="G30" s="17" t="str">
        <f ca="1">IF(J30&lt;1,"",INDEX(Références!$C$2:$C$201,MATCH(LARGE(Références!$BA$2:$BA$201,4),Références!$BA$2:$BA$201,0)))</f>
        <v>Petitjean et al. (2001)</v>
      </c>
      <c r="H30" s="17" t="str">
        <f ca="1">IF(J30&lt;1,"",INDEX(Références!$H$2:$H$201,MATCH(LARGE(Références!$BA$2:$BA$201,4),Références!$BA$2:$BA$201,0)))</f>
        <v>INCONTOURNABLE</v>
      </c>
      <c r="I30" s="19">
        <f ca="1">IF(J30&lt;1,"",INDEX(Références!$I$2:$I$201,MATCH(LARGE(Références!$BA$2:$BA$201,4),Références!$BA$2:$BA$201,0)))</f>
        <v>1</v>
      </c>
      <c r="J30" s="20">
        <f ca="1">IFERROR(LARGE(Références!$BA$2:$BA$201,4),0)</f>
        <v>140.00993</v>
      </c>
      <c r="K30" s="21" t="str">
        <f ca="1">IF(J30&lt;1,"",HYPERLINK(INDEX(Références!$AF$2:$AF$201,MATCH(LARGE(Références!$BA$2:$BA$201,4),Références!$BA$2:$BA$201,0)),"Ouvrir"))</f>
        <v>Ouvrir</v>
      </c>
      <c r="L30" s="81" t="str">
        <f ca="1">IF(J30&lt;1,"",INDEX(Références!$D$2:$D$201,MATCH(LARGE(Références!$BA$2:$BA$201,4),Références!$BA$2:$BA$201,0)))</f>
        <v>LCPC / Airbus / STBA A380 Pavement Experimental Programme</v>
      </c>
      <c r="M30" s="81"/>
      <c r="N30" s="81"/>
      <c r="O30" s="81"/>
    </row>
    <row r="31" spans="2:15" ht="31.5" customHeight="1" x14ac:dyDescent="0.25">
      <c r="B31" s="17" t="s">
        <v>151</v>
      </c>
      <c r="C31" s="18" t="str">
        <f ca="1">IF(C28+C29&gt;C30,"Surcharge : reporter des « A consulter » au mois suivant","Dans la capacité")</f>
        <v>Surcharge : reporter des « A consulter » au mois suivant</v>
      </c>
      <c r="F31" s="19">
        <v>5</v>
      </c>
      <c r="G31" s="17" t="str">
        <f ca="1">IF(J31&lt;1,"",INDEX(Références!$C$2:$C$201,MATCH(LARGE(Références!$BA$2:$BA$201,5),Références!$BA$2:$BA$201,0)))</f>
        <v>Olard &amp; Di Benedetto (2003)</v>
      </c>
      <c r="H31" s="17" t="str">
        <f ca="1">IF(J31&lt;1,"",INDEX(Références!$H$2:$H$201,MATCH(LARGE(Références!$BA$2:$BA$201,5),Références!$BA$2:$BA$201,0)))</f>
        <v>INCONTOURNABLE</v>
      </c>
      <c r="I31" s="19">
        <f ca="1">IF(J31&lt;1,"",INDEX(Références!$I$2:$I$201,MATCH(LARGE(Références!$BA$2:$BA$201,5),Références!$BA$2:$BA$201,0)))</f>
        <v>2</v>
      </c>
      <c r="J31" s="20">
        <f ca="1">IFERROR(LARGE(Références!$BA$2:$BA$201,5),0)</f>
        <v>135.00979000000001</v>
      </c>
      <c r="K31" s="21" t="str">
        <f ca="1">IF(J31&lt;1,"",HYPERLINK(INDEX(Références!$AF$2:$AF$201,MATCH(LARGE(Références!$BA$2:$BA$201,5),Références!$BA$2:$BA$201,0)),"Ouvrir"))</f>
        <v>Ouvrir</v>
      </c>
      <c r="L31" s="81" t="str">
        <f ca="1">IF(J31&lt;1,"",INDEX(Références!$D$2:$D$201,MATCH(LARGE(Références!$BA$2:$BA$201,5),Références!$BA$2:$BA$201,0)))</f>
        <v>General "2S2P1D" model and relation between the linear viscoelastic behaviours of bituminous binders and mixes</v>
      </c>
      <c r="M31" s="81"/>
      <c r="N31" s="81"/>
      <c r="O31" s="81"/>
    </row>
    <row r="32" spans="2:15" ht="31.5" customHeight="1" x14ac:dyDescent="0.25">
      <c r="B32" s="17" t="s">
        <v>178</v>
      </c>
      <c r="C32" s="18" t="str">
        <f ca="1">IF(C23&gt;0,"Envoyer ou relancer "&amp;C23&amp;" demande(s) : feuille Demandes",IF(C22&gt;0,"Télécharger "&amp;C22&amp;" PDF libre(s) : colonne Ouvrir",IF(G27="","Rien en attente","Lire "&amp;G27)))</f>
        <v>Envoyer ou relancer 3 demande(s) : feuille Demandes</v>
      </c>
      <c r="F32" s="19">
        <v>6</v>
      </c>
      <c r="G32" s="17" t="str">
        <f ca="1">IF(J32&lt;1,"",INDEX(Références!$C$2:$C$201,MATCH(LARGE(Références!$BA$2:$BA$201,6),Références!$BA$2:$BA$201,0)))</f>
        <v>Tiouajni et al. (2011)</v>
      </c>
      <c r="H32" s="17" t="str">
        <f ca="1">IF(J32&lt;1,"",INDEX(Références!$H$2:$H$201,MATCH(LARGE(Références!$BA$2:$BA$201,6),Références!$BA$2:$BA$201,0)))</f>
        <v>INCONTOURNABLE</v>
      </c>
      <c r="I32" s="19">
        <f ca="1">IF(J32&lt;1,"",INDEX(Références!$I$2:$I$201,MATCH(LARGE(Références!$BA$2:$BA$201,6),Références!$BA$2:$BA$201,0)))</f>
        <v>2</v>
      </c>
      <c r="J32" s="20">
        <f ca="1">IFERROR(LARGE(Références!$BA$2:$BA$201,6),0)</f>
        <v>135.00978000000001</v>
      </c>
      <c r="K32" s="21" t="str">
        <f ca="1">IF(J32&lt;1,"",HYPERLINK(INDEX(Références!$AF$2:$AF$201,MATCH(LARGE(Références!$BA$2:$BA$201,6),Références!$BA$2:$BA$201,0)),"Ouvrir"))</f>
        <v>Ouvrir</v>
      </c>
      <c r="L32" s="81" t="str">
        <f ca="1">IF(J32&lt;1,"",INDEX(Références!$D$2:$D$201,MATCH(LARGE(Références!$BA$2:$BA$201,6),Références!$BA$2:$BA$201,0)))</f>
        <v>Approximation of linear viscoelastic model in the 3 dimensional case with mechanical analogues of finite size: Application to bituminous materials</v>
      </c>
      <c r="M32" s="81"/>
      <c r="N32" s="81"/>
      <c r="O32" s="81"/>
    </row>
    <row r="33" spans="6:15" ht="31.5" customHeight="1" x14ac:dyDescent="0.25">
      <c r="F33" s="19">
        <v>7</v>
      </c>
      <c r="G33" s="17" t="str">
        <f ca="1">IF(J33&lt;1,"",INDEX(Références!$C$2:$C$201,MATCH(LARGE(Références!$BA$2:$BA$201,7),Références!$BA$2:$BA$201,0)))</f>
        <v>De Beer &amp; Fisher (2013)</v>
      </c>
      <c r="H33" s="17" t="str">
        <f ca="1">IF(J33&lt;1,"",INDEX(Références!$H$2:$H$201,MATCH(LARGE(Références!$BA$2:$BA$201,7),Références!$BA$2:$BA$201,0)))</f>
        <v>INCONTOURNABLE</v>
      </c>
      <c r="I33" s="19">
        <f ca="1">IF(J33&lt;1,"",INDEX(Références!$I$2:$I$201,MATCH(LARGE(Références!$BA$2:$BA$201,7),Références!$BA$2:$BA$201,0)))</f>
        <v>1</v>
      </c>
      <c r="J33" s="20">
        <f ca="1">IFERROR(LARGE(Références!$BA$2:$BA$201,7),0)</f>
        <v>130.00997000000001</v>
      </c>
      <c r="K33" s="21" t="str">
        <f ca="1">IF(J33&lt;1,"",HYPERLINK(INDEX(Références!$AF$2:$AF$201,MATCH(LARGE(Références!$BA$2:$BA$201,7),Références!$BA$2:$BA$201,0)),"Ouvrir"))</f>
        <v>Ouvrir</v>
      </c>
      <c r="L33" s="81" t="str">
        <f ca="1">IF(J33&lt;1,"",INDEX(Références!$D$2:$D$201,MATCH(LARGE(Références!$BA$2:$BA$201,7),Références!$BA$2:$BA$201,0)))</f>
        <v>Stress-In-Motion (SIM) system for capturing tri-axial tyre–road interaction in the contact patch</v>
      </c>
      <c r="M33" s="81"/>
      <c r="N33" s="81"/>
      <c r="O33" s="81"/>
    </row>
    <row r="34" spans="6:15" ht="31.5" customHeight="1" x14ac:dyDescent="0.25">
      <c r="F34" s="19">
        <v>8</v>
      </c>
      <c r="G34" s="17" t="str">
        <f ca="1">IF(J34&lt;1,"",INDEX(Références!$C$2:$C$201,MATCH(LARGE(Références!$BA$2:$BA$201,8),Références!$BA$2:$BA$201,0)))</f>
        <v>Tielking (1989)</v>
      </c>
      <c r="H34" s="17" t="str">
        <f ca="1">IF(J34&lt;1,"",INDEX(Références!$H$2:$H$201,MATCH(LARGE(Références!$BA$2:$BA$201,8),Références!$BA$2:$BA$201,0)))</f>
        <v>INCONTOURNABLE</v>
      </c>
      <c r="I34" s="19">
        <f ca="1">IF(J34&lt;1,"",INDEX(Références!$I$2:$I$201,MATCH(LARGE(Références!$BA$2:$BA$201,8),Références!$BA$2:$BA$201,0)))</f>
        <v>1</v>
      </c>
      <c r="J34" s="20">
        <f ca="1">IFERROR(LARGE(Références!$BA$2:$BA$201,8),0)</f>
        <v>130.00996000000001</v>
      </c>
      <c r="K34" s="21" t="str">
        <f ca="1">IF(J34&lt;1,"",HYPERLINK(INDEX(Références!$AF$2:$AF$201,MATCH(LARGE(Références!$BA$2:$BA$201,8),Références!$BA$2:$BA$201,0)),"Ouvrir"))</f>
        <v>Ouvrir</v>
      </c>
      <c r="L34" s="81" t="str">
        <f ca="1">IF(J34&lt;1,"",INDEX(Références!$D$2:$D$201,MATCH(LARGE(Références!$BA$2:$BA$201,8),Références!$BA$2:$BA$201,0)))</f>
        <v>Aircraft tire/pavement pressure distribution</v>
      </c>
      <c r="M34" s="81"/>
      <c r="N34" s="81"/>
      <c r="O34" s="81"/>
    </row>
    <row r="36" spans="6:15" ht="15.75" x14ac:dyDescent="0.25">
      <c r="F36" s="7" t="s">
        <v>179</v>
      </c>
    </row>
    <row r="37" spans="6:15" ht="30" customHeight="1" x14ac:dyDescent="0.25">
      <c r="G37" s="5" t="s">
        <v>180</v>
      </c>
      <c r="H37" s="5" t="s">
        <v>181</v>
      </c>
      <c r="I37" s="5" t="s">
        <v>182</v>
      </c>
    </row>
    <row r="38" spans="6:15" x14ac:dyDescent="0.25">
      <c r="G38" s="10" t="s">
        <v>183</v>
      </c>
      <c r="H38" s="10">
        <f>COUNTIF(Références!$AJ$2:$AJ$201,G38)</f>
        <v>41</v>
      </c>
      <c r="I38" s="13">
        <f t="shared" ref="I38:I43" si="1">IFERROR(H38/$C$6,0)</f>
        <v>0.22905027932960895</v>
      </c>
    </row>
    <row r="39" spans="6:15" x14ac:dyDescent="0.25">
      <c r="G39" s="10" t="s">
        <v>184</v>
      </c>
      <c r="H39" s="10">
        <f>COUNTIF(Références!$AJ$2:$AJ$201,G39)</f>
        <v>15</v>
      </c>
      <c r="I39" s="13">
        <f t="shared" si="1"/>
        <v>8.3798882681564241E-2</v>
      </c>
    </row>
    <row r="40" spans="6:15" x14ac:dyDescent="0.25">
      <c r="G40" s="10" t="s">
        <v>185</v>
      </c>
      <c r="H40" s="10">
        <f>COUNTIF(Références!$AJ$2:$AJ$201,G40)</f>
        <v>80</v>
      </c>
      <c r="I40" s="13">
        <f t="shared" si="1"/>
        <v>0.44692737430167595</v>
      </c>
    </row>
    <row r="41" spans="6:15" x14ac:dyDescent="0.25">
      <c r="G41" s="10" t="s">
        <v>186</v>
      </c>
      <c r="H41" s="10">
        <f>COUNTIF(Références!$AJ$2:$AJ$201,G41)</f>
        <v>28</v>
      </c>
      <c r="I41" s="13">
        <f t="shared" si="1"/>
        <v>0.15642458100558659</v>
      </c>
    </row>
    <row r="42" spans="6:15" x14ac:dyDescent="0.25">
      <c r="G42" s="10" t="s">
        <v>187</v>
      </c>
      <c r="H42" s="10">
        <f>COUNTIF(Références!$AJ$2:$AJ$201,G42)</f>
        <v>7</v>
      </c>
      <c r="I42" s="13">
        <f t="shared" si="1"/>
        <v>3.9106145251396648E-2</v>
      </c>
    </row>
    <row r="43" spans="6:15" x14ac:dyDescent="0.25">
      <c r="G43" s="10" t="s">
        <v>188</v>
      </c>
      <c r="H43" s="10">
        <f>COUNTIF(Références!$AJ$2:$AJ$201,G43)</f>
        <v>8</v>
      </c>
      <c r="I43" s="13">
        <f t="shared" si="1"/>
        <v>4.4692737430167599E-2</v>
      </c>
    </row>
  </sheetData>
  <mergeCells count="9">
    <mergeCell ref="L31:O31"/>
    <mergeCell ref="L32:O32"/>
    <mergeCell ref="L33:O33"/>
    <mergeCell ref="L34:O34"/>
    <mergeCell ref="L26:O26"/>
    <mergeCell ref="L27:O27"/>
    <mergeCell ref="L28:O28"/>
    <mergeCell ref="L29:O29"/>
    <mergeCell ref="L30:O30"/>
  </mergeCells>
  <conditionalFormatting sqref="C20">
    <cfRule type="cellIs" dxfId="74" priority="7" operator="greaterThan">
      <formula>0</formula>
    </cfRule>
  </conditionalFormatting>
  <conditionalFormatting sqref="C23">
    <cfRule type="cellIs" dxfId="73" priority="8" operator="greaterThan">
      <formula>0</formula>
    </cfRule>
  </conditionalFormatting>
  <conditionalFormatting sqref="C31">
    <cfRule type="expression" dxfId="72" priority="6">
      <formula>LEFT($C31,9)="Surcharge"</formula>
    </cfRule>
  </conditionalFormatting>
  <conditionalFormatting sqref="N17:N22">
    <cfRule type="cellIs" dxfId="71" priority="5" operator="greaterThan">
      <formula>1</formula>
    </cfRule>
  </conditionalFormatting>
  <conditionalFormatting sqref="O17:O22">
    <cfRule type="expression" dxfId="70" priority="2">
      <formula>$O17="En retard"</formula>
    </cfRule>
    <cfRule type="expression" dxfId="69" priority="3">
      <formula>$O17="En cours"</formula>
    </cfRule>
    <cfRule type="expression" dxfId="68" priority="4">
      <formula>$O17="Terminé"</formula>
    </cfRule>
  </conditionalFormatting>
  <pageMargins left="0.75" right="0.75" top="1" bottom="1" header="0.511811023622047" footer="0.511811023622047"/>
  <pageSetup paperSize="9"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filterMode="1">
    <tabColor rgb="FF2E75B6"/>
  </sheetPr>
  <dimension ref="A1:BB201"/>
  <sheetViews>
    <sheetView zoomScale="90" zoomScaleNormal="90" workbookViewId="0">
      <pane xSplit="4" ySplit="1" topLeftCell="E20" activePane="bottomRight" state="frozen"/>
      <selection pane="topRight" activeCell="E1" sqref="E1"/>
      <selection pane="bottomLeft" activeCell="A2" sqref="A2"/>
      <selection pane="bottomRight" activeCell="F21" sqref="F21"/>
    </sheetView>
  </sheetViews>
  <sheetFormatPr baseColWidth="10" defaultColWidth="8.7109375" defaultRowHeight="15" outlineLevelCol="1" x14ac:dyDescent="0.25"/>
  <cols>
    <col min="1" max="1" width="9" customWidth="1"/>
    <col min="2" max="2" width="24" customWidth="1"/>
    <col min="3" max="3" width="22" customWidth="1"/>
    <col min="4" max="4" width="58" customWidth="1"/>
    <col min="5" max="5" width="24" customWidth="1"/>
    <col min="6" max="6" width="6" customWidth="1"/>
    <col min="7" max="7" width="5" customWidth="1"/>
    <col min="8" max="8" width="15" customWidth="1"/>
    <col min="9" max="9" width="6" customWidth="1"/>
    <col min="10" max="10" width="12" customWidth="1"/>
    <col min="11" max="11" width="13" customWidth="1"/>
    <col min="12" max="12" width="34" customWidth="1"/>
    <col min="13" max="13" width="7" customWidth="1"/>
    <col min="14" max="14" width="11" customWidth="1"/>
    <col min="15" max="17" width="9" customWidth="1"/>
    <col min="18" max="18" width="10" customWidth="1"/>
    <col min="19" max="19" width="30" customWidth="1"/>
    <col min="20" max="30" width="7" customWidth="1" outlineLevel="1"/>
    <col min="31" max="31" width="20" customWidth="1"/>
    <col min="32" max="32" width="40" customWidth="1"/>
    <col min="33" max="35" width="9" customWidth="1"/>
    <col min="36" max="36" width="22" customWidth="1"/>
    <col min="37" max="37" width="40" customWidth="1"/>
    <col min="38" max="38" width="11" customWidth="1"/>
    <col min="39" max="40" width="34" customWidth="1" outlineLevel="1"/>
    <col min="41" max="41" width="70" customWidth="1"/>
    <col min="42" max="42" width="30" customWidth="1"/>
    <col min="43" max="43" width="8" customWidth="1"/>
    <col min="44" max="44" width="30" customWidth="1"/>
    <col min="45" max="45" width="14" customWidth="1"/>
    <col min="46" max="46" width="8" customWidth="1"/>
    <col min="47" max="47" width="12" customWidth="1"/>
    <col min="48" max="48" width="11" customWidth="1"/>
    <col min="49" max="49" width="26" customWidth="1"/>
    <col min="50" max="53" width="7" hidden="1" customWidth="1" outlineLevel="1"/>
    <col min="54" max="54" width="45.7109375" customWidth="1" collapsed="1"/>
  </cols>
  <sheetData>
    <row r="1" spans="1:54" ht="42" customHeight="1" x14ac:dyDescent="0.25">
      <c r="A1" s="5" t="s">
        <v>51</v>
      </c>
      <c r="B1" s="5" t="s">
        <v>189</v>
      </c>
      <c r="C1" s="23" t="s">
        <v>169</v>
      </c>
      <c r="D1" s="5" t="s">
        <v>173</v>
      </c>
      <c r="E1" s="23" t="s">
        <v>172</v>
      </c>
      <c r="F1" s="5" t="s">
        <v>190</v>
      </c>
      <c r="G1" s="5" t="s">
        <v>119</v>
      </c>
      <c r="H1" s="5" t="s">
        <v>170</v>
      </c>
      <c r="I1" s="5" t="s">
        <v>147</v>
      </c>
      <c r="J1" s="24" t="s">
        <v>191</v>
      </c>
      <c r="K1" s="23" t="s">
        <v>152</v>
      </c>
      <c r="L1" s="23" t="s">
        <v>192</v>
      </c>
      <c r="M1" s="23" t="s">
        <v>171</v>
      </c>
      <c r="N1" s="24" t="s">
        <v>193</v>
      </c>
      <c r="O1" s="24" t="s">
        <v>194</v>
      </c>
      <c r="P1" s="24" t="s">
        <v>195</v>
      </c>
      <c r="Q1" s="24" t="s">
        <v>196</v>
      </c>
      <c r="R1" s="24" t="s">
        <v>197</v>
      </c>
      <c r="S1" s="24" t="s">
        <v>198</v>
      </c>
      <c r="T1" s="5" t="s">
        <v>199</v>
      </c>
      <c r="U1" s="23" t="s">
        <v>200</v>
      </c>
      <c r="V1" s="5" t="s">
        <v>201</v>
      </c>
      <c r="W1" s="5" t="s">
        <v>202</v>
      </c>
      <c r="X1" s="5" t="s">
        <v>203</v>
      </c>
      <c r="Y1" s="5" t="s">
        <v>204</v>
      </c>
      <c r="Z1" s="5" t="s">
        <v>205</v>
      </c>
      <c r="AA1" s="5" t="s">
        <v>206</v>
      </c>
      <c r="AB1" s="5" t="s">
        <v>207</v>
      </c>
      <c r="AC1" s="5" t="s">
        <v>208</v>
      </c>
      <c r="AD1" s="5" t="s">
        <v>209</v>
      </c>
      <c r="AE1" s="5" t="s">
        <v>210</v>
      </c>
      <c r="AF1" s="5" t="s">
        <v>211</v>
      </c>
      <c r="AG1" s="23" t="s">
        <v>212</v>
      </c>
      <c r="AH1" s="23" t="s">
        <v>213</v>
      </c>
      <c r="AI1" s="5" t="s">
        <v>5</v>
      </c>
      <c r="AJ1" s="5" t="s">
        <v>180</v>
      </c>
      <c r="AK1" s="5" t="s">
        <v>214</v>
      </c>
      <c r="AL1" s="5" t="s">
        <v>4</v>
      </c>
      <c r="AM1" s="5" t="s">
        <v>215</v>
      </c>
      <c r="AN1" s="5" t="s">
        <v>216</v>
      </c>
      <c r="AO1" s="5" t="s">
        <v>217</v>
      </c>
      <c r="AP1" s="5" t="s">
        <v>218</v>
      </c>
      <c r="AQ1" s="5" t="s">
        <v>219</v>
      </c>
      <c r="AR1" s="23" t="s">
        <v>220</v>
      </c>
      <c r="AS1" s="23" t="s">
        <v>221</v>
      </c>
      <c r="AT1" s="23" t="s">
        <v>222</v>
      </c>
      <c r="AU1" s="24" t="s">
        <v>223</v>
      </c>
      <c r="AV1" s="24" t="s">
        <v>224</v>
      </c>
      <c r="AW1" s="23" t="s">
        <v>225</v>
      </c>
      <c r="AX1" s="23" t="s">
        <v>226</v>
      </c>
      <c r="AY1" s="23" t="s">
        <v>227</v>
      </c>
      <c r="AZ1" s="23" t="s">
        <v>228</v>
      </c>
      <c r="BA1" s="23" t="s">
        <v>229</v>
      </c>
      <c r="BB1" s="23" t="s">
        <v>3157</v>
      </c>
    </row>
    <row r="2" spans="1:54" ht="45" customHeight="1" x14ac:dyDescent="0.25">
      <c r="A2" s="25" t="s">
        <v>230</v>
      </c>
      <c r="B2" s="25" t="s">
        <v>231</v>
      </c>
      <c r="C2" s="26" t="str">
        <f t="shared" ref="C2:C33" si="0">IF($B2="","",IFERROR(LEFT(LEFT($V2,FIND(";",$V2&amp;";")-1),FIND(",",LEFT($V2,FIND(";",$V2&amp;";")-1))-1),LEFT($V2,FIND(";",$V2&amp;";")-1))&amp;IF((LEN($V2)-LEN(SUBSTITUTE($V2,";",""))+1)=1,"",IF((LEN($V2)-LEN(SUBSTITUTE($V2,";",""))+1)=2," &amp; "&amp;IFERROR(LEFT(TRIM(MID($V2,FIND(";",$V2)+1,FIND(";",$V2&amp;";",FIND(";",$V2)+1)-FIND(";",$V2)-1)),FIND(",",TRIM(MID($V2,FIND(";",$V2)+1,FIND(";",$V2&amp;";",FIND(";",$V2)+1)-FIND(";",$V2)-1)))-1),TRIM(MID($V2,FIND(";",$V2)+1,FIND(";",$V2&amp;";",FIND(";",$V2)+1)-FIND(";",$V2)-1)))," et al."))&amp;" ("&amp;$W2&amp;")")</f>
        <v>De Beer et al. (2012)</v>
      </c>
      <c r="D2" s="4" t="s">
        <v>232</v>
      </c>
      <c r="E2" s="27" t="str">
        <f>IF(OR($B2="",$AF2=""),"",HYPERLINK(IF(AND(Paramètres!$C$13&lt;&gt;"",$AJ2="Éditeur (abonnement)"),Paramètres!$C$13&amp;$AF2,$AF2),"Ouvrir : "&amp;$AE2))</f>
        <v>Ouvrir : Page éditeur (DOI)</v>
      </c>
      <c r="F2" s="28" t="s">
        <v>233</v>
      </c>
      <c r="G2" s="28">
        <v>1</v>
      </c>
      <c r="H2" s="25" t="s">
        <v>122</v>
      </c>
      <c r="I2" s="28">
        <v>1</v>
      </c>
      <c r="J2" s="29" t="s">
        <v>234</v>
      </c>
      <c r="K2" s="26" t="str">
        <f ca="1">IF($B2="","",IF($J2="Lu","Lu",IF($J2="Écarté","Écarté",IF($I2&lt;Paramètres!$C$8,"EN RETARD",IF($I2=Paramètres!$C$8,"Ce mois-ci",IF($I2=Paramètres!$C$8+1,"Mois prochain","À venir"))))))</f>
        <v>Ce mois-ci</v>
      </c>
      <c r="L2" s="30" t="str">
        <f t="shared" ref="L2:L33" ca="1" si="1">IF($B2="","",IF($AL2="Non vérifié","Ne pas citer en l'état : métadonnées non vérifiées",IF($AL2="Partiel","Vérification à compléter avant de citer",IF($O2="Oui","",IF(OR($AJ2="PDF libre",$AJ2="PDF libre (dépôt)"),"PDF libre à télécharger",IF($AJ2="Éditeur (abonnement)","À télécharger via l'accès ENTPE",IF($AJ2="Payant (boutique)","À consulter via l'abonnement de l'école",IF($AJ2="Non diffusé (à demander)","Document à demander (feuille Demandes)","Texte intégral à localiser"))))))))</f>
        <v/>
      </c>
      <c r="M2" s="31">
        <f ca="1">IF($B2="","",IF(OR($J2="Lu",$J2="Écarté"),0,IFERROR(INDEX(Paramètres!$C$17:$C$19,MATCH($H2,Paramètres!$B$17:$B$19,0)),0)+Paramètres!$C$20*(7-$I2)+IF($I2&lt;Paramètres!$C$8,Paramètres!$C$21,0)+IF($F2="Oui",Paramètres!$C$22,0)+IF($AL2&lt;&gt;"Vérifié",Paramètres!$C$23,0)+IF(AND($O2&lt;&gt;"Oui",OR($AJ2="PDF libre",$AJ2="PDF libre (dépôt)")),Paramètres!$C$24,0)))</f>
        <v>140</v>
      </c>
      <c r="N2" s="32"/>
      <c r="O2" s="33" t="str">
        <f ca="1">IF($BB2="","Non",HYPERLINK(DossierPDF&amp;$BB2,"Oui"))</f>
        <v>Oui</v>
      </c>
      <c r="P2" s="33" t="s">
        <v>235</v>
      </c>
      <c r="Q2" s="33" t="s">
        <v>235</v>
      </c>
      <c r="R2" s="33"/>
      <c r="S2" s="34"/>
      <c r="T2" s="25" t="s">
        <v>236</v>
      </c>
      <c r="U2" s="26" t="str">
        <f>IF($B2="","",IFERROR(INDEX(Paramètres!$N$6:$N$13,MATCH($T2,Paramètres!$M$6:$M$13,0)),$T2))</f>
        <v>Article de revue</v>
      </c>
      <c r="V2" s="4" t="s">
        <v>237</v>
      </c>
      <c r="W2" s="28">
        <v>2012</v>
      </c>
      <c r="X2" s="4" t="s">
        <v>238</v>
      </c>
      <c r="Y2" s="25" t="s">
        <v>239</v>
      </c>
      <c r="Z2" s="25" t="s">
        <v>240</v>
      </c>
      <c r="AA2" s="25" t="s">
        <v>241</v>
      </c>
      <c r="AB2" s="25"/>
      <c r="AC2" s="25" t="s">
        <v>242</v>
      </c>
      <c r="AD2" s="25"/>
      <c r="AE2" s="25" t="s">
        <v>243</v>
      </c>
      <c r="AF2" s="35" t="s">
        <v>244</v>
      </c>
      <c r="AG2" s="27" t="str">
        <f t="shared" ref="AG2:AG33" si="2">IF($AC2="","",HYPERLINK("https://doi.org/"&amp;$AC2,"doi.org"))</f>
        <v>doi.org</v>
      </c>
      <c r="AH2" s="27" t="str">
        <f t="shared" ref="AH2:AH33" si="3">IF($AZ2="","",HYPERLINK($AZ2,"Scholar"))</f>
        <v>Scholar</v>
      </c>
      <c r="AI2" s="28" t="s">
        <v>245</v>
      </c>
      <c r="AJ2" s="25" t="s">
        <v>185</v>
      </c>
      <c r="AK2" s="4" t="s">
        <v>246</v>
      </c>
      <c r="AL2" s="25" t="s">
        <v>247</v>
      </c>
      <c r="AM2" s="4" t="s">
        <v>248</v>
      </c>
      <c r="AN2" s="25" t="s">
        <v>249</v>
      </c>
      <c r="AO2" s="4" t="s">
        <v>250</v>
      </c>
      <c r="AP2" s="4" t="s">
        <v>251</v>
      </c>
      <c r="AQ2" s="25" t="s">
        <v>235</v>
      </c>
      <c r="AR2" s="26" t="str">
        <f>IF($B2="","",IFERROR(INDEX(Paramètres!$Q$6:$Q$13,MATCH($G2,Paramètres!$P$6:$P$13,0)),""))</f>
        <v>Mesure de la pression de contact pneu-chaussée</v>
      </c>
      <c r="AS2" s="26" t="str">
        <f>IF($B2="","",IFERROR(INDEX(Paramètres!$T$6:$T$11,MATCH($I2,Paramètres!$S$6:$S$11,0)),""))</f>
        <v>octobre 2026</v>
      </c>
      <c r="AT2" s="31">
        <f>IF($B2="","",IFERROR(INDEX(Paramètres!$C$27:$C$29,MATCH($H2,Paramètres!$B$27:$B$29,0)),0))</f>
        <v>6</v>
      </c>
      <c r="AU2" s="29"/>
      <c r="AV2" s="32"/>
      <c r="AW2" s="26" t="str">
        <f t="shared" ref="AW2:AW33" si="4">IF($B2="","",$B2&amp;".md")</f>
        <v>debeer2012toward.md</v>
      </c>
      <c r="AX2" s="26">
        <f>IF($B2="","",COUNTIF($I$2:I2,$I2))</f>
        <v>1</v>
      </c>
      <c r="AY2" s="26" t="str">
        <f t="shared" ref="AY2:AY33" si="5">IF($B2="","",$I2&amp;"-"&amp;$AX2)</f>
        <v>1-1</v>
      </c>
      <c r="AZ2" s="26" t="s">
        <v>252</v>
      </c>
      <c r="BA2" s="36">
        <f t="shared" ref="BA2:BA33" ca="1" si="6">IF($B2="","",$M2+(1000-ROW())/100000)</f>
        <v>140.00998000000001</v>
      </c>
      <c r="BB2" t="s">
        <v>3158</v>
      </c>
    </row>
    <row r="3" spans="1:54" ht="45" customHeight="1" x14ac:dyDescent="0.25">
      <c r="A3" s="25" t="s">
        <v>253</v>
      </c>
      <c r="B3" s="25" t="s">
        <v>254</v>
      </c>
      <c r="C3" s="26" t="str">
        <f t="shared" si="0"/>
        <v>De Beer &amp; Fisher (2013)</v>
      </c>
      <c r="D3" s="4" t="s">
        <v>255</v>
      </c>
      <c r="E3" s="27" t="str">
        <f>IF(OR($B3="",$AF3=""),"",HYPERLINK(IF(AND(Paramètres!$C$13&lt;&gt;"",$AJ3="Éditeur (abonnement)"),Paramètres!$C$13&amp;$AF3,$AF3),"Ouvrir : "&amp;$AE3))</f>
        <v>Ouvrir : Page éditeur (DOI)</v>
      </c>
      <c r="F3" s="28" t="s">
        <v>235</v>
      </c>
      <c r="G3" s="28">
        <v>1</v>
      </c>
      <c r="H3" s="25" t="s">
        <v>122</v>
      </c>
      <c r="I3" s="28">
        <v>1</v>
      </c>
      <c r="J3" s="29" t="s">
        <v>234</v>
      </c>
      <c r="K3" s="26" t="str">
        <f ca="1">IF($B3="","",IF($J3="Lu","Lu",IF($J3="Écarté","Écarté",IF($I3&lt;Paramètres!$C$8,"EN RETARD",IF($I3=Paramètres!$C$8,"Ce mois-ci",IF($I3=Paramètres!$C$8+1,"Mois prochain","À venir"))))))</f>
        <v>Ce mois-ci</v>
      </c>
      <c r="L3" s="30" t="str">
        <f t="shared" ca="1" si="1"/>
        <v/>
      </c>
      <c r="M3" s="31">
        <f ca="1">IF($B3="","",IF(OR($J3="Lu",$J3="Écarté"),0,IFERROR(INDEX(Paramètres!$C$17:$C$19,MATCH($H3,Paramètres!$B$17:$B$19,0)),0)+Paramètres!$C$20*(7-$I3)+IF($I3&lt;Paramètres!$C$8,Paramètres!$C$21,0)+IF($F3="Oui",Paramètres!$C$22,0)+IF($AL3&lt;&gt;"Vérifié",Paramètres!$C$23,0)+IF(AND($O3&lt;&gt;"Oui",OR($AJ3="PDF libre",$AJ3="PDF libre (dépôt)")),Paramètres!$C$24,0)))</f>
        <v>130</v>
      </c>
      <c r="N3" s="32"/>
      <c r="O3" s="33" t="str">
        <f ca="1">IF($BB3="","Non",HYPERLINK(DossierPDF&amp;$BB3,"Oui"))</f>
        <v>Oui</v>
      </c>
      <c r="P3" s="33" t="s">
        <v>235</v>
      </c>
      <c r="Q3" s="33" t="s">
        <v>235</v>
      </c>
      <c r="R3" s="33"/>
      <c r="S3" s="34"/>
      <c r="T3" s="25" t="s">
        <v>236</v>
      </c>
      <c r="U3" s="26" t="str">
        <f>IF($B3="","",IFERROR(INDEX(Paramètres!$N$6:$N$13,MATCH($T3,Paramètres!$M$6:$M$13,0)),$T3))</f>
        <v>Article de revue</v>
      </c>
      <c r="V3" s="4" t="s">
        <v>256</v>
      </c>
      <c r="W3" s="28">
        <v>2013</v>
      </c>
      <c r="X3" s="4" t="s">
        <v>257</v>
      </c>
      <c r="Y3" s="25" t="s">
        <v>258</v>
      </c>
      <c r="Z3" s="25" t="s">
        <v>259</v>
      </c>
      <c r="AA3" s="25" t="s">
        <v>260</v>
      </c>
      <c r="AB3" s="25"/>
      <c r="AC3" s="25" t="s">
        <v>261</v>
      </c>
      <c r="AD3" s="25"/>
      <c r="AE3" s="25" t="s">
        <v>243</v>
      </c>
      <c r="AF3" s="35" t="s">
        <v>262</v>
      </c>
      <c r="AG3" s="27" t="str">
        <f t="shared" si="2"/>
        <v>doi.org</v>
      </c>
      <c r="AH3" s="27" t="str">
        <f t="shared" si="3"/>
        <v>Scholar</v>
      </c>
      <c r="AI3" s="28" t="s">
        <v>245</v>
      </c>
      <c r="AJ3" s="25" t="s">
        <v>185</v>
      </c>
      <c r="AK3" s="4" t="s">
        <v>263</v>
      </c>
      <c r="AL3" s="25" t="s">
        <v>247</v>
      </c>
      <c r="AM3" s="4" t="s">
        <v>264</v>
      </c>
      <c r="AN3" s="25" t="s">
        <v>249</v>
      </c>
      <c r="AO3" s="4" t="s">
        <v>265</v>
      </c>
      <c r="AP3" s="4" t="s">
        <v>266</v>
      </c>
      <c r="AQ3" s="25" t="s">
        <v>235</v>
      </c>
      <c r="AR3" s="26" t="str">
        <f>IF($B3="","",IFERROR(INDEX(Paramètres!$Q$6:$Q$13,MATCH($G3,Paramètres!$P$6:$P$13,0)),""))</f>
        <v>Mesure de la pression de contact pneu-chaussée</v>
      </c>
      <c r="AS3" s="26" t="str">
        <f>IF($B3="","",IFERROR(INDEX(Paramètres!$T$6:$T$11,MATCH($I3,Paramètres!$S$6:$S$11,0)),""))</f>
        <v>octobre 2026</v>
      </c>
      <c r="AT3" s="31">
        <f>IF($B3="","",IFERROR(INDEX(Paramètres!$C$27:$C$29,MATCH($H3,Paramètres!$B$27:$B$29,0)),0))</f>
        <v>6</v>
      </c>
      <c r="AU3" s="29"/>
      <c r="AV3" s="32"/>
      <c r="AW3" s="26" t="str">
        <f t="shared" si="4"/>
        <v>debeer2013sim.md</v>
      </c>
      <c r="AX3" s="26">
        <f>IF($B3="","",COUNTIF($I$2:I3,$I3))</f>
        <v>2</v>
      </c>
      <c r="AY3" s="26" t="str">
        <f t="shared" si="5"/>
        <v>1-2</v>
      </c>
      <c r="AZ3" s="26" t="s">
        <v>267</v>
      </c>
      <c r="BA3" s="36">
        <f t="shared" ca="1" si="6"/>
        <v>130.00997000000001</v>
      </c>
      <c r="BB3" t="s">
        <v>3159</v>
      </c>
    </row>
    <row r="4" spans="1:54" ht="45" hidden="1" customHeight="1" x14ac:dyDescent="0.25">
      <c r="A4" s="25" t="s">
        <v>268</v>
      </c>
      <c r="B4" s="25" t="s">
        <v>269</v>
      </c>
      <c r="C4" s="26" t="str">
        <f t="shared" si="0"/>
        <v>Tielking (1989)</v>
      </c>
      <c r="D4" s="4" t="s">
        <v>270</v>
      </c>
      <c r="E4" s="27" t="str">
        <f>IF(OR($B4="",$AF4=""),"",HYPERLINK(IF(AND(Paramètres!$C$13&lt;&gt;"",$AJ4="Éditeur (abonnement)"),Paramètres!$C$13&amp;$AF4,$AF4),"Ouvrir : "&amp;$AE4))</f>
        <v>Ouvrir : Texte intégral libre</v>
      </c>
      <c r="F4" s="28" t="s">
        <v>235</v>
      </c>
      <c r="G4" s="28">
        <v>1</v>
      </c>
      <c r="H4" s="25" t="s">
        <v>122</v>
      </c>
      <c r="I4" s="28">
        <v>1</v>
      </c>
      <c r="J4" s="29" t="s">
        <v>234</v>
      </c>
      <c r="K4" s="26" t="str">
        <f ca="1">IF($B4="","",IF($J4="Lu","Lu",IF($J4="Écarté","Écarté",IF($I4&lt;Paramètres!$C$8,"EN RETARD",IF($I4=Paramètres!$C$8,"Ce mois-ci",IF($I4=Paramètres!$C$8+1,"Mois prochain","À venir"))))))</f>
        <v>Ce mois-ci</v>
      </c>
      <c r="L4" s="30" t="str">
        <f t="shared" ca="1" si="1"/>
        <v/>
      </c>
      <c r="M4" s="31">
        <f ca="1">IF($B4="","",IF(OR($J4="Lu",$J4="Écarté"),0,IFERROR(INDEX(Paramètres!$C$17:$C$19,MATCH($H4,Paramètres!$B$17:$B$19,0)),0)+Paramètres!$C$20*(7-$I4)+IF($I4&lt;Paramètres!$C$8,Paramètres!$C$21,0)+IF($F4="Oui",Paramètres!$C$22,0)+IF($AL4&lt;&gt;"Vérifié",Paramètres!$C$23,0)+IF(AND($O4&lt;&gt;"Oui",OR($AJ4="PDF libre",$AJ4="PDF libre (dépôt)")),Paramètres!$C$24,0)))</f>
        <v>130</v>
      </c>
      <c r="N4" s="32"/>
      <c r="O4" s="33" t="str">
        <f ca="1">IF($BB4="","Non",HYPERLINK(DossierPDF&amp;$BB4,"Oui"))</f>
        <v>Oui</v>
      </c>
      <c r="P4" s="33" t="s">
        <v>235</v>
      </c>
      <c r="Q4" s="33" t="s">
        <v>235</v>
      </c>
      <c r="R4" s="33"/>
      <c r="S4" s="34"/>
      <c r="T4" s="25" t="s">
        <v>271</v>
      </c>
      <c r="U4" s="26" t="str">
        <f>IF($B4="","",IFERROR(INDEX(Paramètres!$N$6:$N$13,MATCH($T4,Paramètres!$M$6:$M$13,0)),$T4))</f>
        <v>Rapport</v>
      </c>
      <c r="V4" s="4" t="s">
        <v>272</v>
      </c>
      <c r="W4" s="28">
        <v>1989</v>
      </c>
      <c r="X4" s="4"/>
      <c r="Y4" s="25"/>
      <c r="Z4" s="25"/>
      <c r="AA4" s="25"/>
      <c r="AB4" s="25" t="s">
        <v>273</v>
      </c>
      <c r="AC4" s="25"/>
      <c r="AD4" s="25" t="s">
        <v>274</v>
      </c>
      <c r="AE4" s="25" t="s">
        <v>275</v>
      </c>
      <c r="AF4" s="35" t="s">
        <v>276</v>
      </c>
      <c r="AG4" s="27" t="str">
        <f t="shared" si="2"/>
        <v/>
      </c>
      <c r="AH4" s="27" t="str">
        <f t="shared" si="3"/>
        <v>Scholar</v>
      </c>
      <c r="AI4" s="28" t="s">
        <v>277</v>
      </c>
      <c r="AJ4" s="25" t="s">
        <v>183</v>
      </c>
      <c r="AK4" s="4" t="s">
        <v>278</v>
      </c>
      <c r="AL4" s="25" t="s">
        <v>247</v>
      </c>
      <c r="AM4" s="4" t="s">
        <v>279</v>
      </c>
      <c r="AN4" s="25" t="s">
        <v>249</v>
      </c>
      <c r="AO4" s="4" t="s">
        <v>280</v>
      </c>
      <c r="AP4" s="4" t="s">
        <v>281</v>
      </c>
      <c r="AQ4" s="25" t="s">
        <v>233</v>
      </c>
      <c r="AR4" s="26" t="str">
        <f>IF($B4="","",IFERROR(INDEX(Paramètres!$Q$6:$Q$13,MATCH($G4,Paramètres!$P$6:$P$13,0)),""))</f>
        <v>Mesure de la pression de contact pneu-chaussée</v>
      </c>
      <c r="AS4" s="26" t="str">
        <f>IF($B4="","",IFERROR(INDEX(Paramètres!$T$6:$T$11,MATCH($I4,Paramètres!$S$6:$S$11,0)),""))</f>
        <v>octobre 2026</v>
      </c>
      <c r="AT4" s="31">
        <f>IF($B4="","",IFERROR(INDEX(Paramètres!$C$27:$C$29,MATCH($H4,Paramètres!$B$27:$B$29,0)),0))</f>
        <v>6</v>
      </c>
      <c r="AU4" s="29"/>
      <c r="AV4" s="32"/>
      <c r="AW4" s="26" t="str">
        <f t="shared" si="4"/>
        <v>tielking1989afesc.md</v>
      </c>
      <c r="AX4" s="26">
        <f>IF($B4="","",COUNTIF($I$2:I4,$I4))</f>
        <v>3</v>
      </c>
      <c r="AY4" s="26" t="str">
        <f t="shared" si="5"/>
        <v>1-3</v>
      </c>
      <c r="AZ4" s="26" t="s">
        <v>282</v>
      </c>
      <c r="BA4" s="36">
        <f t="shared" ca="1" si="6"/>
        <v>130.00996000000001</v>
      </c>
      <c r="BB4" t="s">
        <v>3160</v>
      </c>
    </row>
    <row r="5" spans="1:54" ht="45" customHeight="1" x14ac:dyDescent="0.25">
      <c r="A5" s="25" t="s">
        <v>283</v>
      </c>
      <c r="B5" s="25" t="s">
        <v>284</v>
      </c>
      <c r="C5" s="26" t="str">
        <f t="shared" si="0"/>
        <v>Sadoun et al. (2022)</v>
      </c>
      <c r="D5" s="4" t="s">
        <v>285</v>
      </c>
      <c r="E5" s="27" t="str">
        <f>IF(OR($B5="",$AF5=""),"",HYPERLINK(IF(AND(Paramètres!$C$13&lt;&gt;"",$AJ5="Éditeur (abonnement)"),Paramètres!$C$13&amp;$AF5,$AF5),"Ouvrir : "&amp;$AE5))</f>
        <v>Ouvrir : Page éditeur (DOI)</v>
      </c>
      <c r="F5" s="28" t="s">
        <v>233</v>
      </c>
      <c r="G5" s="28">
        <v>6</v>
      </c>
      <c r="H5" s="25" t="s">
        <v>122</v>
      </c>
      <c r="I5" s="28">
        <v>1</v>
      </c>
      <c r="J5" s="29" t="s">
        <v>234</v>
      </c>
      <c r="K5" s="26" t="str">
        <f ca="1">IF($B5="","",IF($J5="Lu","Lu",IF($J5="Écarté","Écarté",IF($I5&lt;Paramètres!$C$8,"EN RETARD",IF($I5=Paramètres!$C$8,"Ce mois-ci",IF($I5=Paramètres!$C$8+1,"Mois prochain","À venir"))))))</f>
        <v>Ce mois-ci</v>
      </c>
      <c r="L5" s="30" t="str">
        <f t="shared" ca="1" si="1"/>
        <v/>
      </c>
      <c r="M5" s="31">
        <f ca="1">IF($B5="","",IF(OR($J5="Lu",$J5="Écarté"),0,IFERROR(INDEX(Paramètres!$C$17:$C$19,MATCH($H5,Paramètres!$B$17:$B$19,0)),0)+Paramètres!$C$20*(7-$I5)+IF($I5&lt;Paramètres!$C$8,Paramètres!$C$21,0)+IF($F5="Oui",Paramètres!$C$22,0)+IF($AL5&lt;&gt;"Vérifié",Paramètres!$C$23,0)+IF(AND($O5&lt;&gt;"Oui",OR($AJ5="PDF libre",$AJ5="PDF libre (dépôt)")),Paramètres!$C$24,0)))</f>
        <v>140</v>
      </c>
      <c r="N5" s="32"/>
      <c r="O5" s="33" t="str">
        <f ca="1">IF($BB5="","Non",HYPERLINK(DossierPDF&amp;$BB5,"Oui"))</f>
        <v>Oui</v>
      </c>
      <c r="P5" s="33" t="s">
        <v>235</v>
      </c>
      <c r="Q5" s="33" t="s">
        <v>235</v>
      </c>
      <c r="R5" s="33"/>
      <c r="S5" s="34"/>
      <c r="T5" s="25" t="s">
        <v>286</v>
      </c>
      <c r="U5" s="26" t="str">
        <f>IF($B5="","",IFERROR(INDEX(Paramètres!$N$6:$N$13,MATCH($T5,Paramètres!$M$6:$M$13,0)),$T5))</f>
        <v>Communication (actes)</v>
      </c>
      <c r="V5" s="4" t="s">
        <v>287</v>
      </c>
      <c r="W5" s="28">
        <v>2022</v>
      </c>
      <c r="X5" s="4" t="s">
        <v>288</v>
      </c>
      <c r="Y5" s="25" t="s">
        <v>289</v>
      </c>
      <c r="Z5" s="25"/>
      <c r="AA5" s="25" t="s">
        <v>290</v>
      </c>
      <c r="AB5" s="25" t="s">
        <v>291</v>
      </c>
      <c r="AC5" s="25" t="s">
        <v>292</v>
      </c>
      <c r="AD5" s="25" t="s">
        <v>293</v>
      </c>
      <c r="AE5" s="25" t="s">
        <v>243</v>
      </c>
      <c r="AF5" s="35" t="s">
        <v>294</v>
      </c>
      <c r="AG5" s="27" t="str">
        <f t="shared" si="2"/>
        <v>doi.org</v>
      </c>
      <c r="AH5" s="27" t="str">
        <f t="shared" si="3"/>
        <v>Scholar</v>
      </c>
      <c r="AI5" s="28" t="s">
        <v>245</v>
      </c>
      <c r="AJ5" s="25" t="s">
        <v>185</v>
      </c>
      <c r="AK5" s="4" t="s">
        <v>295</v>
      </c>
      <c r="AL5" s="25" t="s">
        <v>247</v>
      </c>
      <c r="AM5" s="4" t="s">
        <v>296</v>
      </c>
      <c r="AN5" s="25" t="s">
        <v>249</v>
      </c>
      <c r="AO5" s="4" t="s">
        <v>297</v>
      </c>
      <c r="AP5" s="4" t="s">
        <v>298</v>
      </c>
      <c r="AQ5" s="25" t="s">
        <v>233</v>
      </c>
      <c r="AR5" s="26" t="str">
        <f>IF($B5="","",IFERROR(INDEX(Paramètres!$Q$6:$Q$13,MATCH($G5,Paramètres!$P$6:$P$13,0)),""))</f>
        <v>Fatigue et endommagement</v>
      </c>
      <c r="AS5" s="26" t="str">
        <f>IF($B5="","",IFERROR(INDEX(Paramètres!$T$6:$T$11,MATCH($I5,Paramètres!$S$6:$S$11,0)),""))</f>
        <v>octobre 2026</v>
      </c>
      <c r="AT5" s="31">
        <f>IF($B5="","",IFERROR(INDEX(Paramètres!$C$27:$C$29,MATCH($H5,Paramètres!$B$27:$B$29,0)),0))</f>
        <v>6</v>
      </c>
      <c r="AU5" s="29"/>
      <c r="AV5" s="32"/>
      <c r="AW5" s="26" t="str">
        <f t="shared" si="4"/>
        <v>sadoun2022topdown.md</v>
      </c>
      <c r="AX5" s="26">
        <f>IF($B5="","",COUNTIF($I$2:I5,$I5))</f>
        <v>4</v>
      </c>
      <c r="AY5" s="26" t="str">
        <f t="shared" si="5"/>
        <v>1-4</v>
      </c>
      <c r="AZ5" s="26" t="s">
        <v>299</v>
      </c>
      <c r="BA5" s="36">
        <f t="shared" ca="1" si="6"/>
        <v>140.00995</v>
      </c>
      <c r="BB5" t="s">
        <v>3161</v>
      </c>
    </row>
    <row r="6" spans="1:54" ht="45" hidden="1" customHeight="1" x14ac:dyDescent="0.25">
      <c r="A6" s="25" t="s">
        <v>300</v>
      </c>
      <c r="B6" s="25" t="s">
        <v>301</v>
      </c>
      <c r="C6" s="26" t="str">
        <f t="shared" si="0"/>
        <v>Airbus S.A.S. (2010)</v>
      </c>
      <c r="D6" s="4" t="s">
        <v>302</v>
      </c>
      <c r="E6" s="27" t="str">
        <f>IF(OR($B6="",$AF6=""),"",HYPERLINK(IF(AND(Paramètres!$C$13&lt;&gt;"",$AJ6="Éditeur (abonnement)"),Paramètres!$C$13&amp;$AF6,$AF6),"Ouvrir : "&amp;$AE6))</f>
        <v>Ouvrir : Texte intégral libre</v>
      </c>
      <c r="F6" s="28" t="s">
        <v>233</v>
      </c>
      <c r="G6" s="28">
        <v>7</v>
      </c>
      <c r="H6" s="25" t="s">
        <v>122</v>
      </c>
      <c r="I6" s="28">
        <v>1</v>
      </c>
      <c r="J6" s="29" t="s">
        <v>234</v>
      </c>
      <c r="K6" s="26" t="str">
        <f ca="1">IF($B6="","",IF($J6="Lu","Lu",IF($J6="Écarté","Écarté",IF($I6&lt;Paramètres!$C$8,"EN RETARD",IF($I6=Paramètres!$C$8,"Ce mois-ci",IF($I6=Paramètres!$C$8+1,"Mois prochain","À venir"))))))</f>
        <v>Ce mois-ci</v>
      </c>
      <c r="L6" s="30" t="str">
        <f t="shared" ca="1" si="1"/>
        <v/>
      </c>
      <c r="M6" s="31">
        <f ca="1">IF($B6="","",IF(OR($J6="Lu",$J6="Écarté"),0,IFERROR(INDEX(Paramètres!$C$17:$C$19,MATCH($H6,Paramètres!$B$17:$B$19,0)),0)+Paramètres!$C$20*(7-$I6)+IF($I6&lt;Paramètres!$C$8,Paramètres!$C$21,0)+IF($F6="Oui",Paramètres!$C$22,0)+IF($AL6&lt;&gt;"Vérifié",Paramètres!$C$23,0)+IF(AND($O6&lt;&gt;"Oui",OR($AJ6="PDF libre",$AJ6="PDF libre (dépôt)")),Paramètres!$C$24,0)))</f>
        <v>140</v>
      </c>
      <c r="N6" s="32"/>
      <c r="O6" s="33" t="str">
        <f ca="1">IF($BB6="","Non",HYPERLINK(DossierPDF&amp;$BB6,"Oui"))</f>
        <v>Oui</v>
      </c>
      <c r="P6" s="33" t="s">
        <v>235</v>
      </c>
      <c r="Q6" s="33" t="s">
        <v>235</v>
      </c>
      <c r="R6" s="33"/>
      <c r="S6" s="34"/>
      <c r="T6" s="25" t="s">
        <v>271</v>
      </c>
      <c r="U6" s="26" t="str">
        <f>IF($B6="","",IFERROR(INDEX(Paramètres!$N$6:$N$13,MATCH($T6,Paramètres!$M$6:$M$13,0)),$T6))</f>
        <v>Rapport</v>
      </c>
      <c r="V6" s="4" t="s">
        <v>303</v>
      </c>
      <c r="W6" s="28">
        <v>2010</v>
      </c>
      <c r="X6" s="4"/>
      <c r="Y6" s="25"/>
      <c r="Z6" s="25"/>
      <c r="AA6" s="25"/>
      <c r="AB6" s="25" t="s">
        <v>304</v>
      </c>
      <c r="AC6" s="25"/>
      <c r="AD6" s="25" t="s">
        <v>305</v>
      </c>
      <c r="AE6" s="25" t="s">
        <v>275</v>
      </c>
      <c r="AF6" s="35" t="s">
        <v>306</v>
      </c>
      <c r="AG6" s="27" t="str">
        <f t="shared" si="2"/>
        <v/>
      </c>
      <c r="AH6" s="27" t="str">
        <f t="shared" si="3"/>
        <v>Scholar</v>
      </c>
      <c r="AI6" s="28" t="s">
        <v>277</v>
      </c>
      <c r="AJ6" s="25" t="s">
        <v>183</v>
      </c>
      <c r="AK6" s="4" t="s">
        <v>307</v>
      </c>
      <c r="AL6" s="25" t="s">
        <v>247</v>
      </c>
      <c r="AM6" s="4" t="s">
        <v>308</v>
      </c>
      <c r="AN6" s="25" t="s">
        <v>249</v>
      </c>
      <c r="AO6" s="4" t="s">
        <v>309</v>
      </c>
      <c r="AP6" s="4" t="s">
        <v>310</v>
      </c>
      <c r="AQ6" s="25" t="s">
        <v>233</v>
      </c>
      <c r="AR6" s="26" t="str">
        <f>IF($B6="","",IFERROR(INDEX(Paramètres!$Q$6:$Q$13,MATCH($G6,Paramètres!$P$6:$P$13,0)),""))</f>
        <v>Chaussées aéronautiques</v>
      </c>
      <c r="AS6" s="26" t="str">
        <f>IF($B6="","",IFERROR(INDEX(Paramètres!$T$6:$T$11,MATCH($I6,Paramètres!$S$6:$S$11,0)),""))</f>
        <v>octobre 2026</v>
      </c>
      <c r="AT6" s="31">
        <f>IF($B6="","",IFERROR(INDEX(Paramètres!$C$27:$C$29,MATCH($H6,Paramètres!$B$27:$B$29,0)),0))</f>
        <v>6</v>
      </c>
      <c r="AU6" s="29"/>
      <c r="AV6" s="32"/>
      <c r="AW6" s="26" t="str">
        <f t="shared" si="4"/>
        <v>airbus2010htpt.md</v>
      </c>
      <c r="AX6" s="26">
        <f>IF($B6="","",COUNTIF($I$2:I6,$I6))</f>
        <v>5</v>
      </c>
      <c r="AY6" s="26" t="str">
        <f t="shared" si="5"/>
        <v>1-5</v>
      </c>
      <c r="AZ6" s="26" t="s">
        <v>311</v>
      </c>
      <c r="BA6" s="36">
        <f t="shared" ca="1" si="6"/>
        <v>140.00994</v>
      </c>
      <c r="BB6" t="s">
        <v>3162</v>
      </c>
    </row>
    <row r="7" spans="1:54" ht="45" hidden="1" customHeight="1" x14ac:dyDescent="0.25">
      <c r="A7" s="25" t="s">
        <v>312</v>
      </c>
      <c r="B7" s="25" t="s">
        <v>313</v>
      </c>
      <c r="C7" s="26" t="str">
        <f t="shared" si="0"/>
        <v>Petitjean et al. (2001)</v>
      </c>
      <c r="D7" s="4" t="s">
        <v>314</v>
      </c>
      <c r="E7" s="27" t="str">
        <f>IF(OR($B7="",$AF7=""),"",HYPERLINK(IF(AND(Paramètres!$C$13&lt;&gt;"",$AJ7="Éditeur (abonnement)"),Paramètres!$C$13&amp;$AF7,$AF7),"Ouvrir : "&amp;$AE7))</f>
        <v>Ouvrir : Texte intégral libre</v>
      </c>
      <c r="F7" s="28" t="s">
        <v>233</v>
      </c>
      <c r="G7" s="28">
        <v>7</v>
      </c>
      <c r="H7" s="25" t="s">
        <v>122</v>
      </c>
      <c r="I7" s="28">
        <v>1</v>
      </c>
      <c r="J7" s="29" t="s">
        <v>234</v>
      </c>
      <c r="K7" s="26" t="str">
        <f ca="1">IF($B7="","",IF($J7="Lu","Lu",IF($J7="Écarté","Écarté",IF($I7&lt;Paramètres!$C$8,"EN RETARD",IF($I7=Paramètres!$C$8,"Ce mois-ci",IF($I7=Paramètres!$C$8+1,"Mois prochain","À venir"))))))</f>
        <v>Ce mois-ci</v>
      </c>
      <c r="L7" s="30" t="str">
        <f t="shared" ca="1" si="1"/>
        <v/>
      </c>
      <c r="M7" s="31">
        <f ca="1">IF($B7="","",IF(OR($J7="Lu",$J7="Écarté"),0,IFERROR(INDEX(Paramètres!$C$17:$C$19,MATCH($H7,Paramètres!$B$17:$B$19,0)),0)+Paramètres!$C$20*(7-$I7)+IF($I7&lt;Paramètres!$C$8,Paramètres!$C$21,0)+IF($F7="Oui",Paramètres!$C$22,0)+IF($AL7&lt;&gt;"Vérifié",Paramètres!$C$23,0)+IF(AND($O7&lt;&gt;"Oui",OR($AJ7="PDF libre",$AJ7="PDF libre (dépôt)")),Paramètres!$C$24,0)))</f>
        <v>140</v>
      </c>
      <c r="N7" s="32"/>
      <c r="O7" s="33" t="str">
        <f ca="1">IF($BB7="","Non",HYPERLINK(DossierPDF&amp;$BB7,"Oui"))</f>
        <v>Oui</v>
      </c>
      <c r="P7" s="33" t="s">
        <v>235</v>
      </c>
      <c r="Q7" s="33" t="s">
        <v>235</v>
      </c>
      <c r="R7" s="33"/>
      <c r="S7" s="34"/>
      <c r="T7" s="25" t="s">
        <v>271</v>
      </c>
      <c r="U7" s="26" t="str">
        <f>IF($B7="","",IFERROR(INDEX(Paramètres!$N$6:$N$13,MATCH($T7,Paramètres!$M$6:$M$13,0)),$T7))</f>
        <v>Rapport</v>
      </c>
      <c r="V7" s="4" t="s">
        <v>315</v>
      </c>
      <c r="W7" s="28">
        <v>2001</v>
      </c>
      <c r="X7" s="4"/>
      <c r="Y7" s="25"/>
      <c r="Z7" s="25"/>
      <c r="AA7" s="25"/>
      <c r="AB7" s="25" t="s">
        <v>316</v>
      </c>
      <c r="AC7" s="25"/>
      <c r="AD7" s="25" t="s">
        <v>317</v>
      </c>
      <c r="AE7" s="25" t="s">
        <v>275</v>
      </c>
      <c r="AF7" s="35" t="s">
        <v>318</v>
      </c>
      <c r="AG7" s="27" t="str">
        <f t="shared" si="2"/>
        <v/>
      </c>
      <c r="AH7" s="27" t="str">
        <f t="shared" si="3"/>
        <v>Scholar</v>
      </c>
      <c r="AI7" s="28" t="s">
        <v>277</v>
      </c>
      <c r="AJ7" s="25" t="s">
        <v>183</v>
      </c>
      <c r="AK7" s="4" t="s">
        <v>319</v>
      </c>
      <c r="AL7" s="25" t="s">
        <v>247</v>
      </c>
      <c r="AM7" s="4" t="s">
        <v>320</v>
      </c>
      <c r="AN7" s="25" t="s">
        <v>249</v>
      </c>
      <c r="AO7" s="4" t="s">
        <v>321</v>
      </c>
      <c r="AP7" s="4" t="s">
        <v>322</v>
      </c>
      <c r="AQ7" s="25" t="s">
        <v>233</v>
      </c>
      <c r="AR7" s="26" t="str">
        <f>IF($B7="","",IFERROR(INDEX(Paramètres!$Q$6:$Q$13,MATCH($G7,Paramètres!$P$6:$P$13,0)),""))</f>
        <v>Chaussées aéronautiques</v>
      </c>
      <c r="AS7" s="26" t="str">
        <f>IF($B7="","",IFERROR(INDEX(Paramètres!$T$6:$T$11,MATCH($I7,Paramètres!$S$6:$S$11,0)),""))</f>
        <v>octobre 2026</v>
      </c>
      <c r="AT7" s="31">
        <f>IF($B7="","",IFERROR(INDEX(Paramètres!$C$27:$C$29,MATCH($H7,Paramètres!$B$27:$B$29,0)),0))</f>
        <v>6</v>
      </c>
      <c r="AU7" s="29"/>
      <c r="AV7" s="32"/>
      <c r="AW7" s="26" t="str">
        <f t="shared" si="4"/>
        <v>petitjean2001pep.md</v>
      </c>
      <c r="AX7" s="26">
        <f>IF($B7="","",COUNTIF($I$2:I7,$I7))</f>
        <v>6</v>
      </c>
      <c r="AY7" s="26" t="str">
        <f t="shared" si="5"/>
        <v>1-6</v>
      </c>
      <c r="AZ7" s="26" t="s">
        <v>323</v>
      </c>
      <c r="BA7" s="36">
        <f t="shared" ca="1" si="6"/>
        <v>140.00993</v>
      </c>
      <c r="BB7" t="s">
        <v>3163</v>
      </c>
    </row>
    <row r="8" spans="1:54" ht="45" hidden="1" customHeight="1" x14ac:dyDescent="0.25">
      <c r="A8" s="25" t="s">
        <v>324</v>
      </c>
      <c r="B8" s="25" t="s">
        <v>325</v>
      </c>
      <c r="C8" s="26" t="str">
        <f t="shared" si="0"/>
        <v>STAC (2011)</v>
      </c>
      <c r="D8" s="4" t="s">
        <v>326</v>
      </c>
      <c r="E8" s="27" t="str">
        <f>IF(OR($B8="",$AF8=""),"",HYPERLINK(IF(AND(Paramètres!$C$13&lt;&gt;"",$AJ8="Éditeur (abonnement)"),Paramètres!$C$13&amp;$AF8,$AF8),"Ouvrir : "&amp;$AE8))</f>
        <v>Ouvrir : Texte intégral libre</v>
      </c>
      <c r="F8" s="28" t="s">
        <v>235</v>
      </c>
      <c r="G8" s="28">
        <v>7</v>
      </c>
      <c r="H8" s="25" t="s">
        <v>122</v>
      </c>
      <c r="I8" s="28">
        <v>1</v>
      </c>
      <c r="J8" s="29" t="s">
        <v>234</v>
      </c>
      <c r="K8" s="26" t="str">
        <f ca="1">IF($B8="","",IF($J8="Lu","Lu",IF($J8="Écarté","Écarté",IF($I8&lt;Paramètres!$C$8,"EN RETARD",IF($I8=Paramètres!$C$8,"Ce mois-ci",IF($I8=Paramètres!$C$8+1,"Mois prochain","À venir"))))))</f>
        <v>Ce mois-ci</v>
      </c>
      <c r="L8" s="30" t="str">
        <f t="shared" ca="1" si="1"/>
        <v/>
      </c>
      <c r="M8" s="31">
        <f ca="1">IF($B8="","",IF(OR($J8="Lu",$J8="Écarté"),0,IFERROR(INDEX(Paramètres!$C$17:$C$19,MATCH($H8,Paramètres!$B$17:$B$19,0)),0)+Paramètres!$C$20*(7-$I8)+IF($I8&lt;Paramètres!$C$8,Paramètres!$C$21,0)+IF($F8="Oui",Paramètres!$C$22,0)+IF($AL8&lt;&gt;"Vérifié",Paramètres!$C$23,0)+IF(AND($O8&lt;&gt;"Oui",OR($AJ8="PDF libre",$AJ8="PDF libre (dépôt)")),Paramètres!$C$24,0)))</f>
        <v>130</v>
      </c>
      <c r="N8" s="32"/>
      <c r="O8" s="33" t="str">
        <f ca="1">IF($BB8="","Non",HYPERLINK(DossierPDF&amp;$BB8,"Oui"))</f>
        <v>Oui</v>
      </c>
      <c r="P8" s="33" t="s">
        <v>235</v>
      </c>
      <c r="Q8" s="33" t="s">
        <v>235</v>
      </c>
      <c r="R8" s="33"/>
      <c r="S8" s="34"/>
      <c r="T8" s="25" t="s">
        <v>271</v>
      </c>
      <c r="U8" s="26" t="str">
        <f>IF($B8="","",IFERROR(INDEX(Paramètres!$N$6:$N$13,MATCH($T8,Paramètres!$M$6:$M$13,0)),$T8))</f>
        <v>Rapport</v>
      </c>
      <c r="V8" s="4" t="s">
        <v>327</v>
      </c>
      <c r="W8" s="28">
        <v>2011</v>
      </c>
      <c r="X8" s="4"/>
      <c r="Y8" s="25"/>
      <c r="Z8" s="25"/>
      <c r="AA8" s="25"/>
      <c r="AB8" s="25" t="s">
        <v>328</v>
      </c>
      <c r="AC8" s="25"/>
      <c r="AD8" s="25" t="s">
        <v>329</v>
      </c>
      <c r="AE8" s="25" t="s">
        <v>275</v>
      </c>
      <c r="AF8" s="35" t="s">
        <v>330</v>
      </c>
      <c r="AG8" s="27" t="str">
        <f t="shared" si="2"/>
        <v/>
      </c>
      <c r="AH8" s="27" t="str">
        <f t="shared" si="3"/>
        <v>Scholar</v>
      </c>
      <c r="AI8" s="28" t="s">
        <v>277</v>
      </c>
      <c r="AJ8" s="25" t="s">
        <v>183</v>
      </c>
      <c r="AK8" s="4" t="s">
        <v>331</v>
      </c>
      <c r="AL8" s="25" t="s">
        <v>247</v>
      </c>
      <c r="AM8" s="4" t="s">
        <v>332</v>
      </c>
      <c r="AN8" s="25" t="s">
        <v>249</v>
      </c>
      <c r="AO8" s="4" t="s">
        <v>333</v>
      </c>
      <c r="AP8" s="4" t="s">
        <v>322</v>
      </c>
      <c r="AQ8" s="25" t="s">
        <v>233</v>
      </c>
      <c r="AR8" s="26" t="str">
        <f>IF($B8="","",IFERROR(INDEX(Paramètres!$Q$6:$Q$13,MATCH($G8,Paramètres!$P$6:$P$13,0)),""))</f>
        <v>Chaussées aéronautiques</v>
      </c>
      <c r="AS8" s="26" t="str">
        <f>IF($B8="","",IFERROR(INDEX(Paramètres!$T$6:$T$11,MATCH($I8,Paramètres!$S$6:$S$11,0)),""))</f>
        <v>octobre 2026</v>
      </c>
      <c r="AT8" s="31">
        <f>IF($B8="","",IFERROR(INDEX(Paramètres!$C$27:$C$29,MATCH($H8,Paramètres!$B$27:$B$29,0)),0))</f>
        <v>6</v>
      </c>
      <c r="AU8" s="29"/>
      <c r="AV8" s="32"/>
      <c r="AW8" s="26" t="str">
        <f t="shared" si="4"/>
        <v>stac2011htpt.md</v>
      </c>
      <c r="AX8" s="26">
        <f>IF($B8="","",COUNTIF($I$2:I8,$I8))</f>
        <v>7</v>
      </c>
      <c r="AY8" s="26" t="str">
        <f t="shared" si="5"/>
        <v>1-7</v>
      </c>
      <c r="AZ8" s="26" t="s">
        <v>334</v>
      </c>
      <c r="BA8" s="36">
        <f t="shared" ca="1" si="6"/>
        <v>130.00991999999999</v>
      </c>
      <c r="BB8" t="s">
        <v>3164</v>
      </c>
    </row>
    <row r="9" spans="1:54" ht="45" hidden="1" customHeight="1" x14ac:dyDescent="0.25">
      <c r="A9" s="25" t="s">
        <v>335</v>
      </c>
      <c r="B9" s="25" t="s">
        <v>336</v>
      </c>
      <c r="C9" s="26" t="str">
        <f t="shared" si="0"/>
        <v>De Beer &amp; Fisher (2000)</v>
      </c>
      <c r="D9" s="4" t="s">
        <v>337</v>
      </c>
      <c r="E9" s="27" t="str">
        <f>IF(OR($B9="",$AF9=""),"",HYPERLINK(IF(AND(Paramètres!$C$13&lt;&gt;"",$AJ9="Éditeur (abonnement)"),Paramètres!$C$13&amp;$AF9,$AF9),"Ouvrir : "&amp;$AE9))</f>
        <v>Ouvrir : Recherche Google Scholar</v>
      </c>
      <c r="F9" s="28" t="s">
        <v>233</v>
      </c>
      <c r="G9" s="28">
        <v>1</v>
      </c>
      <c r="H9" s="25" t="s">
        <v>338</v>
      </c>
      <c r="I9" s="28">
        <v>1</v>
      </c>
      <c r="J9" s="29" t="s">
        <v>234</v>
      </c>
      <c r="K9" s="26" t="str">
        <f ca="1">IF($B9="","",IF($J9="Lu","Lu",IF($J9="Écarté","Écarté",IF($I9&lt;Paramètres!$C$8,"EN RETARD",IF($I9=Paramètres!$C$8,"Ce mois-ci",IF($I9=Paramètres!$C$8+1,"Mois prochain","À venir"))))))</f>
        <v>Ce mois-ci</v>
      </c>
      <c r="L9" s="30" t="str">
        <f t="shared" si="1"/>
        <v>Ne pas citer en l'état : métadonnées non vérifiées</v>
      </c>
      <c r="M9" s="31">
        <f ca="1">IF($B9="","",IF(OR($J9="Lu",$J9="Écarté"),0,IFERROR(INDEX(Paramètres!$C$17:$C$19,MATCH($H9,Paramètres!$B$17:$B$19,0)),0)+Paramètres!$C$20*(7-$I9)+IF($I9&lt;Paramètres!$C$8,Paramètres!$C$21,0)+IF($F9="Oui",Paramètres!$C$22,0)+IF($AL9&lt;&gt;"Vérifié",Paramètres!$C$23,0)+IF(AND($O9&lt;&gt;"Oui",OR($AJ9="PDF libre",$AJ9="PDF libre (dépôt)")),Paramètres!$C$24,0)))</f>
        <v>115</v>
      </c>
      <c r="N9" s="32"/>
      <c r="O9" s="33" t="str">
        <f>IF($BB9="","Non",HYPERLINK(DossierPDF&amp;$BB9,"Oui"))</f>
        <v>Non</v>
      </c>
      <c r="P9" s="33" t="s">
        <v>235</v>
      </c>
      <c r="Q9" s="33" t="s">
        <v>235</v>
      </c>
      <c r="R9" s="33"/>
      <c r="S9" s="34"/>
      <c r="T9" s="25" t="s">
        <v>271</v>
      </c>
      <c r="U9" s="26" t="str">
        <f>IF($B9="","",IFERROR(INDEX(Paramètres!$N$6:$N$13,MATCH($T9,Paramètres!$M$6:$M$13,0)),$T9))</f>
        <v>Rapport</v>
      </c>
      <c r="V9" s="4" t="s">
        <v>256</v>
      </c>
      <c r="W9" s="28">
        <v>2000</v>
      </c>
      <c r="X9" s="4"/>
      <c r="Y9" s="25"/>
      <c r="Z9" s="25"/>
      <c r="AA9" s="25"/>
      <c r="AB9" s="25" t="s">
        <v>339</v>
      </c>
      <c r="AC9" s="25"/>
      <c r="AD9" s="25" t="s">
        <v>340</v>
      </c>
      <c r="AE9" s="25" t="s">
        <v>341</v>
      </c>
      <c r="AF9" s="35" t="s">
        <v>342</v>
      </c>
      <c r="AG9" s="27" t="str">
        <f t="shared" si="2"/>
        <v/>
      </c>
      <c r="AH9" s="27" t="str">
        <f t="shared" si="3"/>
        <v>Scholar</v>
      </c>
      <c r="AI9" s="28" t="s">
        <v>343</v>
      </c>
      <c r="AJ9" s="25" t="s">
        <v>187</v>
      </c>
      <c r="AK9" s="4" t="s">
        <v>344</v>
      </c>
      <c r="AL9" s="25" t="s">
        <v>345</v>
      </c>
      <c r="AM9" s="4" t="s">
        <v>346</v>
      </c>
      <c r="AN9" s="25" t="s">
        <v>249</v>
      </c>
      <c r="AO9" s="4" t="s">
        <v>347</v>
      </c>
      <c r="AP9" s="4" t="s">
        <v>348</v>
      </c>
      <c r="AQ9" s="25" t="s">
        <v>233</v>
      </c>
      <c r="AR9" s="26" t="str">
        <f>IF($B9="","",IFERROR(INDEX(Paramètres!$Q$6:$Q$13,MATCH($G9,Paramètres!$P$6:$P$13,0)),""))</f>
        <v>Mesure de la pression de contact pneu-chaussée</v>
      </c>
      <c r="AS9" s="26" t="str">
        <f>IF($B9="","",IFERROR(INDEX(Paramètres!$T$6:$T$11,MATCH($I9,Paramètres!$S$6:$S$11,0)),""))</f>
        <v>octobre 2026</v>
      </c>
      <c r="AT9" s="31">
        <f>IF($B9="","",IFERROR(INDEX(Paramètres!$C$27:$C$29,MATCH($H9,Paramètres!$B$27:$B$29,0)),0))</f>
        <v>3</v>
      </c>
      <c r="AU9" s="29"/>
      <c r="AV9" s="32"/>
      <c r="AW9" s="26" t="str">
        <f t="shared" si="4"/>
        <v>debeer2000cr99012.md</v>
      </c>
      <c r="AX9" s="26">
        <f>IF($B9="","",COUNTIF($I$2:I9,$I9))</f>
        <v>8</v>
      </c>
      <c r="AY9" s="26" t="str">
        <f t="shared" si="5"/>
        <v>1-8</v>
      </c>
      <c r="AZ9" s="26" t="s">
        <v>342</v>
      </c>
      <c r="BA9" s="36">
        <f t="shared" ca="1" si="6"/>
        <v>115.00991</v>
      </c>
    </row>
    <row r="10" spans="1:54" ht="45" hidden="1" customHeight="1" x14ac:dyDescent="0.25">
      <c r="A10" s="25" t="s">
        <v>349</v>
      </c>
      <c r="B10" s="25" t="s">
        <v>350</v>
      </c>
      <c r="C10" s="26" t="str">
        <f t="shared" si="0"/>
        <v>De Beer et al. (2004)</v>
      </c>
      <c r="D10" s="4" t="s">
        <v>351</v>
      </c>
      <c r="E10" s="27" t="str">
        <f>IF(OR($B10="",$AF10=""),"",HYPERLINK(IF(AND(Paramètres!$C$13&lt;&gt;"",$AJ10="Éditeur (abonnement)"),Paramètres!$C$13&amp;$AF10,$AF10),"Ouvrir : "&amp;$AE10))</f>
        <v>Ouvrir : Texte intégral (dépôt)</v>
      </c>
      <c r="F10" s="28" t="s">
        <v>235</v>
      </c>
      <c r="G10" s="28">
        <v>1</v>
      </c>
      <c r="H10" s="25" t="s">
        <v>338</v>
      </c>
      <c r="I10" s="28">
        <v>1</v>
      </c>
      <c r="J10" s="29" t="s">
        <v>234</v>
      </c>
      <c r="K10" s="26" t="str">
        <f ca="1">IF($B10="","",IF($J10="Lu","Lu",IF($J10="Écarté","Écarté",IF($I10&lt;Paramètres!$C$8,"EN RETARD",IF($I10=Paramètres!$C$8,"Ce mois-ci",IF($I10=Paramètres!$C$8+1,"Mois prochain","À venir"))))))</f>
        <v>Ce mois-ci</v>
      </c>
      <c r="L10" s="30" t="str">
        <f t="shared" ca="1" si="1"/>
        <v/>
      </c>
      <c r="M10" s="31">
        <f ca="1">IF($B10="","",IF(OR($J10="Lu",$J10="Écarté"),0,IFERROR(INDEX(Paramètres!$C$17:$C$19,MATCH($H10,Paramètres!$B$17:$B$19,0)),0)+Paramètres!$C$20*(7-$I10)+IF($I10&lt;Paramètres!$C$8,Paramètres!$C$21,0)+IF($F10="Oui",Paramètres!$C$22,0)+IF($AL10&lt;&gt;"Vérifié",Paramètres!$C$23,0)+IF(AND($O10&lt;&gt;"Oui",OR($AJ10="PDF libre",$AJ10="PDF libre (dépôt)")),Paramètres!$C$24,0)))</f>
        <v>90</v>
      </c>
      <c r="N10" s="32"/>
      <c r="O10" s="33" t="str">
        <f ca="1">IF($BB10="","Non",HYPERLINK(DossierPDF&amp;$BB10,"Oui"))</f>
        <v>Oui</v>
      </c>
      <c r="P10" s="33" t="s">
        <v>235</v>
      </c>
      <c r="Q10" s="33" t="s">
        <v>235</v>
      </c>
      <c r="R10" s="33"/>
      <c r="S10" s="34"/>
      <c r="T10" s="25" t="s">
        <v>286</v>
      </c>
      <c r="U10" s="26" t="str">
        <f>IF($B10="","",IFERROR(INDEX(Paramètres!$N$6:$N$13,MATCH($T10,Paramètres!$M$6:$M$13,0)),$T10))</f>
        <v>Communication (actes)</v>
      </c>
      <c r="V10" s="4" t="s">
        <v>352</v>
      </c>
      <c r="W10" s="28">
        <v>2004</v>
      </c>
      <c r="X10" s="4" t="s">
        <v>353</v>
      </c>
      <c r="Y10" s="25"/>
      <c r="Z10" s="25"/>
      <c r="AA10" s="25"/>
      <c r="AB10" s="25"/>
      <c r="AC10" s="25"/>
      <c r="AD10" s="25" t="s">
        <v>354</v>
      </c>
      <c r="AE10" s="25" t="s">
        <v>355</v>
      </c>
      <c r="AF10" s="35" t="s">
        <v>356</v>
      </c>
      <c r="AG10" s="27" t="str">
        <f t="shared" si="2"/>
        <v/>
      </c>
      <c r="AH10" s="27" t="str">
        <f t="shared" si="3"/>
        <v>Scholar</v>
      </c>
      <c r="AI10" s="28" t="s">
        <v>277</v>
      </c>
      <c r="AJ10" s="25" t="s">
        <v>184</v>
      </c>
      <c r="AK10" s="4" t="s">
        <v>357</v>
      </c>
      <c r="AL10" s="25" t="s">
        <v>247</v>
      </c>
      <c r="AM10" s="4" t="s">
        <v>358</v>
      </c>
      <c r="AN10" s="25" t="s">
        <v>249</v>
      </c>
      <c r="AO10" s="4" t="s">
        <v>359</v>
      </c>
      <c r="AP10" s="4" t="s">
        <v>360</v>
      </c>
      <c r="AQ10" s="25" t="s">
        <v>233</v>
      </c>
      <c r="AR10" s="26" t="str">
        <f>IF($B10="","",IFERROR(INDEX(Paramètres!$Q$6:$Q$13,MATCH($G10,Paramètres!$P$6:$P$13,0)),""))</f>
        <v>Mesure de la pression de contact pneu-chaussée</v>
      </c>
      <c r="AS10" s="26" t="str">
        <f>IF($B10="","",IFERROR(INDEX(Paramètres!$T$6:$T$11,MATCH($I10,Paramètres!$S$6:$S$11,0)),""))</f>
        <v>octobre 2026</v>
      </c>
      <c r="AT10" s="31">
        <f>IF($B10="","",IFERROR(INDEX(Paramètres!$C$27:$C$29,MATCH($H10,Paramètres!$B$27:$B$29,0)),0))</f>
        <v>3</v>
      </c>
      <c r="AU10" s="29"/>
      <c r="AV10" s="32"/>
      <c r="AW10" s="26" t="str">
        <f t="shared" si="4"/>
        <v>debeer2004hvtt.md</v>
      </c>
      <c r="AX10" s="26">
        <f>IF($B10="","",COUNTIF($I$2:I10,$I10))</f>
        <v>9</v>
      </c>
      <c r="AY10" s="26" t="str">
        <f t="shared" si="5"/>
        <v>1-9</v>
      </c>
      <c r="AZ10" s="26" t="s">
        <v>361</v>
      </c>
      <c r="BA10" s="36">
        <f t="shared" ca="1" si="6"/>
        <v>90.009900000000002</v>
      </c>
      <c r="BB10" t="s">
        <v>3165</v>
      </c>
    </row>
    <row r="11" spans="1:54" ht="45" hidden="1" customHeight="1" x14ac:dyDescent="0.25">
      <c r="A11" s="25" t="s">
        <v>362</v>
      </c>
      <c r="B11" s="25" t="s">
        <v>363</v>
      </c>
      <c r="C11" s="26" t="str">
        <f t="shared" si="0"/>
        <v>Gong et al. (2024)</v>
      </c>
      <c r="D11" s="4" t="s">
        <v>364</v>
      </c>
      <c r="E11" s="27" t="str">
        <f>IF(OR($B11="",$AF11=""),"",HYPERLINK(IF(AND(Paramètres!$C$13&lt;&gt;"",$AJ11="Éditeur (abonnement)"),Paramètres!$C$13&amp;$AF11,$AF11),"Ouvrir : "&amp;$AE11))</f>
        <v>Ouvrir : Texte intégral libre</v>
      </c>
      <c r="F11" s="28" t="s">
        <v>233</v>
      </c>
      <c r="G11" s="28">
        <v>1</v>
      </c>
      <c r="H11" s="25" t="s">
        <v>338</v>
      </c>
      <c r="I11" s="28">
        <v>1</v>
      </c>
      <c r="J11" s="29" t="s">
        <v>234</v>
      </c>
      <c r="K11" s="26" t="str">
        <f ca="1">IF($B11="","",IF($J11="Lu","Lu",IF($J11="Écarté","Écarté",IF($I11&lt;Paramètres!$C$8,"EN RETARD",IF($I11=Paramètres!$C$8,"Ce mois-ci",IF($I11=Paramètres!$C$8+1,"Mois prochain","À venir"))))))</f>
        <v>Ce mois-ci</v>
      </c>
      <c r="L11" s="30" t="str">
        <f t="shared" ca="1" si="1"/>
        <v/>
      </c>
      <c r="M11" s="31">
        <f ca="1">IF($B11="","",IF(OR($J11="Lu",$J11="Écarté"),0,IFERROR(INDEX(Paramètres!$C$17:$C$19,MATCH($H11,Paramètres!$B$17:$B$19,0)),0)+Paramètres!$C$20*(7-$I11)+IF($I11&lt;Paramètres!$C$8,Paramètres!$C$21,0)+IF($F11="Oui",Paramètres!$C$22,0)+IF($AL11&lt;&gt;"Vérifié",Paramètres!$C$23,0)+IF(AND($O11&lt;&gt;"Oui",OR($AJ11="PDF libre",$AJ11="PDF libre (dépôt)")),Paramètres!$C$24,0)))</f>
        <v>100</v>
      </c>
      <c r="N11" s="32"/>
      <c r="O11" s="33" t="str">
        <f ca="1">IF($BB11="","Non",HYPERLINK(DossierPDF&amp;$BB11,"Oui"))</f>
        <v>Oui</v>
      </c>
      <c r="P11" s="33" t="s">
        <v>235</v>
      </c>
      <c r="Q11" s="33" t="s">
        <v>235</v>
      </c>
      <c r="R11" s="33"/>
      <c r="S11" s="34"/>
      <c r="T11" s="25" t="s">
        <v>236</v>
      </c>
      <c r="U11" s="26" t="str">
        <f>IF($B11="","",IFERROR(INDEX(Paramètres!$N$6:$N$13,MATCH($T11,Paramètres!$M$6:$M$13,0)),$T11))</f>
        <v>Article de revue</v>
      </c>
      <c r="V11" s="4" t="s">
        <v>365</v>
      </c>
      <c r="W11" s="28">
        <v>2024</v>
      </c>
      <c r="X11" s="4" t="s">
        <v>366</v>
      </c>
      <c r="Y11" s="25" t="s">
        <v>367</v>
      </c>
      <c r="Z11" s="25" t="s">
        <v>368</v>
      </c>
      <c r="AA11" s="25" t="s">
        <v>369</v>
      </c>
      <c r="AB11" s="25"/>
      <c r="AC11" s="25" t="s">
        <v>370</v>
      </c>
      <c r="AD11" s="25"/>
      <c r="AE11" s="25" t="s">
        <v>275</v>
      </c>
      <c r="AF11" s="35" t="s">
        <v>371</v>
      </c>
      <c r="AG11" s="27" t="str">
        <f t="shared" si="2"/>
        <v>doi.org</v>
      </c>
      <c r="AH11" s="27" t="str">
        <f t="shared" si="3"/>
        <v>Scholar</v>
      </c>
      <c r="AI11" s="28" t="s">
        <v>277</v>
      </c>
      <c r="AJ11" s="25" t="s">
        <v>183</v>
      </c>
      <c r="AK11" s="4" t="s">
        <v>372</v>
      </c>
      <c r="AL11" s="25" t="s">
        <v>247</v>
      </c>
      <c r="AM11" s="4" t="s">
        <v>373</v>
      </c>
      <c r="AN11" s="25" t="s">
        <v>249</v>
      </c>
      <c r="AO11" s="4" t="s">
        <v>374</v>
      </c>
      <c r="AP11" s="4"/>
      <c r="AQ11" s="25" t="s">
        <v>235</v>
      </c>
      <c r="AR11" s="26" t="str">
        <f>IF($B11="","",IFERROR(INDEX(Paramètres!$Q$6:$Q$13,MATCH($G11,Paramètres!$P$6:$P$13,0)),""))</f>
        <v>Mesure de la pression de contact pneu-chaussée</v>
      </c>
      <c r="AS11" s="26" t="str">
        <f>IF($B11="","",IFERROR(INDEX(Paramètres!$T$6:$T$11,MATCH($I11,Paramètres!$S$6:$S$11,0)),""))</f>
        <v>octobre 2026</v>
      </c>
      <c r="AT11" s="31">
        <f>IF($B11="","",IFERROR(INDEX(Paramètres!$C$27:$C$29,MATCH($H11,Paramètres!$B$27:$B$29,0)),0))</f>
        <v>3</v>
      </c>
      <c r="AU11" s="29"/>
      <c r="AV11" s="32"/>
      <c r="AW11" s="26" t="str">
        <f t="shared" si="4"/>
        <v>gong2024review.md</v>
      </c>
      <c r="AX11" s="26">
        <f>IF($B11="","",COUNTIF($I$2:I11,$I11))</f>
        <v>10</v>
      </c>
      <c r="AY11" s="26" t="str">
        <f t="shared" si="5"/>
        <v>1-10</v>
      </c>
      <c r="AZ11" s="26" t="s">
        <v>375</v>
      </c>
      <c r="BA11" s="36">
        <f t="shared" ca="1" si="6"/>
        <v>100.00989</v>
      </c>
      <c r="BB11" t="s">
        <v>3166</v>
      </c>
    </row>
    <row r="12" spans="1:54" ht="45" hidden="1" customHeight="1" x14ac:dyDescent="0.25">
      <c r="A12" s="25" t="s">
        <v>376</v>
      </c>
      <c r="B12" s="25" t="s">
        <v>377</v>
      </c>
      <c r="C12" s="26" t="str">
        <f t="shared" si="0"/>
        <v>Hansen et al. (1989)</v>
      </c>
      <c r="D12" s="4" t="s">
        <v>378</v>
      </c>
      <c r="E12" s="27" t="str">
        <f>IF(OR($B12="",$AF12=""),"",HYPERLINK(IF(AND(Paramètres!$C$13&lt;&gt;"",$AJ12="Éditeur (abonnement)"),Paramètres!$C$13&amp;$AF12,$AF12),"Ouvrir : "&amp;$AE12))</f>
        <v>Ouvrir : Texte intégral libre</v>
      </c>
      <c r="F12" s="28" t="s">
        <v>233</v>
      </c>
      <c r="G12" s="28">
        <v>1</v>
      </c>
      <c r="H12" s="25" t="s">
        <v>338</v>
      </c>
      <c r="I12" s="28">
        <v>1</v>
      </c>
      <c r="J12" s="29" t="s">
        <v>234</v>
      </c>
      <c r="K12" s="26" t="str">
        <f ca="1">IF($B12="","",IF($J12="Lu","Lu",IF($J12="Écarté","Écarté",IF($I12&lt;Paramètres!$C$8,"EN RETARD",IF($I12=Paramètres!$C$8,"Ce mois-ci",IF($I12=Paramètres!$C$8+1,"Mois prochain","À venir"))))))</f>
        <v>Ce mois-ci</v>
      </c>
      <c r="L12" s="30" t="str">
        <f t="shared" ca="1" si="1"/>
        <v/>
      </c>
      <c r="M12" s="31">
        <f ca="1">IF($B12="","",IF(OR($J12="Lu",$J12="Écarté"),0,IFERROR(INDEX(Paramètres!$C$17:$C$19,MATCH($H12,Paramètres!$B$17:$B$19,0)),0)+Paramètres!$C$20*(7-$I12)+IF($I12&lt;Paramètres!$C$8,Paramètres!$C$21,0)+IF($F12="Oui",Paramètres!$C$22,0)+IF($AL12&lt;&gt;"Vérifié",Paramètres!$C$23,0)+IF(AND($O12&lt;&gt;"Oui",OR($AJ12="PDF libre",$AJ12="PDF libre (dépôt)")),Paramètres!$C$24,0)))</f>
        <v>100</v>
      </c>
      <c r="N12" s="32"/>
      <c r="O12" s="33" t="str">
        <f ca="1">IF($BB12="","Non",HYPERLINK(DossierPDF&amp;$BB12,"Oui"))</f>
        <v>Oui</v>
      </c>
      <c r="P12" s="33" t="s">
        <v>235</v>
      </c>
      <c r="Q12" s="33" t="s">
        <v>235</v>
      </c>
      <c r="R12" s="33"/>
      <c r="S12" s="34"/>
      <c r="T12" s="25" t="s">
        <v>271</v>
      </c>
      <c r="U12" s="26" t="str">
        <f>IF($B12="","",IFERROR(INDEX(Paramètres!$N$6:$N$13,MATCH($T12,Paramètres!$M$6:$M$13,0)),$T12))</f>
        <v>Rapport</v>
      </c>
      <c r="V12" s="4" t="s">
        <v>379</v>
      </c>
      <c r="W12" s="28">
        <v>1989</v>
      </c>
      <c r="X12" s="4"/>
      <c r="Y12" s="25"/>
      <c r="Z12" s="25"/>
      <c r="AA12" s="25"/>
      <c r="AB12" s="25" t="s">
        <v>380</v>
      </c>
      <c r="AC12" s="25"/>
      <c r="AD12" s="25" t="s">
        <v>381</v>
      </c>
      <c r="AE12" s="25" t="s">
        <v>275</v>
      </c>
      <c r="AF12" s="35" t="s">
        <v>382</v>
      </c>
      <c r="AG12" s="27" t="str">
        <f t="shared" si="2"/>
        <v/>
      </c>
      <c r="AH12" s="27" t="str">
        <f t="shared" si="3"/>
        <v>Scholar</v>
      </c>
      <c r="AI12" s="28" t="s">
        <v>277</v>
      </c>
      <c r="AJ12" s="25" t="s">
        <v>183</v>
      </c>
      <c r="AK12" s="4" t="s">
        <v>383</v>
      </c>
      <c r="AL12" s="25" t="s">
        <v>247</v>
      </c>
      <c r="AM12" s="4" t="s">
        <v>384</v>
      </c>
      <c r="AN12" s="25" t="s">
        <v>249</v>
      </c>
      <c r="AO12" s="4" t="s">
        <v>385</v>
      </c>
      <c r="AP12" s="4" t="s">
        <v>386</v>
      </c>
      <c r="AQ12" s="25" t="s">
        <v>233</v>
      </c>
      <c r="AR12" s="26" t="str">
        <f>IF($B12="","",IFERROR(INDEX(Paramètres!$Q$6:$Q$13,MATCH($G12,Paramètres!$P$6:$P$13,0)),""))</f>
        <v>Mesure de la pression de contact pneu-chaussée</v>
      </c>
      <c r="AS12" s="26" t="str">
        <f>IF($B12="","",IFERROR(INDEX(Paramètres!$T$6:$T$11,MATCH($I12,Paramètres!$S$6:$S$11,0)),""))</f>
        <v>octobre 2026</v>
      </c>
      <c r="AT12" s="31">
        <f>IF($B12="","",IFERROR(INDEX(Paramètres!$C$27:$C$29,MATCH($H12,Paramètres!$B$27:$B$29,0)),0))</f>
        <v>3</v>
      </c>
      <c r="AU12" s="29"/>
      <c r="AV12" s="32"/>
      <c r="AW12" s="26" t="str">
        <f t="shared" si="4"/>
        <v>hansen1989truck.md</v>
      </c>
      <c r="AX12" s="26">
        <f>IF($B12="","",COUNTIF($I$2:I12,$I12))</f>
        <v>11</v>
      </c>
      <c r="AY12" s="26" t="str">
        <f t="shared" si="5"/>
        <v>1-11</v>
      </c>
      <c r="AZ12" s="26" t="s">
        <v>387</v>
      </c>
      <c r="BA12" s="36">
        <f t="shared" ca="1" si="6"/>
        <v>100.00988</v>
      </c>
      <c r="BB12" t="s">
        <v>3167</v>
      </c>
    </row>
    <row r="13" spans="1:54" ht="45" customHeight="1" x14ac:dyDescent="0.25">
      <c r="A13" s="25" t="s">
        <v>388</v>
      </c>
      <c r="B13" s="25" t="s">
        <v>389</v>
      </c>
      <c r="C13" s="26" t="str">
        <f t="shared" si="0"/>
        <v>Tielking &amp; Roberts (1987)</v>
      </c>
      <c r="D13" s="4" t="s">
        <v>390</v>
      </c>
      <c r="E13" s="27" t="str">
        <f>IF(OR($B13="",$AF13=""),"",HYPERLINK(IF(AND(Paramètres!$C$13&lt;&gt;"",$AJ13="Éditeur (abonnement)"),Paramètres!$C$13&amp;$AF13,$AF13),"Ouvrir : "&amp;$AE13))</f>
        <v>Ouvrir : Page éditeur (DOI)</v>
      </c>
      <c r="F13" s="28" t="s">
        <v>235</v>
      </c>
      <c r="G13" s="28">
        <v>1</v>
      </c>
      <c r="H13" s="25" t="s">
        <v>338</v>
      </c>
      <c r="I13" s="28">
        <v>1</v>
      </c>
      <c r="J13" s="29" t="s">
        <v>234</v>
      </c>
      <c r="K13" s="26" t="str">
        <f ca="1">IF($B13="","",IF($J13="Lu","Lu",IF($J13="Écarté","Écarté",IF($I13&lt;Paramètres!$C$8,"EN RETARD",IF($I13=Paramètres!$C$8,"Ce mois-ci",IF($I13=Paramètres!$C$8+1,"Mois prochain","À venir"))))))</f>
        <v>Ce mois-ci</v>
      </c>
      <c r="L13" s="30" t="str">
        <f t="shared" ca="1" si="1"/>
        <v/>
      </c>
      <c r="M13" s="31">
        <f ca="1">IF($B13="","",IF(OR($J13="Lu",$J13="Écarté"),0,IFERROR(INDEX(Paramètres!$C$17:$C$19,MATCH($H13,Paramètres!$B$17:$B$19,0)),0)+Paramètres!$C$20*(7-$I13)+IF($I13&lt;Paramètres!$C$8,Paramètres!$C$21,0)+IF($F13="Oui",Paramètres!$C$22,0)+IF($AL13&lt;&gt;"Vérifié",Paramètres!$C$23,0)+IF(AND($O13&lt;&gt;"Oui",OR($AJ13="PDF libre",$AJ13="PDF libre (dépôt)")),Paramètres!$C$24,0)))</f>
        <v>90</v>
      </c>
      <c r="N13" s="32"/>
      <c r="O13" s="33" t="str">
        <f ca="1">IF($BB13="","Non",HYPERLINK(DossierPDF&amp;$BB13,"Oui"))</f>
        <v>Oui</v>
      </c>
      <c r="P13" s="33" t="s">
        <v>235</v>
      </c>
      <c r="Q13" s="33" t="s">
        <v>235</v>
      </c>
      <c r="R13" s="33"/>
      <c r="S13" s="34"/>
      <c r="T13" s="25" t="s">
        <v>236</v>
      </c>
      <c r="U13" s="26" t="str">
        <f>IF($B13="","",IFERROR(INDEX(Paramètres!$N$6:$N$13,MATCH($T13,Paramètres!$M$6:$M$13,0)),$T13))</f>
        <v>Article de revue</v>
      </c>
      <c r="V13" s="4" t="s">
        <v>391</v>
      </c>
      <c r="W13" s="28">
        <v>1987</v>
      </c>
      <c r="X13" s="4" t="s">
        <v>392</v>
      </c>
      <c r="Y13" s="25" t="s">
        <v>393</v>
      </c>
      <c r="Z13" s="25" t="s">
        <v>394</v>
      </c>
      <c r="AA13" s="25" t="s">
        <v>395</v>
      </c>
      <c r="AB13" s="25"/>
      <c r="AC13" s="25" t="s">
        <v>396</v>
      </c>
      <c r="AD13" s="25"/>
      <c r="AE13" s="25" t="s">
        <v>243</v>
      </c>
      <c r="AF13" s="35" t="s">
        <v>397</v>
      </c>
      <c r="AG13" s="27" t="str">
        <f t="shared" si="2"/>
        <v>doi.org</v>
      </c>
      <c r="AH13" s="27" t="str">
        <f t="shared" si="3"/>
        <v>Scholar</v>
      </c>
      <c r="AI13" s="28" t="s">
        <v>245</v>
      </c>
      <c r="AJ13" s="25" t="s">
        <v>185</v>
      </c>
      <c r="AK13" s="4" t="s">
        <v>398</v>
      </c>
      <c r="AL13" s="25" t="s">
        <v>247</v>
      </c>
      <c r="AM13" s="4" t="s">
        <v>264</v>
      </c>
      <c r="AN13" s="25" t="s">
        <v>249</v>
      </c>
      <c r="AO13" s="4" t="s">
        <v>399</v>
      </c>
      <c r="AP13" s="4" t="s">
        <v>400</v>
      </c>
      <c r="AQ13" s="25" t="s">
        <v>235</v>
      </c>
      <c r="AR13" s="26" t="str">
        <f>IF($B13="","",IFERROR(INDEX(Paramètres!$Q$6:$Q$13,MATCH($G13,Paramètres!$P$6:$P$13,0)),""))</f>
        <v>Mesure de la pression de contact pneu-chaussée</v>
      </c>
      <c r="AS13" s="26" t="str">
        <f>IF($B13="","",IFERROR(INDEX(Paramètres!$T$6:$T$11,MATCH($I13,Paramètres!$S$6:$S$11,0)),""))</f>
        <v>octobre 2026</v>
      </c>
      <c r="AT13" s="31">
        <f>IF($B13="","",IFERROR(INDEX(Paramètres!$C$27:$C$29,MATCH($H13,Paramètres!$B$27:$B$29,0)),0))</f>
        <v>3</v>
      </c>
      <c r="AU13" s="29"/>
      <c r="AV13" s="32"/>
      <c r="AW13" s="26" t="str">
        <f t="shared" si="4"/>
        <v>tielking1987roberts.md</v>
      </c>
      <c r="AX13" s="26">
        <f>IF($B13="","",COUNTIF($I$2:I13,$I13))</f>
        <v>12</v>
      </c>
      <c r="AY13" s="26" t="str">
        <f t="shared" si="5"/>
        <v>1-12</v>
      </c>
      <c r="AZ13" s="26" t="s">
        <v>401</v>
      </c>
      <c r="BA13" s="36">
        <f t="shared" ca="1" si="6"/>
        <v>90.009870000000006</v>
      </c>
      <c r="BB13" t="s">
        <v>3168</v>
      </c>
    </row>
    <row r="14" spans="1:54" ht="45" hidden="1" customHeight="1" x14ac:dyDescent="0.25">
      <c r="A14" s="25" t="s">
        <v>402</v>
      </c>
      <c r="B14" s="25" t="s">
        <v>403</v>
      </c>
      <c r="C14" s="26" t="str">
        <f t="shared" si="0"/>
        <v>Guan et al. (2023)</v>
      </c>
      <c r="D14" s="4" t="s">
        <v>404</v>
      </c>
      <c r="E14" s="27" t="str">
        <f>IF(OR($B14="",$AF14=""),"",HYPERLINK(IF(AND(Paramètres!$C$13&lt;&gt;"",$AJ14="Éditeur (abonnement)"),Paramètres!$C$13&amp;$AF14,$AF14),"Ouvrir : "&amp;$AE14))</f>
        <v>Ouvrir : Texte intégral libre</v>
      </c>
      <c r="F14" s="28" t="s">
        <v>235</v>
      </c>
      <c r="G14" s="28">
        <v>1</v>
      </c>
      <c r="H14" s="25" t="s">
        <v>405</v>
      </c>
      <c r="I14" s="28">
        <v>1</v>
      </c>
      <c r="J14" s="29" t="s">
        <v>234</v>
      </c>
      <c r="K14" s="26" t="str">
        <f ca="1">IF($B14="","",IF($J14="Lu","Lu",IF($J14="Écarté","Écarté",IF($I14&lt;Paramètres!$C$8,"EN RETARD",IF($I14=Paramètres!$C$8,"Ce mois-ci",IF($I14=Paramètres!$C$8+1,"Mois prochain","À venir"))))))</f>
        <v>Ce mois-ci</v>
      </c>
      <c r="L14" s="30" t="str">
        <f t="shared" ca="1" si="1"/>
        <v/>
      </c>
      <c r="M14" s="31">
        <f ca="1">IF($B14="","",IF(OR($J14="Lu",$J14="Écarté"),0,IFERROR(INDEX(Paramètres!$C$17:$C$19,MATCH($H14,Paramètres!$B$17:$B$19,0)),0)+Paramètres!$C$20*(7-$I14)+IF($I14&lt;Paramètres!$C$8,Paramètres!$C$21,0)+IF($F14="Oui",Paramètres!$C$22,0)+IF($AL14&lt;&gt;"Vérifié",Paramètres!$C$23,0)+IF(AND($O14&lt;&gt;"Oui",OR($AJ14="PDF libre",$AJ14="PDF libre (dépôt)")),Paramètres!$C$24,0)))</f>
        <v>60</v>
      </c>
      <c r="N14" s="32"/>
      <c r="O14" s="33" t="str">
        <f ca="1">IF($BB14="","Non",HYPERLINK(DossierPDF&amp;$BB14,"Oui"))</f>
        <v>Oui</v>
      </c>
      <c r="P14" s="33" t="s">
        <v>235</v>
      </c>
      <c r="Q14" s="33" t="s">
        <v>235</v>
      </c>
      <c r="R14" s="33"/>
      <c r="S14" s="34"/>
      <c r="T14" s="25" t="s">
        <v>236</v>
      </c>
      <c r="U14" s="26" t="str">
        <f>IF($B14="","",IFERROR(INDEX(Paramètres!$N$6:$N$13,MATCH($T14,Paramètres!$M$6:$M$13,0)),$T14))</f>
        <v>Article de revue</v>
      </c>
      <c r="V14" s="4" t="s">
        <v>406</v>
      </c>
      <c r="W14" s="28">
        <v>2023</v>
      </c>
      <c r="X14" s="4" t="s">
        <v>366</v>
      </c>
      <c r="Y14" s="25" t="s">
        <v>407</v>
      </c>
      <c r="Z14" s="25" t="s">
        <v>368</v>
      </c>
      <c r="AA14" s="25" t="s">
        <v>408</v>
      </c>
      <c r="AB14" s="25"/>
      <c r="AC14" s="25" t="s">
        <v>409</v>
      </c>
      <c r="AD14" s="25"/>
      <c r="AE14" s="25" t="s">
        <v>275</v>
      </c>
      <c r="AF14" s="35" t="s">
        <v>410</v>
      </c>
      <c r="AG14" s="27" t="str">
        <f t="shared" si="2"/>
        <v>doi.org</v>
      </c>
      <c r="AH14" s="27" t="str">
        <f t="shared" si="3"/>
        <v>Scholar</v>
      </c>
      <c r="AI14" s="28" t="s">
        <v>277</v>
      </c>
      <c r="AJ14" s="25" t="s">
        <v>183</v>
      </c>
      <c r="AK14" s="4" t="s">
        <v>411</v>
      </c>
      <c r="AL14" s="25" t="s">
        <v>247</v>
      </c>
      <c r="AM14" s="4" t="s">
        <v>264</v>
      </c>
      <c r="AN14" s="25" t="s">
        <v>249</v>
      </c>
      <c r="AO14" s="4" t="s">
        <v>412</v>
      </c>
      <c r="AP14" s="4" t="s">
        <v>413</v>
      </c>
      <c r="AQ14" s="25" t="s">
        <v>235</v>
      </c>
      <c r="AR14" s="26" t="str">
        <f>IF($B14="","",IFERROR(INDEX(Paramètres!$Q$6:$Q$13,MATCH($G14,Paramètres!$P$6:$P$13,0)),""))</f>
        <v>Mesure de la pression de contact pneu-chaussée</v>
      </c>
      <c r="AS14" s="26" t="str">
        <f>IF($B14="","",IFERROR(INDEX(Paramètres!$T$6:$T$11,MATCH($I14,Paramètres!$S$6:$S$11,0)),""))</f>
        <v>octobre 2026</v>
      </c>
      <c r="AT14" s="31">
        <f>IF($B14="","",IFERROR(INDEX(Paramètres!$C$27:$C$29,MATCH($H14,Paramètres!$B$27:$B$29,0)),0))</f>
        <v>1</v>
      </c>
      <c r="AU14" s="29"/>
      <c r="AV14" s="32"/>
      <c r="AW14" s="26" t="str">
        <f t="shared" si="4"/>
        <v>guan2023triaxial.md</v>
      </c>
      <c r="AX14" s="26">
        <f>IF($B14="","",COUNTIF($I$2:I14,$I14))</f>
        <v>13</v>
      </c>
      <c r="AY14" s="26" t="str">
        <f t="shared" si="5"/>
        <v>1-13</v>
      </c>
      <c r="AZ14" s="26" t="s">
        <v>414</v>
      </c>
      <c r="BA14" s="36">
        <f t="shared" ca="1" si="6"/>
        <v>60.009860000000003</v>
      </c>
      <c r="BB14" t="s">
        <v>3169</v>
      </c>
    </row>
    <row r="15" spans="1:54" ht="45" customHeight="1" x14ac:dyDescent="0.25">
      <c r="A15" s="25" t="s">
        <v>415</v>
      </c>
      <c r="B15" s="25" t="s">
        <v>416</v>
      </c>
      <c r="C15" s="26" t="str">
        <f t="shared" si="0"/>
        <v>Luo et al. (2025)</v>
      </c>
      <c r="D15" s="4" t="s">
        <v>417</v>
      </c>
      <c r="E15" s="27" t="str">
        <f>IF(OR($B15="",$AF15=""),"",HYPERLINK(IF(AND(Paramètres!$C$13&lt;&gt;"",$AJ15="Éditeur (abonnement)"),Paramètres!$C$13&amp;$AF15,$AF15),"Ouvrir : "&amp;$AE15))</f>
        <v>Ouvrir : Page éditeur (DOI)</v>
      </c>
      <c r="F15" s="28" t="s">
        <v>233</v>
      </c>
      <c r="G15" s="28">
        <v>1</v>
      </c>
      <c r="H15" s="25" t="s">
        <v>405</v>
      </c>
      <c r="I15" s="28">
        <v>1</v>
      </c>
      <c r="J15" s="29" t="s">
        <v>234</v>
      </c>
      <c r="K15" s="26" t="str">
        <f ca="1">IF($B15="","",IF($J15="Lu","Lu",IF($J15="Écarté","Écarté",IF($I15&lt;Paramètres!$C$8,"EN RETARD",IF($I15=Paramètres!$C$8,"Ce mois-ci",IF($I15=Paramètres!$C$8+1,"Mois prochain","À venir"))))))</f>
        <v>Ce mois-ci</v>
      </c>
      <c r="L15" s="30" t="str">
        <f t="shared" ca="1" si="1"/>
        <v/>
      </c>
      <c r="M15" s="31">
        <f ca="1">IF($B15="","",IF(OR($J15="Lu",$J15="Écarté"),0,IFERROR(INDEX(Paramètres!$C$17:$C$19,MATCH($H15,Paramètres!$B$17:$B$19,0)),0)+Paramètres!$C$20*(7-$I15)+IF($I15&lt;Paramètres!$C$8,Paramètres!$C$21,0)+IF($F15="Oui",Paramètres!$C$22,0)+IF($AL15&lt;&gt;"Vérifié",Paramètres!$C$23,0)+IF(AND($O15&lt;&gt;"Oui",OR($AJ15="PDF libre",$AJ15="PDF libre (dépôt)")),Paramètres!$C$24,0)))</f>
        <v>70</v>
      </c>
      <c r="N15" s="32"/>
      <c r="O15" s="33" t="str">
        <f ca="1">IF($BB15="","Non",HYPERLINK(DossierPDF&amp;$BB15,"Oui"))</f>
        <v>Oui</v>
      </c>
      <c r="P15" s="33" t="s">
        <v>235</v>
      </c>
      <c r="Q15" s="33" t="s">
        <v>235</v>
      </c>
      <c r="R15" s="33"/>
      <c r="S15" s="34"/>
      <c r="T15" s="25" t="s">
        <v>236</v>
      </c>
      <c r="U15" s="26" t="str">
        <f>IF($B15="","",IFERROR(INDEX(Paramètres!$N$6:$N$13,MATCH($T15,Paramètres!$M$6:$M$13,0)),$T15))</f>
        <v>Article de revue</v>
      </c>
      <c r="V15" s="4" t="s">
        <v>418</v>
      </c>
      <c r="W15" s="28">
        <v>2025</v>
      </c>
      <c r="X15" s="4" t="s">
        <v>419</v>
      </c>
      <c r="Y15" s="25" t="s">
        <v>420</v>
      </c>
      <c r="Z15" s="25"/>
      <c r="AA15" s="25" t="s">
        <v>421</v>
      </c>
      <c r="AB15" s="25"/>
      <c r="AC15" s="25" t="s">
        <v>422</v>
      </c>
      <c r="AD15" s="25"/>
      <c r="AE15" s="25" t="s">
        <v>243</v>
      </c>
      <c r="AF15" s="35" t="s">
        <v>423</v>
      </c>
      <c r="AG15" s="27" t="str">
        <f t="shared" si="2"/>
        <v>doi.org</v>
      </c>
      <c r="AH15" s="27" t="str">
        <f t="shared" si="3"/>
        <v>Scholar</v>
      </c>
      <c r="AI15" s="28" t="s">
        <v>245</v>
      </c>
      <c r="AJ15" s="25" t="s">
        <v>185</v>
      </c>
      <c r="AK15" s="4" t="s">
        <v>424</v>
      </c>
      <c r="AL15" s="25" t="s">
        <v>247</v>
      </c>
      <c r="AM15" s="4" t="s">
        <v>264</v>
      </c>
      <c r="AN15" s="25" t="s">
        <v>249</v>
      </c>
      <c r="AO15" s="4" t="s">
        <v>425</v>
      </c>
      <c r="AP15" s="4"/>
      <c r="AQ15" s="25" t="s">
        <v>235</v>
      </c>
      <c r="AR15" s="26" t="str">
        <f>IF($B15="","",IFERROR(INDEX(Paramètres!$Q$6:$Q$13,MATCH($G15,Paramètres!$P$6:$P$13,0)),""))</f>
        <v>Mesure de la pression de contact pneu-chaussée</v>
      </c>
      <c r="AS15" s="26" t="str">
        <f>IF($B15="","",IFERROR(INDEX(Paramètres!$T$6:$T$11,MATCH($I15,Paramètres!$S$6:$S$11,0)),""))</f>
        <v>octobre 2026</v>
      </c>
      <c r="AT15" s="31">
        <f>IF($B15="","",IFERROR(INDEX(Paramètres!$C$27:$C$29,MATCH($H15,Paramètres!$B$27:$B$29,0)),0))</f>
        <v>1</v>
      </c>
      <c r="AU15" s="29"/>
      <c r="AV15" s="32"/>
      <c r="AW15" s="26" t="str">
        <f t="shared" si="4"/>
        <v>luo2025simplified.md</v>
      </c>
      <c r="AX15" s="26">
        <f>IF($B15="","",COUNTIF($I$2:I15,$I15))</f>
        <v>14</v>
      </c>
      <c r="AY15" s="26" t="str">
        <f t="shared" si="5"/>
        <v>1-14</v>
      </c>
      <c r="AZ15" s="26" t="s">
        <v>426</v>
      </c>
      <c r="BA15" s="36">
        <f t="shared" ca="1" si="6"/>
        <v>70.00985</v>
      </c>
      <c r="BB15" t="s">
        <v>3170</v>
      </c>
    </row>
    <row r="16" spans="1:54" ht="45" hidden="1" customHeight="1" x14ac:dyDescent="0.25">
      <c r="A16" s="25" t="s">
        <v>427</v>
      </c>
      <c r="B16" s="25" t="s">
        <v>428</v>
      </c>
      <c r="C16" s="26" t="str">
        <f t="shared" si="0"/>
        <v>Song et al. (2025)</v>
      </c>
      <c r="D16" s="4" t="s">
        <v>429</v>
      </c>
      <c r="E16" s="27" t="str">
        <f>IF(OR($B16="",$AF16=""),"",HYPERLINK(IF(AND(Paramètres!$C$13&lt;&gt;"",$AJ16="Éditeur (abonnement)"),Paramètres!$C$13&amp;$AF16,$AF16),"Ouvrir : "&amp;$AE16))</f>
        <v>Ouvrir : Texte intégral libre</v>
      </c>
      <c r="F16" s="28" t="s">
        <v>233</v>
      </c>
      <c r="G16" s="28">
        <v>1</v>
      </c>
      <c r="H16" s="25" t="s">
        <v>405</v>
      </c>
      <c r="I16" s="28">
        <v>1</v>
      </c>
      <c r="J16" s="29" t="s">
        <v>234</v>
      </c>
      <c r="K16" s="26" t="str">
        <f ca="1">IF($B16="","",IF($J16="Lu","Lu",IF($J16="Écarté","Écarté",IF($I16&lt;Paramètres!$C$8,"EN RETARD",IF($I16=Paramètres!$C$8,"Ce mois-ci",IF($I16=Paramètres!$C$8+1,"Mois prochain","À venir"))))))</f>
        <v>Ce mois-ci</v>
      </c>
      <c r="L16" s="30" t="str">
        <f t="shared" ca="1" si="1"/>
        <v/>
      </c>
      <c r="M16" s="31">
        <f ca="1">IF($B16="","",IF(OR($J16="Lu",$J16="Écarté"),0,IFERROR(INDEX(Paramètres!$C$17:$C$19,MATCH($H16,Paramètres!$B$17:$B$19,0)),0)+Paramètres!$C$20*(7-$I16)+IF($I16&lt;Paramètres!$C$8,Paramètres!$C$21,0)+IF($F16="Oui",Paramètres!$C$22,0)+IF($AL16&lt;&gt;"Vérifié",Paramètres!$C$23,0)+IF(AND($O16&lt;&gt;"Oui",OR($AJ16="PDF libre",$AJ16="PDF libre (dépôt)")),Paramètres!$C$24,0)))</f>
        <v>70</v>
      </c>
      <c r="N16" s="32"/>
      <c r="O16" s="33" t="str">
        <f ca="1">IF($BB16="","Non",HYPERLINK(DossierPDF&amp;$BB16,"Oui"))</f>
        <v>Oui</v>
      </c>
      <c r="P16" s="33" t="s">
        <v>235</v>
      </c>
      <c r="Q16" s="33" t="s">
        <v>235</v>
      </c>
      <c r="R16" s="33"/>
      <c r="S16" s="34"/>
      <c r="T16" s="25" t="s">
        <v>236</v>
      </c>
      <c r="U16" s="26" t="str">
        <f>IF($B16="","",IFERROR(INDEX(Paramètres!$N$6:$N$13,MATCH($T16,Paramètres!$M$6:$M$13,0)),$T16))</f>
        <v>Article de revue</v>
      </c>
      <c r="V16" s="4" t="s">
        <v>430</v>
      </c>
      <c r="W16" s="28">
        <v>2025</v>
      </c>
      <c r="X16" s="4" t="s">
        <v>431</v>
      </c>
      <c r="Y16" s="25" t="s">
        <v>407</v>
      </c>
      <c r="Z16" s="25" t="s">
        <v>259</v>
      </c>
      <c r="AA16" s="25" t="s">
        <v>432</v>
      </c>
      <c r="AB16" s="25"/>
      <c r="AC16" s="25" t="s">
        <v>433</v>
      </c>
      <c r="AD16" s="25"/>
      <c r="AE16" s="25" t="s">
        <v>275</v>
      </c>
      <c r="AF16" s="35" t="s">
        <v>434</v>
      </c>
      <c r="AG16" s="27" t="str">
        <f t="shared" si="2"/>
        <v>doi.org</v>
      </c>
      <c r="AH16" s="27" t="str">
        <f t="shared" si="3"/>
        <v>Scholar</v>
      </c>
      <c r="AI16" s="28" t="s">
        <v>277</v>
      </c>
      <c r="AJ16" s="25" t="s">
        <v>183</v>
      </c>
      <c r="AK16" s="4" t="s">
        <v>411</v>
      </c>
      <c r="AL16" s="25" t="s">
        <v>247</v>
      </c>
      <c r="AM16" s="4" t="s">
        <v>264</v>
      </c>
      <c r="AN16" s="25" t="s">
        <v>249</v>
      </c>
      <c r="AO16" s="4" t="s">
        <v>435</v>
      </c>
      <c r="AP16" s="4"/>
      <c r="AQ16" s="25" t="s">
        <v>235</v>
      </c>
      <c r="AR16" s="26" t="str">
        <f>IF($B16="","",IFERROR(INDEX(Paramètres!$Q$6:$Q$13,MATCH($G16,Paramètres!$P$6:$P$13,0)),""))</f>
        <v>Mesure de la pression de contact pneu-chaussée</v>
      </c>
      <c r="AS16" s="26" t="str">
        <f>IF($B16="","",IFERROR(INDEX(Paramètres!$T$6:$T$11,MATCH($I16,Paramètres!$S$6:$S$11,0)),""))</f>
        <v>octobre 2026</v>
      </c>
      <c r="AT16" s="31">
        <f>IF($B16="","",IFERROR(INDEX(Paramètres!$C$27:$C$29,MATCH($H16,Paramètres!$B$27:$B$29,0)),0))</f>
        <v>1</v>
      </c>
      <c r="AU16" s="29"/>
      <c r="AV16" s="32"/>
      <c r="AW16" s="26" t="str">
        <f t="shared" si="4"/>
        <v>song2025normalstress.md</v>
      </c>
      <c r="AX16" s="26">
        <f>IF($B16="","",COUNTIF($I$2:I16,$I16))</f>
        <v>15</v>
      </c>
      <c r="AY16" s="26" t="str">
        <f t="shared" si="5"/>
        <v>1-15</v>
      </c>
      <c r="AZ16" s="26" t="s">
        <v>436</v>
      </c>
      <c r="BA16" s="36">
        <f t="shared" ca="1" si="6"/>
        <v>70.009839999999997</v>
      </c>
      <c r="BB16" t="s">
        <v>3171</v>
      </c>
    </row>
    <row r="17" spans="1:54" ht="45" customHeight="1" x14ac:dyDescent="0.25">
      <c r="A17" s="25" t="s">
        <v>437</v>
      </c>
      <c r="B17" s="25" t="s">
        <v>438</v>
      </c>
      <c r="C17" s="26" t="str">
        <f t="shared" si="0"/>
        <v>Tielking (1989)</v>
      </c>
      <c r="D17" s="4" t="s">
        <v>439</v>
      </c>
      <c r="E17" s="27" t="str">
        <f>IF(OR($B17="",$AF17=""),"",HYPERLINK(IF(AND(Paramètres!$C$13&lt;&gt;"",$AJ17="Éditeur (abonnement)"),Paramètres!$C$13&amp;$AF17,$AF17),"Ouvrir : "&amp;$AE17))</f>
        <v>Ouvrir : Page éditeur (DOI)</v>
      </c>
      <c r="F17" s="28" t="s">
        <v>235</v>
      </c>
      <c r="G17" s="28">
        <v>1</v>
      </c>
      <c r="H17" s="25" t="s">
        <v>405</v>
      </c>
      <c r="I17" s="28">
        <v>1</v>
      </c>
      <c r="J17" s="29" t="s">
        <v>234</v>
      </c>
      <c r="K17" s="26" t="str">
        <f ca="1">IF($B17="","",IF($J17="Lu","Lu",IF($J17="Écarté","Écarté",IF($I17&lt;Paramètres!$C$8,"EN RETARD",IF($I17=Paramètres!$C$8,"Ce mois-ci",IF($I17=Paramètres!$C$8+1,"Mois prochain","À venir"))))))</f>
        <v>Ce mois-ci</v>
      </c>
      <c r="L17" s="30" t="str">
        <f t="shared" ca="1" si="1"/>
        <v/>
      </c>
      <c r="M17" s="31">
        <f ca="1">IF($B17="","",IF(OR($J17="Lu",$J17="Écarté"),0,IFERROR(INDEX(Paramètres!$C$17:$C$19,MATCH($H17,Paramètres!$B$17:$B$19,0)),0)+Paramètres!$C$20*(7-$I17)+IF($I17&lt;Paramètres!$C$8,Paramètres!$C$21,0)+IF($F17="Oui",Paramètres!$C$22,0)+IF($AL17&lt;&gt;"Vérifié",Paramètres!$C$23,0)+IF(AND($O17&lt;&gt;"Oui",OR($AJ17="PDF libre",$AJ17="PDF libre (dépôt)")),Paramètres!$C$24,0)))</f>
        <v>60</v>
      </c>
      <c r="N17" s="32"/>
      <c r="O17" s="33" t="str">
        <f ca="1">IF($BB17="","Non",HYPERLINK(DossierPDF&amp;$BB17,"Oui"))</f>
        <v>Oui</v>
      </c>
      <c r="P17" s="33" t="s">
        <v>235</v>
      </c>
      <c r="Q17" s="33" t="s">
        <v>235</v>
      </c>
      <c r="R17" s="33"/>
      <c r="S17" s="34"/>
      <c r="T17" s="25" t="s">
        <v>286</v>
      </c>
      <c r="U17" s="26" t="str">
        <f>IF($B17="","",IFERROR(INDEX(Paramètres!$N$6:$N$13,MATCH($T17,Paramètres!$M$6:$M$13,0)),$T17))</f>
        <v>Communication (actes)</v>
      </c>
      <c r="V17" s="4" t="s">
        <v>272</v>
      </c>
      <c r="W17" s="28">
        <v>1989</v>
      </c>
      <c r="X17" s="4" t="s">
        <v>440</v>
      </c>
      <c r="Y17" s="25"/>
      <c r="Z17" s="25"/>
      <c r="AA17" s="25"/>
      <c r="AB17" s="25" t="s">
        <v>441</v>
      </c>
      <c r="AC17" s="25" t="s">
        <v>442</v>
      </c>
      <c r="AD17" s="25" t="s">
        <v>443</v>
      </c>
      <c r="AE17" s="25" t="s">
        <v>243</v>
      </c>
      <c r="AF17" s="35" t="s">
        <v>444</v>
      </c>
      <c r="AG17" s="27" t="str">
        <f t="shared" si="2"/>
        <v>doi.org</v>
      </c>
      <c r="AH17" s="27" t="str">
        <f t="shared" si="3"/>
        <v>Scholar</v>
      </c>
      <c r="AI17" s="28" t="s">
        <v>245</v>
      </c>
      <c r="AJ17" s="25" t="s">
        <v>186</v>
      </c>
      <c r="AK17" s="4" t="s">
        <v>445</v>
      </c>
      <c r="AL17" s="25" t="s">
        <v>247</v>
      </c>
      <c r="AM17" s="4" t="s">
        <v>446</v>
      </c>
      <c r="AN17" s="25" t="s">
        <v>249</v>
      </c>
      <c r="AO17" s="4" t="s">
        <v>447</v>
      </c>
      <c r="AP17" s="4" t="s">
        <v>400</v>
      </c>
      <c r="AQ17" s="25" t="s">
        <v>233</v>
      </c>
      <c r="AR17" s="26" t="str">
        <f>IF($B17="","",IFERROR(INDEX(Paramètres!$Q$6:$Q$13,MATCH($G17,Paramètres!$P$6:$P$13,0)),""))</f>
        <v>Mesure de la pression de contact pneu-chaussée</v>
      </c>
      <c r="AS17" s="26" t="str">
        <f>IF($B17="","",IFERROR(INDEX(Paramètres!$T$6:$T$11,MATCH($I17,Paramètres!$S$6:$S$11,0)),""))</f>
        <v>octobre 2026</v>
      </c>
      <c r="AT17" s="31">
        <f>IF($B17="","",IFERROR(INDEX(Paramètres!$C$27:$C$29,MATCH($H17,Paramètres!$B$27:$B$29,0)),0))</f>
        <v>1</v>
      </c>
      <c r="AU17" s="29"/>
      <c r="AV17" s="32"/>
      <c r="AW17" s="26" t="str">
        <f t="shared" si="4"/>
        <v>tielking1989sae.md</v>
      </c>
      <c r="AX17" s="26">
        <f>IF($B17="","",COUNTIF($I$2:I17,$I17))</f>
        <v>16</v>
      </c>
      <c r="AY17" s="26" t="str">
        <f t="shared" si="5"/>
        <v>1-16</v>
      </c>
      <c r="AZ17" s="26" t="s">
        <v>448</v>
      </c>
      <c r="BA17" s="36">
        <f t="shared" ca="1" si="6"/>
        <v>60.009830000000001</v>
      </c>
      <c r="BB17" t="s">
        <v>3172</v>
      </c>
    </row>
    <row r="18" spans="1:54" ht="45" customHeight="1" x14ac:dyDescent="0.25">
      <c r="A18" s="25" t="s">
        <v>449</v>
      </c>
      <c r="B18" s="25" t="s">
        <v>450</v>
      </c>
      <c r="C18" s="26" t="str">
        <f t="shared" si="0"/>
        <v>Wang et al. (2021)</v>
      </c>
      <c r="D18" s="4" t="s">
        <v>451</v>
      </c>
      <c r="E18" s="27" t="str">
        <f>IF(OR($B18="",$AF18=""),"",HYPERLINK(IF(AND(Paramètres!$C$13&lt;&gt;"",$AJ18="Éditeur (abonnement)"),Paramètres!$C$13&amp;$AF18,$AF18),"Ouvrir : "&amp;$AE18))</f>
        <v>Ouvrir : Page éditeur (DOI)</v>
      </c>
      <c r="F18" s="28" t="s">
        <v>233</v>
      </c>
      <c r="G18" s="28">
        <v>1</v>
      </c>
      <c r="H18" s="25" t="s">
        <v>405</v>
      </c>
      <c r="I18" s="28">
        <v>1</v>
      </c>
      <c r="J18" s="29" t="s">
        <v>234</v>
      </c>
      <c r="K18" s="26" t="str">
        <f ca="1">IF($B18="","",IF($J18="Lu","Lu",IF($J18="Écarté","Écarté",IF($I18&lt;Paramètres!$C$8,"EN RETARD",IF($I18=Paramètres!$C$8,"Ce mois-ci",IF($I18=Paramètres!$C$8+1,"Mois prochain","À venir"))))))</f>
        <v>Ce mois-ci</v>
      </c>
      <c r="L18" s="30" t="str">
        <f t="shared" ca="1" si="1"/>
        <v/>
      </c>
      <c r="M18" s="31">
        <f ca="1">IF($B18="","",IF(OR($J18="Lu",$J18="Écarté"),0,IFERROR(INDEX(Paramètres!$C$17:$C$19,MATCH($H18,Paramètres!$B$17:$B$19,0)),0)+Paramètres!$C$20*(7-$I18)+IF($I18&lt;Paramètres!$C$8,Paramètres!$C$21,0)+IF($F18="Oui",Paramètres!$C$22,0)+IF($AL18&lt;&gt;"Vérifié",Paramètres!$C$23,0)+IF(AND($O18&lt;&gt;"Oui",OR($AJ18="PDF libre",$AJ18="PDF libre (dépôt)")),Paramètres!$C$24,0)))</f>
        <v>70</v>
      </c>
      <c r="N18" s="32"/>
      <c r="O18" s="33" t="str">
        <f ca="1">IF($BB18="","Non",HYPERLINK(DossierPDF&amp;$BB18,"Oui"))</f>
        <v>Oui</v>
      </c>
      <c r="P18" s="33" t="s">
        <v>235</v>
      </c>
      <c r="Q18" s="33" t="s">
        <v>235</v>
      </c>
      <c r="R18" s="33"/>
      <c r="S18" s="34"/>
      <c r="T18" s="25" t="s">
        <v>236</v>
      </c>
      <c r="U18" s="26" t="str">
        <f>IF($B18="","",IFERROR(INDEX(Paramètres!$N$6:$N$13,MATCH($T18,Paramètres!$M$6:$M$13,0)),$T18))</f>
        <v>Article de revue</v>
      </c>
      <c r="V18" s="4" t="s">
        <v>452</v>
      </c>
      <c r="W18" s="28">
        <v>2021</v>
      </c>
      <c r="X18" s="4" t="s">
        <v>419</v>
      </c>
      <c r="Y18" s="25" t="s">
        <v>453</v>
      </c>
      <c r="Z18" s="25"/>
      <c r="AA18" s="25" t="s">
        <v>454</v>
      </c>
      <c r="AB18" s="25"/>
      <c r="AC18" s="25" t="s">
        <v>455</v>
      </c>
      <c r="AD18" s="25"/>
      <c r="AE18" s="25" t="s">
        <v>243</v>
      </c>
      <c r="AF18" s="35" t="s">
        <v>456</v>
      </c>
      <c r="AG18" s="27" t="str">
        <f t="shared" si="2"/>
        <v>doi.org</v>
      </c>
      <c r="AH18" s="27" t="str">
        <f t="shared" si="3"/>
        <v>Scholar</v>
      </c>
      <c r="AI18" s="28" t="s">
        <v>245</v>
      </c>
      <c r="AJ18" s="25" t="s">
        <v>185</v>
      </c>
      <c r="AK18" s="4" t="s">
        <v>424</v>
      </c>
      <c r="AL18" s="25" t="s">
        <v>247</v>
      </c>
      <c r="AM18" s="4" t="s">
        <v>264</v>
      </c>
      <c r="AN18" s="25" t="s">
        <v>249</v>
      </c>
      <c r="AO18" s="4" t="s">
        <v>457</v>
      </c>
      <c r="AP18" s="4"/>
      <c r="AQ18" s="25" t="s">
        <v>235</v>
      </c>
      <c r="AR18" s="26" t="str">
        <f>IF($B18="","",IFERROR(INDEX(Paramètres!$Q$6:$Q$13,MATCH($G18,Paramètres!$P$6:$P$13,0)),""))</f>
        <v>Mesure de la pression de contact pneu-chaussée</v>
      </c>
      <c r="AS18" s="26" t="str">
        <f>IF($B18="","",IFERROR(INDEX(Paramètres!$T$6:$T$11,MATCH($I18,Paramètres!$S$6:$S$11,0)),""))</f>
        <v>octobre 2026</v>
      </c>
      <c r="AT18" s="31">
        <f>IF($B18="","",IFERROR(INDEX(Paramètres!$C$27:$C$29,MATCH($H18,Paramètres!$B$27:$B$29,0)),0))</f>
        <v>1</v>
      </c>
      <c r="AU18" s="29"/>
      <c r="AV18" s="32"/>
      <c r="AW18" s="26" t="str">
        <f t="shared" si="4"/>
        <v>wang2021alt.md</v>
      </c>
      <c r="AX18" s="26">
        <f>IF($B18="","",COUNTIF($I$2:I18,$I18))</f>
        <v>17</v>
      </c>
      <c r="AY18" s="26" t="str">
        <f t="shared" si="5"/>
        <v>1-17</v>
      </c>
      <c r="AZ18" s="26" t="s">
        <v>458</v>
      </c>
      <c r="BA18" s="36">
        <f t="shared" ca="1" si="6"/>
        <v>70.009820000000005</v>
      </c>
      <c r="BB18" t="s">
        <v>3173</v>
      </c>
    </row>
    <row r="19" spans="1:54" ht="45" hidden="1" customHeight="1" x14ac:dyDescent="0.25">
      <c r="A19" s="25" t="s">
        <v>459</v>
      </c>
      <c r="B19" s="25" t="s">
        <v>460</v>
      </c>
      <c r="C19" s="26" t="str">
        <f t="shared" si="0"/>
        <v>Wesołowski et al. (2020)</v>
      </c>
      <c r="D19" s="4" t="s">
        <v>461</v>
      </c>
      <c r="E19" s="27" t="str">
        <f>IF(OR($B19="",$AF19=""),"",HYPERLINK(IF(AND(Paramètres!$C$13&lt;&gt;"",$AJ19="Éditeur (abonnement)"),Paramètres!$C$13&amp;$AF19,$AF19),"Ouvrir : "&amp;$AE19))</f>
        <v>Ouvrir : Texte intégral libre</v>
      </c>
      <c r="F19" s="28" t="s">
        <v>235</v>
      </c>
      <c r="G19" s="28">
        <v>1</v>
      </c>
      <c r="H19" s="25" t="s">
        <v>405</v>
      </c>
      <c r="I19" s="28">
        <v>1</v>
      </c>
      <c r="J19" s="29" t="s">
        <v>234</v>
      </c>
      <c r="K19" s="26" t="str">
        <f ca="1">IF($B19="","",IF($J19="Lu","Lu",IF($J19="Écarté","Écarté",IF($I19&lt;Paramètres!$C$8,"EN RETARD",IF($I19=Paramètres!$C$8,"Ce mois-ci",IF($I19=Paramètres!$C$8+1,"Mois prochain","À venir"))))))</f>
        <v>Ce mois-ci</v>
      </c>
      <c r="L19" s="30" t="str">
        <f t="shared" ca="1" si="1"/>
        <v/>
      </c>
      <c r="M19" s="31">
        <f ca="1">IF($B19="","",IF(OR($J19="Lu",$J19="Écarté"),0,IFERROR(INDEX(Paramètres!$C$17:$C$19,MATCH($H19,Paramètres!$B$17:$B$19,0)),0)+Paramètres!$C$20*(7-$I19)+IF($I19&lt;Paramètres!$C$8,Paramètres!$C$21,0)+IF($F19="Oui",Paramètres!$C$22,0)+IF($AL19&lt;&gt;"Vérifié",Paramètres!$C$23,0)+IF(AND($O19&lt;&gt;"Oui",OR($AJ19="PDF libre",$AJ19="PDF libre (dépôt)")),Paramètres!$C$24,0)))</f>
        <v>60</v>
      </c>
      <c r="N19" s="32"/>
      <c r="O19" s="33" t="str">
        <f ca="1">IF($BB19="","Non",HYPERLINK(DossierPDF&amp;$BB19,"Oui"))</f>
        <v>Oui</v>
      </c>
      <c r="P19" s="33" t="s">
        <v>235</v>
      </c>
      <c r="Q19" s="33" t="s">
        <v>235</v>
      </c>
      <c r="R19" s="33"/>
      <c r="S19" s="34"/>
      <c r="T19" s="25" t="s">
        <v>236</v>
      </c>
      <c r="U19" s="26" t="str">
        <f>IF($B19="","",IFERROR(INDEX(Paramètres!$N$6:$N$13,MATCH($T19,Paramètres!$M$6:$M$13,0)),$T19))</f>
        <v>Article de revue</v>
      </c>
      <c r="V19" s="4" t="s">
        <v>462</v>
      </c>
      <c r="W19" s="28">
        <v>2020</v>
      </c>
      <c r="X19" s="4" t="s">
        <v>366</v>
      </c>
      <c r="Y19" s="25" t="s">
        <v>463</v>
      </c>
      <c r="Z19" s="25" t="s">
        <v>464</v>
      </c>
      <c r="AA19" s="25" t="s">
        <v>465</v>
      </c>
      <c r="AB19" s="25"/>
      <c r="AC19" s="25" t="s">
        <v>466</v>
      </c>
      <c r="AD19" s="25"/>
      <c r="AE19" s="25" t="s">
        <v>275</v>
      </c>
      <c r="AF19" s="35" t="s">
        <v>467</v>
      </c>
      <c r="AG19" s="27" t="str">
        <f t="shared" si="2"/>
        <v>doi.org</v>
      </c>
      <c r="AH19" s="27" t="str">
        <f t="shared" si="3"/>
        <v>Scholar</v>
      </c>
      <c r="AI19" s="28" t="s">
        <v>277</v>
      </c>
      <c r="AJ19" s="25" t="s">
        <v>183</v>
      </c>
      <c r="AK19" s="4" t="s">
        <v>411</v>
      </c>
      <c r="AL19" s="25" t="s">
        <v>247</v>
      </c>
      <c r="AM19" s="4" t="s">
        <v>264</v>
      </c>
      <c r="AN19" s="25" t="s">
        <v>249</v>
      </c>
      <c r="AO19" s="4" t="s">
        <v>468</v>
      </c>
      <c r="AP19" s="4"/>
      <c r="AQ19" s="25" t="s">
        <v>235</v>
      </c>
      <c r="AR19" s="26" t="str">
        <f>IF($B19="","",IFERROR(INDEX(Paramètres!$Q$6:$Q$13,MATCH($G19,Paramètres!$P$6:$P$13,0)),""))</f>
        <v>Mesure de la pression de contact pneu-chaussée</v>
      </c>
      <c r="AS19" s="26" t="str">
        <f>IF($B19="","",IFERROR(INDEX(Paramètres!$T$6:$T$11,MATCH($I19,Paramètres!$S$6:$S$11,0)),""))</f>
        <v>octobre 2026</v>
      </c>
      <c r="AT19" s="31">
        <f>IF($B19="","",IFERROR(INDEX(Paramètres!$C$27:$C$29,MATCH($H19,Paramètres!$B$27:$B$29,0)),0))</f>
        <v>1</v>
      </c>
      <c r="AU19" s="29"/>
      <c r="AV19" s="32"/>
      <c r="AW19" s="26" t="str">
        <f t="shared" si="4"/>
        <v>wesolowski2020aircraft.md</v>
      </c>
      <c r="AX19" s="26">
        <f>IF($B19="","",COUNTIF($I$2:I19,$I19))</f>
        <v>18</v>
      </c>
      <c r="AY19" s="26" t="str">
        <f t="shared" si="5"/>
        <v>1-18</v>
      </c>
      <c r="AZ19" s="26" t="s">
        <v>469</v>
      </c>
      <c r="BA19" s="36">
        <f t="shared" ca="1" si="6"/>
        <v>60.009810000000002</v>
      </c>
      <c r="BB19" t="s">
        <v>3174</v>
      </c>
    </row>
    <row r="20" spans="1:54" ht="45" customHeight="1" x14ac:dyDescent="0.25">
      <c r="A20" s="25" t="s">
        <v>470</v>
      </c>
      <c r="B20" s="25" t="s">
        <v>471</v>
      </c>
      <c r="C20" s="26" t="str">
        <f t="shared" si="0"/>
        <v>Di Benedetto et al. (2004)</v>
      </c>
      <c r="D20" s="4" t="s">
        <v>472</v>
      </c>
      <c r="E20" s="27" t="str">
        <f>IF(OR($B20="",$AF20=""),"",HYPERLINK(IF(AND(Paramètres!$C$13&lt;&gt;"",$AJ20="Éditeur (abonnement)"),Paramètres!$C$13&amp;$AF20,$AF20),"Ouvrir : "&amp;$AE20))</f>
        <v>Ouvrir : Page éditeur (DOI)</v>
      </c>
      <c r="F20" s="28" t="s">
        <v>235</v>
      </c>
      <c r="G20" s="28">
        <v>3</v>
      </c>
      <c r="H20" s="25" t="s">
        <v>122</v>
      </c>
      <c r="I20" s="28">
        <v>2</v>
      </c>
      <c r="J20" s="29" t="s">
        <v>234</v>
      </c>
      <c r="K20" s="26" t="str">
        <f ca="1">IF($B20="","",IF($J20="Lu","Lu",IF($J20="Écarté","Écarté",IF($I20&lt;Paramètres!$C$8,"EN RETARD",IF($I20=Paramètres!$C$8,"Ce mois-ci",IF($I20=Paramètres!$C$8+1,"Mois prochain","À venir"))))))</f>
        <v>Mois prochain</v>
      </c>
      <c r="L20" s="30" t="str">
        <f t="shared" ca="1" si="1"/>
        <v/>
      </c>
      <c r="M20" s="31">
        <f ca="1">IF($B20="","",IF(OR($J20="Lu",$J20="Écarté"),0,IFERROR(INDEX(Paramètres!$C$17:$C$19,MATCH($H20,Paramètres!$B$17:$B$19,0)),0)+Paramètres!$C$20*(7-$I20)+IF($I20&lt;Paramètres!$C$8,Paramètres!$C$21,0)+IF($F20="Oui",Paramètres!$C$22,0)+IF($AL20&lt;&gt;"Vérifié",Paramètres!$C$23,0)+IF(AND($O20&lt;&gt;"Oui",OR($AJ20="PDF libre",$AJ20="PDF libre (dépôt)")),Paramètres!$C$24,0)))</f>
        <v>125</v>
      </c>
      <c r="N20" s="32"/>
      <c r="O20" s="33" t="str">
        <f ca="1">IF($BB20="","Non",HYPERLINK(DossierPDF&amp;$BB20,"Oui"))</f>
        <v>Oui</v>
      </c>
      <c r="P20" s="33" t="s">
        <v>235</v>
      </c>
      <c r="Q20" s="33" t="s">
        <v>235</v>
      </c>
      <c r="R20" s="33"/>
      <c r="S20" s="34"/>
      <c r="T20" s="25" t="s">
        <v>236</v>
      </c>
      <c r="U20" s="26" t="str">
        <f>IF($B20="","",IFERROR(INDEX(Paramètres!$N$6:$N$13,MATCH($T20,Paramètres!$M$6:$M$13,0)),$T20))</f>
        <v>Article de revue</v>
      </c>
      <c r="V20" s="4" t="s">
        <v>473</v>
      </c>
      <c r="W20" s="28">
        <v>2004</v>
      </c>
      <c r="X20" s="4" t="s">
        <v>474</v>
      </c>
      <c r="Y20" s="25" t="s">
        <v>475</v>
      </c>
      <c r="Z20" s="25" t="s">
        <v>476</v>
      </c>
      <c r="AA20" s="25" t="s">
        <v>477</v>
      </c>
      <c r="AB20" s="25"/>
      <c r="AC20" s="25" t="s">
        <v>478</v>
      </c>
      <c r="AD20" s="25"/>
      <c r="AE20" s="25" t="s">
        <v>243</v>
      </c>
      <c r="AF20" s="35" t="s">
        <v>479</v>
      </c>
      <c r="AG20" s="27" t="str">
        <f t="shared" si="2"/>
        <v>doi.org</v>
      </c>
      <c r="AH20" s="27" t="str">
        <f t="shared" si="3"/>
        <v>Scholar</v>
      </c>
      <c r="AI20" s="28" t="s">
        <v>245</v>
      </c>
      <c r="AJ20" s="25" t="s">
        <v>185</v>
      </c>
      <c r="AK20" s="4" t="s">
        <v>480</v>
      </c>
      <c r="AL20" s="25" t="s">
        <v>247</v>
      </c>
      <c r="AM20" s="4" t="s">
        <v>481</v>
      </c>
      <c r="AN20" s="25" t="s">
        <v>249</v>
      </c>
      <c r="AO20" s="4" t="s">
        <v>482</v>
      </c>
      <c r="AP20" s="4" t="s">
        <v>483</v>
      </c>
      <c r="AQ20" s="25" t="s">
        <v>235</v>
      </c>
      <c r="AR20" s="26" t="str">
        <f>IF($B20="","",IFERROR(INDEX(Paramètres!$Q$6:$Q$13,MATCH($G20,Paramètres!$P$6:$P$13,0)),""))</f>
        <v>Viscoélasticité des enrobés</v>
      </c>
      <c r="AS20" s="26" t="str">
        <f>IF($B20="","",IFERROR(INDEX(Paramètres!$T$6:$T$11,MATCH($I20,Paramètres!$S$6:$S$11,0)),""))</f>
        <v>novembre 2026</v>
      </c>
      <c r="AT20" s="31">
        <f>IF($B20="","",IFERROR(INDEX(Paramètres!$C$27:$C$29,MATCH($H20,Paramètres!$B$27:$B$29,0)),0))</f>
        <v>6</v>
      </c>
      <c r="AU20" s="29"/>
      <c r="AV20" s="32"/>
      <c r="AW20" s="26" t="str">
        <f t="shared" si="4"/>
        <v>dibenedetto2004lve.md</v>
      </c>
      <c r="AX20" s="26">
        <f>IF($B20="","",COUNTIF($I$2:I20,$I20))</f>
        <v>1</v>
      </c>
      <c r="AY20" s="26" t="str">
        <f t="shared" si="5"/>
        <v>2-1</v>
      </c>
      <c r="AZ20" s="26" t="s">
        <v>484</v>
      </c>
      <c r="BA20" s="36">
        <f t="shared" ca="1" si="6"/>
        <v>125.0098</v>
      </c>
      <c r="BB20" t="s">
        <v>4104</v>
      </c>
    </row>
    <row r="21" spans="1:54" ht="45" customHeight="1" x14ac:dyDescent="0.25">
      <c r="A21" s="25" t="s">
        <v>485</v>
      </c>
      <c r="B21" s="25" t="s">
        <v>486</v>
      </c>
      <c r="C21" s="26" t="str">
        <f t="shared" si="0"/>
        <v>Olard &amp; Di Benedetto (2003)</v>
      </c>
      <c r="D21" s="4" t="s">
        <v>487</v>
      </c>
      <c r="E21" s="27" t="str">
        <f>IF(OR($B21="",$AF21=""),"",HYPERLINK(IF(AND(Paramètres!$C$13&lt;&gt;"",$AJ21="Éditeur (abonnement)"),Paramètres!$C$13&amp;$AF21,$AF21),"Ouvrir : "&amp;$AE21))</f>
        <v>Ouvrir : Page éditeur (DOI)</v>
      </c>
      <c r="F21" s="28" t="s">
        <v>233</v>
      </c>
      <c r="G21" s="28">
        <v>3</v>
      </c>
      <c r="H21" s="25" t="s">
        <v>122</v>
      </c>
      <c r="I21" s="28">
        <v>2</v>
      </c>
      <c r="J21" s="29" t="s">
        <v>234</v>
      </c>
      <c r="K21" s="26" t="str">
        <f ca="1">IF($B21="","",IF($J21="Lu","Lu",IF($J21="Écarté","Écarté",IF($I21&lt;Paramètres!$C$8,"EN RETARD",IF($I21=Paramètres!$C$8,"Ce mois-ci",IF($I21=Paramètres!$C$8+1,"Mois prochain","À venir"))))))</f>
        <v>Mois prochain</v>
      </c>
      <c r="L21" s="30" t="str">
        <f t="shared" ca="1" si="1"/>
        <v/>
      </c>
      <c r="M21" s="31">
        <f ca="1">IF($B21="","",IF(OR($J21="Lu",$J21="Écarté"),0,IFERROR(INDEX(Paramètres!$C$17:$C$19,MATCH($H21,Paramètres!$B$17:$B$19,0)),0)+Paramètres!$C$20*(7-$I21)+IF($I21&lt;Paramètres!$C$8,Paramètres!$C$21,0)+IF($F21="Oui",Paramètres!$C$22,0)+IF($AL21&lt;&gt;"Vérifié",Paramètres!$C$23,0)+IF(AND($O21&lt;&gt;"Oui",OR($AJ21="PDF libre",$AJ21="PDF libre (dépôt)")),Paramètres!$C$24,0)))</f>
        <v>135</v>
      </c>
      <c r="N21" s="32"/>
      <c r="O21" s="33" t="str">
        <f ca="1">IF($BB21="","Non",HYPERLINK(DossierPDF&amp;$BB21,"Oui"))</f>
        <v>Oui</v>
      </c>
      <c r="P21" s="33" t="s">
        <v>235</v>
      </c>
      <c r="Q21" s="33" t="s">
        <v>235</v>
      </c>
      <c r="R21" s="33"/>
      <c r="S21" s="34"/>
      <c r="T21" s="25" t="s">
        <v>236</v>
      </c>
      <c r="U21" s="26" t="str">
        <f>IF($B21="","",IFERROR(INDEX(Paramètres!$N$6:$N$13,MATCH($T21,Paramètres!$M$6:$M$13,0)),$T21))</f>
        <v>Article de revue</v>
      </c>
      <c r="V21" s="4" t="s">
        <v>488</v>
      </c>
      <c r="W21" s="28">
        <v>2003</v>
      </c>
      <c r="X21" s="4" t="s">
        <v>474</v>
      </c>
      <c r="Y21" s="25" t="s">
        <v>240</v>
      </c>
      <c r="Z21" s="25" t="s">
        <v>368</v>
      </c>
      <c r="AA21" s="25" t="s">
        <v>489</v>
      </c>
      <c r="AB21" s="25"/>
      <c r="AC21" s="25" t="s">
        <v>490</v>
      </c>
      <c r="AD21" s="25"/>
      <c r="AE21" s="25" t="s">
        <v>243</v>
      </c>
      <c r="AF21" s="35" t="s">
        <v>491</v>
      </c>
      <c r="AG21" s="27" t="str">
        <f t="shared" si="2"/>
        <v>doi.org</v>
      </c>
      <c r="AH21" s="27" t="str">
        <f t="shared" si="3"/>
        <v>Scholar</v>
      </c>
      <c r="AI21" s="28" t="s">
        <v>245</v>
      </c>
      <c r="AJ21" s="25" t="s">
        <v>185</v>
      </c>
      <c r="AK21" s="4" t="s">
        <v>492</v>
      </c>
      <c r="AL21" s="25" t="s">
        <v>247</v>
      </c>
      <c r="AM21" s="4" t="s">
        <v>264</v>
      </c>
      <c r="AN21" s="25" t="s">
        <v>249</v>
      </c>
      <c r="AO21" s="4" t="s">
        <v>493</v>
      </c>
      <c r="AP21" s="4" t="s">
        <v>494</v>
      </c>
      <c r="AQ21" s="25" t="s">
        <v>235</v>
      </c>
      <c r="AR21" s="26" t="str">
        <f>IF($B21="","",IFERROR(INDEX(Paramètres!$Q$6:$Q$13,MATCH($G21,Paramètres!$P$6:$P$13,0)),""))</f>
        <v>Viscoélasticité des enrobés</v>
      </c>
      <c r="AS21" s="26" t="str">
        <f>IF($B21="","",IFERROR(INDEX(Paramètres!$T$6:$T$11,MATCH($I21,Paramètres!$S$6:$S$11,0)),""))</f>
        <v>novembre 2026</v>
      </c>
      <c r="AT21" s="31">
        <f>IF($B21="","",IFERROR(INDEX(Paramètres!$C$27:$C$29,MATCH($H21,Paramètres!$B$27:$B$29,0)),0))</f>
        <v>6</v>
      </c>
      <c r="AU21" s="29"/>
      <c r="AV21" s="32"/>
      <c r="AW21" s="26" t="str">
        <f t="shared" si="4"/>
        <v>olard20032s2p1d.md</v>
      </c>
      <c r="AX21" s="26">
        <f>IF($B21="","",COUNTIF($I$2:I21,$I21))</f>
        <v>2</v>
      </c>
      <c r="AY21" s="26" t="str">
        <f t="shared" si="5"/>
        <v>2-2</v>
      </c>
      <c r="AZ21" s="26" t="s">
        <v>495</v>
      </c>
      <c r="BA21" s="36">
        <f t="shared" ca="1" si="6"/>
        <v>135.00979000000001</v>
      </c>
      <c r="BB21" t="s">
        <v>4105</v>
      </c>
    </row>
    <row r="22" spans="1:54" ht="45" customHeight="1" x14ac:dyDescent="0.25">
      <c r="A22" s="25" t="s">
        <v>496</v>
      </c>
      <c r="B22" s="25" t="s">
        <v>497</v>
      </c>
      <c r="C22" s="26" t="str">
        <f t="shared" si="0"/>
        <v>Tiouajni et al. (2011)</v>
      </c>
      <c r="D22" s="4" t="s">
        <v>498</v>
      </c>
      <c r="E22" s="27" t="str">
        <f>IF(OR($B22="",$AF22=""),"",HYPERLINK(IF(AND(Paramètres!$C$13&lt;&gt;"",$AJ22="Éditeur (abonnement)"),Paramètres!$C$13&amp;$AF22,$AF22),"Ouvrir : "&amp;$AE22))</f>
        <v>Ouvrir : Page éditeur (DOI)</v>
      </c>
      <c r="F22" s="28" t="s">
        <v>233</v>
      </c>
      <c r="G22" s="28">
        <v>3</v>
      </c>
      <c r="H22" s="25" t="s">
        <v>122</v>
      </c>
      <c r="I22" s="28">
        <v>2</v>
      </c>
      <c r="J22" s="29" t="s">
        <v>234</v>
      </c>
      <c r="K22" s="26" t="str">
        <f ca="1">IF($B22="","",IF($J22="Lu","Lu",IF($J22="Écarté","Écarté",IF($I22&lt;Paramètres!$C$8,"EN RETARD",IF($I22=Paramètres!$C$8,"Ce mois-ci",IF($I22=Paramètres!$C$8+1,"Mois prochain","À venir"))))))</f>
        <v>Mois prochain</v>
      </c>
      <c r="L22" s="30" t="str">
        <f t="shared" ca="1" si="1"/>
        <v/>
      </c>
      <c r="M22" s="31">
        <f ca="1">IF($B22="","",IF(OR($J22="Lu",$J22="Écarté"),0,IFERROR(INDEX(Paramètres!$C$17:$C$19,MATCH($H22,Paramètres!$B$17:$B$19,0)),0)+Paramètres!$C$20*(7-$I22)+IF($I22&lt;Paramètres!$C$8,Paramètres!$C$21,0)+IF($F22="Oui",Paramètres!$C$22,0)+IF($AL22&lt;&gt;"Vérifié",Paramètres!$C$23,0)+IF(AND($O22&lt;&gt;"Oui",OR($AJ22="PDF libre",$AJ22="PDF libre (dépôt)")),Paramètres!$C$24,0)))</f>
        <v>135</v>
      </c>
      <c r="N22" s="32"/>
      <c r="O22" s="33" t="str">
        <f ca="1">IF($BB22="","Non",HYPERLINK(DossierPDF&amp;$BB22,"Oui"))</f>
        <v>Oui</v>
      </c>
      <c r="P22" s="33" t="s">
        <v>235</v>
      </c>
      <c r="Q22" s="33" t="s">
        <v>235</v>
      </c>
      <c r="R22" s="33"/>
      <c r="S22" s="34"/>
      <c r="T22" s="25" t="s">
        <v>236</v>
      </c>
      <c r="U22" s="26" t="str">
        <f>IF($B22="","",IFERROR(INDEX(Paramètres!$N$6:$N$13,MATCH($T22,Paramètres!$M$6:$M$13,0)),$T22))</f>
        <v>Article de revue</v>
      </c>
      <c r="V22" s="4" t="s">
        <v>499</v>
      </c>
      <c r="W22" s="28">
        <v>2011</v>
      </c>
      <c r="X22" s="4" t="s">
        <v>474</v>
      </c>
      <c r="Y22" s="25" t="s">
        <v>500</v>
      </c>
      <c r="Z22" s="25" t="s">
        <v>240</v>
      </c>
      <c r="AA22" s="25" t="s">
        <v>501</v>
      </c>
      <c r="AB22" s="25"/>
      <c r="AC22" s="25" t="s">
        <v>502</v>
      </c>
      <c r="AD22" s="25"/>
      <c r="AE22" s="25" t="s">
        <v>243</v>
      </c>
      <c r="AF22" s="35" t="s">
        <v>503</v>
      </c>
      <c r="AG22" s="27" t="str">
        <f t="shared" si="2"/>
        <v>doi.org</v>
      </c>
      <c r="AH22" s="27" t="str">
        <f t="shared" si="3"/>
        <v>Scholar</v>
      </c>
      <c r="AI22" s="28" t="s">
        <v>245</v>
      </c>
      <c r="AJ22" s="25" t="s">
        <v>185</v>
      </c>
      <c r="AK22" s="4" t="s">
        <v>480</v>
      </c>
      <c r="AL22" s="25" t="s">
        <v>247</v>
      </c>
      <c r="AM22" s="4" t="s">
        <v>264</v>
      </c>
      <c r="AN22" s="25" t="s">
        <v>249</v>
      </c>
      <c r="AO22" s="4" t="s">
        <v>504</v>
      </c>
      <c r="AP22" s="4" t="s">
        <v>505</v>
      </c>
      <c r="AQ22" s="25" t="s">
        <v>235</v>
      </c>
      <c r="AR22" s="26" t="str">
        <f>IF($B22="","",IFERROR(INDEX(Paramètres!$Q$6:$Q$13,MATCH($G22,Paramètres!$P$6:$P$13,0)),""))</f>
        <v>Viscoélasticité des enrobés</v>
      </c>
      <c r="AS22" s="26" t="str">
        <f>IF($B22="","",IFERROR(INDEX(Paramètres!$T$6:$T$11,MATCH($I22,Paramètres!$S$6:$S$11,0)),""))</f>
        <v>novembre 2026</v>
      </c>
      <c r="AT22" s="31">
        <f>IF($B22="","",IFERROR(INDEX(Paramètres!$C$27:$C$29,MATCH($H22,Paramètres!$B$27:$B$29,0)),0))</f>
        <v>6</v>
      </c>
      <c r="AU22" s="29"/>
      <c r="AV22" s="32"/>
      <c r="AW22" s="26" t="str">
        <f t="shared" si="4"/>
        <v>tiouajni2011approximation.md</v>
      </c>
      <c r="AX22" s="26">
        <f>IF($B22="","",COUNTIF($I$2:I22,$I22))</f>
        <v>3</v>
      </c>
      <c r="AY22" s="26" t="str">
        <f t="shared" si="5"/>
        <v>2-3</v>
      </c>
      <c r="AZ22" s="26" t="s">
        <v>506</v>
      </c>
      <c r="BA22" s="36">
        <f t="shared" ca="1" si="6"/>
        <v>135.00978000000001</v>
      </c>
      <c r="BB22" t="s">
        <v>4106</v>
      </c>
    </row>
    <row r="23" spans="1:54" ht="45" hidden="1" customHeight="1" x14ac:dyDescent="0.25">
      <c r="A23" s="25" t="s">
        <v>507</v>
      </c>
      <c r="B23" s="25" t="s">
        <v>508</v>
      </c>
      <c r="C23" s="26" t="str">
        <f t="shared" si="0"/>
        <v>De Beer et al. (1997)</v>
      </c>
      <c r="D23" s="4" t="s">
        <v>509</v>
      </c>
      <c r="E23" s="27" t="str">
        <f>IF(OR($B23="",$AF23=""),"",HYPERLINK(IF(AND(Paramètres!$C$13&lt;&gt;"",$AJ23="Éditeur (abonnement)"),Paramètres!$C$13&amp;$AF23,$AF23),"Ouvrir : "&amp;$AE23))</f>
        <v>Ouvrir : Recherche Google Scholar</v>
      </c>
      <c r="F23" s="28" t="s">
        <v>233</v>
      </c>
      <c r="G23" s="28">
        <v>1</v>
      </c>
      <c r="H23" s="25" t="s">
        <v>338</v>
      </c>
      <c r="I23" s="28">
        <v>2</v>
      </c>
      <c r="J23" s="29" t="s">
        <v>234</v>
      </c>
      <c r="K23" s="26" t="str">
        <f ca="1">IF($B23="","",IF($J23="Lu","Lu",IF($J23="Écarté","Écarté",IF($I23&lt;Paramètres!$C$8,"EN RETARD",IF($I23=Paramètres!$C$8,"Ce mois-ci",IF($I23=Paramètres!$C$8+1,"Mois prochain","À venir"))))))</f>
        <v>Mois prochain</v>
      </c>
      <c r="L23" s="30" t="str">
        <f t="shared" si="1"/>
        <v>Vérification à compléter avant de citer</v>
      </c>
      <c r="M23" s="31">
        <f ca="1">IF($B23="","",IF(OR($J23="Lu",$J23="Écarté"),0,IFERROR(INDEX(Paramètres!$C$17:$C$19,MATCH($H23,Paramètres!$B$17:$B$19,0)),0)+Paramètres!$C$20*(7-$I23)+IF($I23&lt;Paramètres!$C$8,Paramètres!$C$21,0)+IF($F23="Oui",Paramètres!$C$22,0)+IF($AL23&lt;&gt;"Vérifié",Paramètres!$C$23,0)+IF(AND($O23&lt;&gt;"Oui",OR($AJ23="PDF libre",$AJ23="PDF libre (dépôt)")),Paramètres!$C$24,0)))</f>
        <v>110</v>
      </c>
      <c r="N23" s="32"/>
      <c r="O23" s="33" t="str">
        <f ca="1">IF($BB23="","Non",HYPERLINK(DossierPDF&amp;$BB23,"Oui"))</f>
        <v>Oui</v>
      </c>
      <c r="P23" s="33" t="s">
        <v>235</v>
      </c>
      <c r="Q23" s="33" t="s">
        <v>235</v>
      </c>
      <c r="R23" s="33"/>
      <c r="S23" s="34"/>
      <c r="T23" s="25" t="s">
        <v>286</v>
      </c>
      <c r="U23" s="26" t="str">
        <f>IF($B23="","",IFERROR(INDEX(Paramètres!$N$6:$N$13,MATCH($T23,Paramètres!$M$6:$M$13,0)),$T23))</f>
        <v>Communication (actes)</v>
      </c>
      <c r="V23" s="4" t="s">
        <v>510</v>
      </c>
      <c r="W23" s="28">
        <v>1997</v>
      </c>
      <c r="X23" s="4" t="s">
        <v>511</v>
      </c>
      <c r="Y23" s="25" t="s">
        <v>394</v>
      </c>
      <c r="Z23" s="25"/>
      <c r="AA23" s="25" t="s">
        <v>512</v>
      </c>
      <c r="AB23" s="25" t="s">
        <v>513</v>
      </c>
      <c r="AC23" s="25"/>
      <c r="AD23" s="25" t="s">
        <v>514</v>
      </c>
      <c r="AE23" s="25" t="s">
        <v>341</v>
      </c>
      <c r="AF23" s="35" t="s">
        <v>515</v>
      </c>
      <c r="AG23" s="27" t="str">
        <f t="shared" si="2"/>
        <v/>
      </c>
      <c r="AH23" s="27" t="str">
        <f t="shared" si="3"/>
        <v>Scholar</v>
      </c>
      <c r="AI23" s="28" t="s">
        <v>343</v>
      </c>
      <c r="AJ23" s="25" t="s">
        <v>187</v>
      </c>
      <c r="AK23" s="4" t="s">
        <v>516</v>
      </c>
      <c r="AL23" s="25" t="s">
        <v>517</v>
      </c>
      <c r="AM23" s="4" t="s">
        <v>518</v>
      </c>
      <c r="AN23" s="25" t="s">
        <v>249</v>
      </c>
      <c r="AO23" s="4" t="s">
        <v>519</v>
      </c>
      <c r="AP23" s="4" t="s">
        <v>520</v>
      </c>
      <c r="AQ23" s="25" t="s">
        <v>233</v>
      </c>
      <c r="AR23" s="26" t="str">
        <f>IF($B23="","",IFERROR(INDEX(Paramètres!$Q$6:$Q$13,MATCH($G23,Paramètres!$P$6:$P$13,0)),""))</f>
        <v>Mesure de la pression de contact pneu-chaussée</v>
      </c>
      <c r="AS23" s="26" t="str">
        <f>IF($B23="","",IFERROR(INDEX(Paramètres!$T$6:$T$11,MATCH($I23,Paramètres!$S$6:$S$11,0)),""))</f>
        <v>novembre 2026</v>
      </c>
      <c r="AT23" s="31">
        <f>IF($B23="","",IFERROR(INDEX(Paramètres!$C$27:$C$29,MATCH($H23,Paramètres!$B$27:$B$29,0)),0))</f>
        <v>3</v>
      </c>
      <c r="AU23" s="29"/>
      <c r="AV23" s="32"/>
      <c r="AW23" s="26" t="str">
        <f t="shared" si="4"/>
        <v>debeer1997interface.md</v>
      </c>
      <c r="AX23" s="26">
        <f>IF($B23="","",COUNTIF($I$2:I23,$I23))</f>
        <v>4</v>
      </c>
      <c r="AY23" s="26" t="str">
        <f t="shared" si="5"/>
        <v>2-4</v>
      </c>
      <c r="AZ23" s="26" t="s">
        <v>515</v>
      </c>
      <c r="BA23" s="36">
        <f t="shared" ca="1" si="6"/>
        <v>110.00977</v>
      </c>
      <c r="BB23" t="s">
        <v>4107</v>
      </c>
    </row>
    <row r="24" spans="1:54" ht="45" hidden="1" customHeight="1" x14ac:dyDescent="0.25">
      <c r="A24" s="25" t="s">
        <v>521</v>
      </c>
      <c r="B24" s="25" t="s">
        <v>522</v>
      </c>
      <c r="C24" s="26" t="str">
        <f t="shared" si="0"/>
        <v>De Beer et al. (2002)</v>
      </c>
      <c r="D24" s="4" t="s">
        <v>523</v>
      </c>
      <c r="E24" s="27" t="str">
        <f>IF(OR($B24="",$AF24=""),"",HYPERLINK(IF(AND(Paramètres!$C$13&lt;&gt;"",$AJ24="Éditeur (abonnement)"),Paramètres!$C$13&amp;$AF24,$AF24),"Ouvrir : "&amp;$AE24))</f>
        <v>Ouvrir : Notice (document à demander)</v>
      </c>
      <c r="F24" s="28" t="s">
        <v>233</v>
      </c>
      <c r="G24" s="28">
        <v>1</v>
      </c>
      <c r="H24" s="25" t="s">
        <v>338</v>
      </c>
      <c r="I24" s="28">
        <v>2</v>
      </c>
      <c r="J24" s="29" t="s">
        <v>234</v>
      </c>
      <c r="K24" s="26" t="str">
        <f ca="1">IF($B24="","",IF($J24="Lu","Lu",IF($J24="Écarté","Écarté",IF($I24&lt;Paramètres!$C$8,"EN RETARD",IF($I24=Paramètres!$C$8,"Ce mois-ci",IF($I24=Paramètres!$C$8+1,"Mois prochain","À venir"))))))</f>
        <v>Mois prochain</v>
      </c>
      <c r="L24" s="30" t="str">
        <f t="shared" ca="1" si="1"/>
        <v/>
      </c>
      <c r="M24" s="31">
        <f ca="1">IF($B24="","",IF(OR($J24="Lu",$J24="Écarté"),0,IFERROR(INDEX(Paramètres!$C$17:$C$19,MATCH($H24,Paramètres!$B$17:$B$19,0)),0)+Paramètres!$C$20*(7-$I24)+IF($I24&lt;Paramètres!$C$8,Paramètres!$C$21,0)+IF($F24="Oui",Paramètres!$C$22,0)+IF($AL24&lt;&gt;"Vérifié",Paramètres!$C$23,0)+IF(AND($O24&lt;&gt;"Oui",OR($AJ24="PDF libre",$AJ24="PDF libre (dépôt)")),Paramètres!$C$24,0)))</f>
        <v>95</v>
      </c>
      <c r="N24" s="32"/>
      <c r="O24" s="33" t="str">
        <f ca="1">IF($BB24="","Non",HYPERLINK(DossierPDF&amp;$BB24,"Oui"))</f>
        <v>Oui</v>
      </c>
      <c r="P24" s="33" t="s">
        <v>235</v>
      </c>
      <c r="Q24" s="33" t="s">
        <v>235</v>
      </c>
      <c r="R24" s="33"/>
      <c r="S24" s="34"/>
      <c r="T24" s="25" t="s">
        <v>286</v>
      </c>
      <c r="U24" s="26" t="str">
        <f>IF($B24="","",IFERROR(INDEX(Paramètres!$N$6:$N$13,MATCH($T24,Paramètres!$M$6:$M$13,0)),$T24))</f>
        <v>Communication (actes)</v>
      </c>
      <c r="V24" s="4" t="s">
        <v>510</v>
      </c>
      <c r="W24" s="28">
        <v>2002</v>
      </c>
      <c r="X24" s="4" t="s">
        <v>524</v>
      </c>
      <c r="Y24" s="25"/>
      <c r="Z24" s="25"/>
      <c r="AA24" s="25"/>
      <c r="AB24" s="25" t="s">
        <v>525</v>
      </c>
      <c r="AC24" s="25"/>
      <c r="AD24" s="25" t="s">
        <v>526</v>
      </c>
      <c r="AE24" s="25" t="s">
        <v>527</v>
      </c>
      <c r="AF24" s="35" t="s">
        <v>528</v>
      </c>
      <c r="AG24" s="27" t="str">
        <f t="shared" si="2"/>
        <v/>
      </c>
      <c r="AH24" s="27" t="str">
        <f t="shared" si="3"/>
        <v>Scholar</v>
      </c>
      <c r="AI24" s="28" t="s">
        <v>343</v>
      </c>
      <c r="AJ24" s="25" t="s">
        <v>187</v>
      </c>
      <c r="AK24" s="4" t="s">
        <v>529</v>
      </c>
      <c r="AL24" s="25" t="s">
        <v>247</v>
      </c>
      <c r="AM24" s="4" t="s">
        <v>530</v>
      </c>
      <c r="AN24" s="25" t="s">
        <v>249</v>
      </c>
      <c r="AO24" s="4" t="s">
        <v>531</v>
      </c>
      <c r="AP24" s="4" t="s">
        <v>532</v>
      </c>
      <c r="AQ24" s="25" t="s">
        <v>233</v>
      </c>
      <c r="AR24" s="26" t="str">
        <f>IF($B24="","",IFERROR(INDEX(Paramètres!$Q$6:$Q$13,MATCH($G24,Paramètres!$P$6:$P$13,0)),""))</f>
        <v>Mesure de la pression de contact pneu-chaussée</v>
      </c>
      <c r="AS24" s="26" t="str">
        <f>IF($B24="","",IFERROR(INDEX(Paramètres!$T$6:$T$11,MATCH($I24,Paramètres!$S$6:$S$11,0)),""))</f>
        <v>novembre 2026</v>
      </c>
      <c r="AT24" s="31">
        <f>IF($B24="","",IFERROR(INDEX(Paramètres!$C$27:$C$29,MATCH($H24,Paramètres!$B$27:$B$29,0)),0))</f>
        <v>3</v>
      </c>
      <c r="AU24" s="29"/>
      <c r="AV24" s="32"/>
      <c r="AW24" s="26" t="str">
        <f t="shared" si="4"/>
        <v>debeer2002nonuniform.md</v>
      </c>
      <c r="AX24" s="26">
        <f>IF($B24="","",COUNTIF($I$2:I24,$I24))</f>
        <v>5</v>
      </c>
      <c r="AY24" s="26" t="str">
        <f t="shared" si="5"/>
        <v>2-5</v>
      </c>
      <c r="AZ24" s="26" t="s">
        <v>533</v>
      </c>
      <c r="BA24" s="36">
        <f t="shared" ca="1" si="6"/>
        <v>95.00976</v>
      </c>
      <c r="BB24" t="s">
        <v>4108</v>
      </c>
    </row>
    <row r="25" spans="1:54" ht="45" hidden="1" customHeight="1" x14ac:dyDescent="0.25">
      <c r="A25" s="25" t="s">
        <v>534</v>
      </c>
      <c r="B25" s="25" t="s">
        <v>535</v>
      </c>
      <c r="C25" s="26" t="str">
        <f t="shared" si="0"/>
        <v>Daugherty (2003)</v>
      </c>
      <c r="D25" s="4" t="s">
        <v>536</v>
      </c>
      <c r="E25" s="27" t="str">
        <f>IF(OR($B25="",$AF25=""),"",HYPERLINK(IF(AND(Paramètres!$C$13&lt;&gt;"",$AJ25="Éditeur (abonnement)"),Paramètres!$C$13&amp;$AF25,$AF25),"Ouvrir : "&amp;$AE25))</f>
        <v>Ouvrir : Texte intégral libre</v>
      </c>
      <c r="F25" s="28" t="s">
        <v>235</v>
      </c>
      <c r="G25" s="28">
        <v>2</v>
      </c>
      <c r="H25" s="25" t="s">
        <v>338</v>
      </c>
      <c r="I25" s="28">
        <v>2</v>
      </c>
      <c r="J25" s="29" t="s">
        <v>234</v>
      </c>
      <c r="K25" s="26" t="str">
        <f ca="1">IF($B25="","",IF($J25="Lu","Lu",IF($J25="Écarté","Écarté",IF($I25&lt;Paramètres!$C$8,"EN RETARD",IF($I25=Paramètres!$C$8,"Ce mois-ci",IF($I25=Paramètres!$C$8+1,"Mois prochain","À venir"))))))</f>
        <v>Mois prochain</v>
      </c>
      <c r="L25" s="30" t="str">
        <f t="shared" ca="1" si="1"/>
        <v/>
      </c>
      <c r="M25" s="31">
        <f ca="1">IF($B25="","",IF(OR($J25="Lu",$J25="Écarté"),0,IFERROR(INDEX(Paramètres!$C$17:$C$19,MATCH($H25,Paramètres!$B$17:$B$19,0)),0)+Paramètres!$C$20*(7-$I25)+IF($I25&lt;Paramètres!$C$8,Paramètres!$C$21,0)+IF($F25="Oui",Paramètres!$C$22,0)+IF($AL25&lt;&gt;"Vérifié",Paramètres!$C$23,0)+IF(AND($O25&lt;&gt;"Oui",OR($AJ25="PDF libre",$AJ25="PDF libre (dépôt)")),Paramètres!$C$24,0)))</f>
        <v>85</v>
      </c>
      <c r="N25" s="32"/>
      <c r="O25" s="33" t="str">
        <f ca="1">IF($BB25="","Non",HYPERLINK(DossierPDF&amp;$BB25,"Oui"))</f>
        <v>Oui</v>
      </c>
      <c r="P25" s="33" t="s">
        <v>235</v>
      </c>
      <c r="Q25" s="33" t="s">
        <v>235</v>
      </c>
      <c r="R25" s="33"/>
      <c r="S25" s="34"/>
      <c r="T25" s="25" t="s">
        <v>271</v>
      </c>
      <c r="U25" s="26" t="str">
        <f>IF($B25="","",IFERROR(INDEX(Paramètres!$N$6:$N$13,MATCH($T25,Paramètres!$M$6:$M$13,0)),$T25))</f>
        <v>Rapport</v>
      </c>
      <c r="V25" s="4" t="s">
        <v>537</v>
      </c>
      <c r="W25" s="28">
        <v>2003</v>
      </c>
      <c r="X25" s="4"/>
      <c r="Y25" s="25"/>
      <c r="Z25" s="25"/>
      <c r="AA25" s="25"/>
      <c r="AB25" s="25" t="s">
        <v>538</v>
      </c>
      <c r="AC25" s="25"/>
      <c r="AD25" s="25" t="s">
        <v>539</v>
      </c>
      <c r="AE25" s="25" t="s">
        <v>275</v>
      </c>
      <c r="AF25" s="35" t="s">
        <v>540</v>
      </c>
      <c r="AG25" s="27" t="str">
        <f t="shared" si="2"/>
        <v/>
      </c>
      <c r="AH25" s="27" t="str">
        <f t="shared" si="3"/>
        <v>Scholar</v>
      </c>
      <c r="AI25" s="28" t="s">
        <v>277</v>
      </c>
      <c r="AJ25" s="25" t="s">
        <v>183</v>
      </c>
      <c r="AK25" s="4" t="s">
        <v>541</v>
      </c>
      <c r="AL25" s="25" t="s">
        <v>247</v>
      </c>
      <c r="AM25" s="4" t="s">
        <v>542</v>
      </c>
      <c r="AN25" s="25" t="s">
        <v>249</v>
      </c>
      <c r="AO25" s="4" t="s">
        <v>543</v>
      </c>
      <c r="AP25" s="4"/>
      <c r="AQ25" s="25" t="s">
        <v>233</v>
      </c>
      <c r="AR25" s="26" t="str">
        <f>IF($B25="","",IFERROR(INDEX(Paramètres!$Q$6:$Q$13,MATCH($G25,Paramètres!$P$6:$P$13,0)),""))</f>
        <v>Modélisation du pneu et du contact</v>
      </c>
      <c r="AS25" s="26" t="str">
        <f>IF($B25="","",IFERROR(INDEX(Paramètres!$T$6:$T$11,MATCH($I25,Paramètres!$S$6:$S$11,0)),""))</f>
        <v>novembre 2026</v>
      </c>
      <c r="AT25" s="31">
        <f>IF($B25="","",IFERROR(INDEX(Paramètres!$C$27:$C$29,MATCH($H25,Paramètres!$B$27:$B$29,0)),0))</f>
        <v>3</v>
      </c>
      <c r="AU25" s="29"/>
      <c r="AV25" s="32"/>
      <c r="AW25" s="26" t="str">
        <f t="shared" si="4"/>
        <v>daugherty2003radial.md</v>
      </c>
      <c r="AX25" s="26">
        <f>IF($B25="","",COUNTIF($I$2:I25,$I25))</f>
        <v>6</v>
      </c>
      <c r="AY25" s="26" t="str">
        <f t="shared" si="5"/>
        <v>2-6</v>
      </c>
      <c r="AZ25" s="26" t="s">
        <v>544</v>
      </c>
      <c r="BA25" s="36">
        <f t="shared" ca="1" si="6"/>
        <v>85.009749999999997</v>
      </c>
      <c r="BB25" t="s">
        <v>4109</v>
      </c>
    </row>
    <row r="26" spans="1:54" ht="45" hidden="1" customHeight="1" x14ac:dyDescent="0.25">
      <c r="A26" s="25" t="s">
        <v>545</v>
      </c>
      <c r="B26" s="25" t="s">
        <v>546</v>
      </c>
      <c r="C26" s="26" t="str">
        <f t="shared" si="0"/>
        <v>He et al. (2021)</v>
      </c>
      <c r="D26" s="4" t="s">
        <v>547</v>
      </c>
      <c r="E26" s="27" t="str">
        <f>IF(OR($B26="",$AF26=""),"",HYPERLINK(IF(AND(Paramètres!$C$13&lt;&gt;"",$AJ26="Éditeur (abonnement)"),Paramètres!$C$13&amp;$AF26,$AF26),"Ouvrir : "&amp;$AE26))</f>
        <v>Ouvrir : Texte intégral libre</v>
      </c>
      <c r="F26" s="28" t="s">
        <v>233</v>
      </c>
      <c r="G26" s="28">
        <v>2</v>
      </c>
      <c r="H26" s="25" t="s">
        <v>338</v>
      </c>
      <c r="I26" s="28">
        <v>2</v>
      </c>
      <c r="J26" s="29" t="s">
        <v>234</v>
      </c>
      <c r="K26" s="26" t="str">
        <f ca="1">IF($B26="","",IF($J26="Lu","Lu",IF($J26="Écarté","Écarté",IF($I26&lt;Paramètres!$C$8,"EN RETARD",IF($I26=Paramètres!$C$8,"Ce mois-ci",IF($I26=Paramètres!$C$8+1,"Mois prochain","À venir"))))))</f>
        <v>Mois prochain</v>
      </c>
      <c r="L26" s="30" t="str">
        <f t="shared" ca="1" si="1"/>
        <v/>
      </c>
      <c r="M26" s="31">
        <f ca="1">IF($B26="","",IF(OR($J26="Lu",$J26="Écarté"),0,IFERROR(INDEX(Paramètres!$C$17:$C$19,MATCH($H26,Paramètres!$B$17:$B$19,0)),0)+Paramètres!$C$20*(7-$I26)+IF($I26&lt;Paramètres!$C$8,Paramètres!$C$21,0)+IF($F26="Oui",Paramètres!$C$22,0)+IF($AL26&lt;&gt;"Vérifié",Paramètres!$C$23,0)+IF(AND($O26&lt;&gt;"Oui",OR($AJ26="PDF libre",$AJ26="PDF libre (dépôt)")),Paramètres!$C$24,0)))</f>
        <v>95</v>
      </c>
      <c r="N26" s="32"/>
      <c r="O26" s="33" t="str">
        <f ca="1">IF($BB26="","Non",HYPERLINK(DossierPDF&amp;$BB26,"Oui"))</f>
        <v>Oui</v>
      </c>
      <c r="P26" s="33" t="s">
        <v>235</v>
      </c>
      <c r="Q26" s="33" t="s">
        <v>235</v>
      </c>
      <c r="R26" s="33"/>
      <c r="S26" s="34"/>
      <c r="T26" s="25" t="s">
        <v>236</v>
      </c>
      <c r="U26" s="26" t="str">
        <f>IF($B26="","",IFERROR(INDEX(Paramètres!$N$6:$N$13,MATCH($T26,Paramètres!$M$6:$M$13,0)),$T26))</f>
        <v>Article de revue</v>
      </c>
      <c r="V26" s="4" t="s">
        <v>548</v>
      </c>
      <c r="W26" s="28">
        <v>2021</v>
      </c>
      <c r="X26" s="4" t="s">
        <v>549</v>
      </c>
      <c r="Y26" s="25" t="s">
        <v>550</v>
      </c>
      <c r="Z26" s="25" t="s">
        <v>259</v>
      </c>
      <c r="AA26" s="25" t="s">
        <v>551</v>
      </c>
      <c r="AB26" s="25"/>
      <c r="AC26" s="25" t="s">
        <v>552</v>
      </c>
      <c r="AD26" s="25"/>
      <c r="AE26" s="25" t="s">
        <v>275</v>
      </c>
      <c r="AF26" s="35" t="s">
        <v>553</v>
      </c>
      <c r="AG26" s="27" t="str">
        <f t="shared" si="2"/>
        <v>doi.org</v>
      </c>
      <c r="AH26" s="27" t="str">
        <f t="shared" si="3"/>
        <v>Scholar</v>
      </c>
      <c r="AI26" s="28" t="s">
        <v>277</v>
      </c>
      <c r="AJ26" s="25" t="s">
        <v>183</v>
      </c>
      <c r="AK26" s="4" t="s">
        <v>554</v>
      </c>
      <c r="AL26" s="25" t="s">
        <v>247</v>
      </c>
      <c r="AM26" s="4" t="s">
        <v>264</v>
      </c>
      <c r="AN26" s="25" t="s">
        <v>249</v>
      </c>
      <c r="AO26" s="4" t="s">
        <v>555</v>
      </c>
      <c r="AP26" s="4"/>
      <c r="AQ26" s="25" t="s">
        <v>235</v>
      </c>
      <c r="AR26" s="26" t="str">
        <f>IF($B26="","",IFERROR(INDEX(Paramètres!$Q$6:$Q$13,MATCH($G26,Paramètres!$P$6:$P$13,0)),""))</f>
        <v>Modélisation du pneu et du contact</v>
      </c>
      <c r="AS26" s="26" t="str">
        <f>IF($B26="","",IFERROR(INDEX(Paramètres!$T$6:$T$11,MATCH($I26,Paramètres!$S$6:$S$11,0)),""))</f>
        <v>novembre 2026</v>
      </c>
      <c r="AT26" s="31">
        <f>IF($B26="","",IFERROR(INDEX(Paramètres!$C$27:$C$29,MATCH($H26,Paramètres!$B$27:$B$29,0)),0))</f>
        <v>3</v>
      </c>
      <c r="AU26" s="29"/>
      <c r="AV26" s="32"/>
      <c r="AW26" s="26" t="str">
        <f t="shared" si="4"/>
        <v>he2021maneuvering.md</v>
      </c>
      <c r="AX26" s="26">
        <f>IF($B26="","",COUNTIF($I$2:I26,$I26))</f>
        <v>7</v>
      </c>
      <c r="AY26" s="26" t="str">
        <f t="shared" si="5"/>
        <v>2-7</v>
      </c>
      <c r="AZ26" s="26" t="s">
        <v>556</v>
      </c>
      <c r="BA26" s="36">
        <f t="shared" ca="1" si="6"/>
        <v>95.009739999999994</v>
      </c>
      <c r="BB26" t="s">
        <v>4110</v>
      </c>
    </row>
    <row r="27" spans="1:54" ht="45" customHeight="1" x14ac:dyDescent="0.25">
      <c r="A27" s="25" t="s">
        <v>557</v>
      </c>
      <c r="B27" s="25" t="s">
        <v>558</v>
      </c>
      <c r="C27" s="26" t="str">
        <f t="shared" si="0"/>
        <v>Kongo Kondé et al. (2013)</v>
      </c>
      <c r="D27" s="4" t="s">
        <v>559</v>
      </c>
      <c r="E27" s="27" t="str">
        <f>IF(OR($B27="",$AF27=""),"",HYPERLINK(IF(AND(Paramètres!$C$13&lt;&gt;"",$AJ27="Éditeur (abonnement)"),Paramètres!$C$13&amp;$AF27,$AF27),"Ouvrir : "&amp;$AE27))</f>
        <v>Ouvrir : Page éditeur (DOI)</v>
      </c>
      <c r="F27" s="28" t="s">
        <v>235</v>
      </c>
      <c r="G27" s="28">
        <v>2</v>
      </c>
      <c r="H27" s="25" t="s">
        <v>338</v>
      </c>
      <c r="I27" s="28">
        <v>2</v>
      </c>
      <c r="J27" s="29" t="s">
        <v>234</v>
      </c>
      <c r="K27" s="26" t="str">
        <f ca="1">IF($B27="","",IF($J27="Lu","Lu",IF($J27="Écarté","Écarté",IF($I27&lt;Paramètres!$C$8,"EN RETARD",IF($I27=Paramètres!$C$8,"Ce mois-ci",IF($I27=Paramètres!$C$8+1,"Mois prochain","À venir"))))))</f>
        <v>Mois prochain</v>
      </c>
      <c r="L27" s="30" t="str">
        <f t="shared" ca="1" si="1"/>
        <v/>
      </c>
      <c r="M27" s="31">
        <f ca="1">IF($B27="","",IF(OR($J27="Lu",$J27="Écarté"),0,IFERROR(INDEX(Paramètres!$C$17:$C$19,MATCH($H27,Paramètres!$B$17:$B$19,0)),0)+Paramètres!$C$20*(7-$I27)+IF($I27&lt;Paramètres!$C$8,Paramètres!$C$21,0)+IF($F27="Oui",Paramètres!$C$22,0)+IF($AL27&lt;&gt;"Vérifié",Paramètres!$C$23,0)+IF(AND($O27&lt;&gt;"Oui",OR($AJ27="PDF libre",$AJ27="PDF libre (dépôt)")),Paramètres!$C$24,0)))</f>
        <v>85</v>
      </c>
      <c r="N27" s="32"/>
      <c r="O27" s="33" t="str">
        <f ca="1">IF($BB27="","Non",HYPERLINK(DossierPDF&amp;$BB27,"Oui"))</f>
        <v>Oui</v>
      </c>
      <c r="P27" s="33" t="s">
        <v>235</v>
      </c>
      <c r="Q27" s="33" t="s">
        <v>235</v>
      </c>
      <c r="R27" s="33"/>
      <c r="S27" s="34"/>
      <c r="T27" s="25" t="s">
        <v>236</v>
      </c>
      <c r="U27" s="26" t="str">
        <f>IF($B27="","",IFERROR(INDEX(Paramètres!$N$6:$N$13,MATCH($T27,Paramètres!$M$6:$M$13,0)),$T27))</f>
        <v>Article de revue</v>
      </c>
      <c r="V27" s="4" t="s">
        <v>560</v>
      </c>
      <c r="W27" s="28">
        <v>2013</v>
      </c>
      <c r="X27" s="4" t="s">
        <v>561</v>
      </c>
      <c r="Y27" s="25" t="s">
        <v>289</v>
      </c>
      <c r="Z27" s="25" t="s">
        <v>394</v>
      </c>
      <c r="AA27" s="25" t="s">
        <v>562</v>
      </c>
      <c r="AB27" s="25"/>
      <c r="AC27" s="25" t="s">
        <v>563</v>
      </c>
      <c r="AD27" s="25"/>
      <c r="AE27" s="25" t="s">
        <v>243</v>
      </c>
      <c r="AF27" s="35" t="s">
        <v>564</v>
      </c>
      <c r="AG27" s="27" t="str">
        <f t="shared" si="2"/>
        <v>doi.org</v>
      </c>
      <c r="AH27" s="27" t="str">
        <f t="shared" si="3"/>
        <v>Scholar</v>
      </c>
      <c r="AI27" s="28" t="s">
        <v>245</v>
      </c>
      <c r="AJ27" s="25" t="s">
        <v>185</v>
      </c>
      <c r="AK27" s="4" t="s">
        <v>565</v>
      </c>
      <c r="AL27" s="25" t="s">
        <v>247</v>
      </c>
      <c r="AM27" s="4" t="s">
        <v>481</v>
      </c>
      <c r="AN27" s="25" t="s">
        <v>249</v>
      </c>
      <c r="AO27" s="4" t="s">
        <v>566</v>
      </c>
      <c r="AP27" s="4" t="s">
        <v>567</v>
      </c>
      <c r="AQ27" s="25" t="s">
        <v>235</v>
      </c>
      <c r="AR27" s="26" t="str">
        <f>IF($B27="","",IFERROR(INDEX(Paramètres!$Q$6:$Q$13,MATCH($G27,Paramètres!$P$6:$P$13,0)),""))</f>
        <v>Modélisation du pneu et du contact</v>
      </c>
      <c r="AS27" s="26" t="str">
        <f>IF($B27="","",IFERROR(INDEX(Paramètres!$T$6:$T$11,MATCH($I27,Paramètres!$S$6:$S$11,0)),""))</f>
        <v>novembre 2026</v>
      </c>
      <c r="AT27" s="31">
        <f>IF($B27="","",IFERROR(INDEX(Paramètres!$C$27:$C$29,MATCH($H27,Paramètres!$B$27:$B$29,0)),0))</f>
        <v>3</v>
      </c>
      <c r="AU27" s="29"/>
      <c r="AV27" s="32"/>
      <c r="AW27" s="26" t="str">
        <f t="shared" si="4"/>
        <v>kongokonde2013aircraft.md</v>
      </c>
      <c r="AX27" s="26">
        <f>IF($B27="","",COUNTIF($I$2:I27,$I27))</f>
        <v>8</v>
      </c>
      <c r="AY27" s="26" t="str">
        <f t="shared" si="5"/>
        <v>2-8</v>
      </c>
      <c r="AZ27" s="26" t="s">
        <v>568</v>
      </c>
      <c r="BA27" s="36">
        <f t="shared" ca="1" si="6"/>
        <v>85.009730000000005</v>
      </c>
      <c r="BB27" t="s">
        <v>4111</v>
      </c>
    </row>
    <row r="28" spans="1:54" ht="45" customHeight="1" x14ac:dyDescent="0.25">
      <c r="A28" s="25" t="s">
        <v>569</v>
      </c>
      <c r="B28" s="25" t="s">
        <v>570</v>
      </c>
      <c r="C28" s="26" t="str">
        <f t="shared" si="0"/>
        <v>Wang et al. (2012)</v>
      </c>
      <c r="D28" s="4" t="s">
        <v>571</v>
      </c>
      <c r="E28" s="27" t="str">
        <f>IF(OR($B28="",$AF28=""),"",HYPERLINK(IF(AND(Paramètres!$C$13&lt;&gt;"",$AJ28="Éditeur (abonnement)"),Paramètres!$C$13&amp;$AF28,$AF28),"Ouvrir : "&amp;$AE28))</f>
        <v>Ouvrir : Page éditeur (DOI)</v>
      </c>
      <c r="F28" s="28" t="s">
        <v>235</v>
      </c>
      <c r="G28" s="28">
        <v>2</v>
      </c>
      <c r="H28" s="25" t="s">
        <v>338</v>
      </c>
      <c r="I28" s="28">
        <v>2</v>
      </c>
      <c r="J28" s="29" t="s">
        <v>234</v>
      </c>
      <c r="K28" s="26" t="str">
        <f ca="1">IF($B28="","",IF($J28="Lu","Lu",IF($J28="Écarté","Écarté",IF($I28&lt;Paramètres!$C$8,"EN RETARD",IF($I28=Paramètres!$C$8,"Ce mois-ci",IF($I28=Paramètres!$C$8+1,"Mois prochain","À venir"))))))</f>
        <v>Mois prochain</v>
      </c>
      <c r="L28" s="30" t="str">
        <f t="shared" ca="1" si="1"/>
        <v/>
      </c>
      <c r="M28" s="31">
        <f ca="1">IF($B28="","",IF(OR($J28="Lu",$J28="Écarté"),0,IFERROR(INDEX(Paramètres!$C$17:$C$19,MATCH($H28,Paramètres!$B$17:$B$19,0)),0)+Paramètres!$C$20*(7-$I28)+IF($I28&lt;Paramètres!$C$8,Paramètres!$C$21,0)+IF($F28="Oui",Paramètres!$C$22,0)+IF($AL28&lt;&gt;"Vérifié",Paramètres!$C$23,0)+IF(AND($O28&lt;&gt;"Oui",OR($AJ28="PDF libre",$AJ28="PDF libre (dépôt)")),Paramètres!$C$24,0)))</f>
        <v>85</v>
      </c>
      <c r="N28" s="32"/>
      <c r="O28" s="33" t="str">
        <f ca="1">IF($BB28="","Non",HYPERLINK(DossierPDF&amp;$BB28,"Oui"))</f>
        <v>Oui</v>
      </c>
      <c r="P28" s="33" t="s">
        <v>235</v>
      </c>
      <c r="Q28" s="33" t="s">
        <v>235</v>
      </c>
      <c r="R28" s="33"/>
      <c r="S28" s="34"/>
      <c r="T28" s="25" t="s">
        <v>236</v>
      </c>
      <c r="U28" s="26" t="str">
        <f>IF($B28="","",IFERROR(INDEX(Paramètres!$N$6:$N$13,MATCH($T28,Paramètres!$M$6:$M$13,0)),$T28))</f>
        <v>Article de revue</v>
      </c>
      <c r="V28" s="4" t="s">
        <v>572</v>
      </c>
      <c r="W28" s="28">
        <v>2012</v>
      </c>
      <c r="X28" s="4" t="s">
        <v>573</v>
      </c>
      <c r="Y28" s="25" t="s">
        <v>407</v>
      </c>
      <c r="Z28" s="25" t="s">
        <v>240</v>
      </c>
      <c r="AA28" s="25" t="s">
        <v>574</v>
      </c>
      <c r="AB28" s="25"/>
      <c r="AC28" s="25" t="s">
        <v>575</v>
      </c>
      <c r="AD28" s="25"/>
      <c r="AE28" s="25" t="s">
        <v>243</v>
      </c>
      <c r="AF28" s="35" t="s">
        <v>576</v>
      </c>
      <c r="AG28" s="27" t="str">
        <f t="shared" si="2"/>
        <v>doi.org</v>
      </c>
      <c r="AH28" s="27" t="str">
        <f t="shared" si="3"/>
        <v>Scholar</v>
      </c>
      <c r="AI28" s="28" t="s">
        <v>245</v>
      </c>
      <c r="AJ28" s="25" t="s">
        <v>185</v>
      </c>
      <c r="AK28" s="4" t="s">
        <v>480</v>
      </c>
      <c r="AL28" s="25" t="s">
        <v>247</v>
      </c>
      <c r="AM28" s="4" t="s">
        <v>481</v>
      </c>
      <c r="AN28" s="25" t="s">
        <v>249</v>
      </c>
      <c r="AO28" s="4" t="s">
        <v>577</v>
      </c>
      <c r="AP28" s="4" t="s">
        <v>578</v>
      </c>
      <c r="AQ28" s="25" t="s">
        <v>235</v>
      </c>
      <c r="AR28" s="26" t="str">
        <f>IF($B28="","",IFERROR(INDEX(Paramètres!$Q$6:$Q$13,MATCH($G28,Paramètres!$P$6:$P$13,0)),""))</f>
        <v>Modélisation du pneu et du contact</v>
      </c>
      <c r="AS28" s="26" t="str">
        <f>IF($B28="","",IFERROR(INDEX(Paramètres!$T$6:$T$11,MATCH($I28,Paramètres!$S$6:$S$11,0)),""))</f>
        <v>novembre 2026</v>
      </c>
      <c r="AT28" s="31">
        <f>IF($B28="","",IFERROR(INDEX(Paramètres!$C$27:$C$29,MATCH($H28,Paramètres!$B$27:$B$29,0)),0))</f>
        <v>3</v>
      </c>
      <c r="AU28" s="29"/>
      <c r="AV28" s="32"/>
      <c r="AW28" s="26" t="str">
        <f t="shared" si="4"/>
        <v>wang2012tyre.md</v>
      </c>
      <c r="AX28" s="26">
        <f>IF($B28="","",COUNTIF($I$2:I28,$I28))</f>
        <v>9</v>
      </c>
      <c r="AY28" s="26" t="str">
        <f t="shared" si="5"/>
        <v>2-9</v>
      </c>
      <c r="AZ28" s="26" t="s">
        <v>579</v>
      </c>
      <c r="BA28" s="36">
        <f t="shared" ca="1" si="6"/>
        <v>85.009720000000002</v>
      </c>
      <c r="BB28" t="s">
        <v>4112</v>
      </c>
    </row>
    <row r="29" spans="1:54" ht="45" customHeight="1" x14ac:dyDescent="0.25">
      <c r="A29" s="25" t="s">
        <v>580</v>
      </c>
      <c r="B29" s="25" t="s">
        <v>581</v>
      </c>
      <c r="C29" s="26" t="str">
        <f t="shared" si="0"/>
        <v>Xie &amp; Yang (2019)</v>
      </c>
      <c r="D29" s="4" t="s">
        <v>582</v>
      </c>
      <c r="E29" s="27" t="str">
        <f>IF(OR($B29="",$AF29=""),"",HYPERLINK(IF(AND(Paramètres!$C$13&lt;&gt;"",$AJ29="Éditeur (abonnement)"),Paramètres!$C$13&amp;$AF29,$AF29),"Ouvrir : "&amp;$AE29))</f>
        <v>Ouvrir : Page éditeur (DOI)</v>
      </c>
      <c r="F29" s="28" t="s">
        <v>233</v>
      </c>
      <c r="G29" s="28">
        <v>2</v>
      </c>
      <c r="H29" s="25" t="s">
        <v>338</v>
      </c>
      <c r="I29" s="28">
        <v>2</v>
      </c>
      <c r="J29" s="29" t="s">
        <v>234</v>
      </c>
      <c r="K29" s="26" t="str">
        <f ca="1">IF($B29="","",IF($J29="Lu","Lu",IF($J29="Écarté","Écarté",IF($I29&lt;Paramètres!$C$8,"EN RETARD",IF($I29=Paramètres!$C$8,"Ce mois-ci",IF($I29=Paramètres!$C$8+1,"Mois prochain","À venir"))))))</f>
        <v>Mois prochain</v>
      </c>
      <c r="L29" s="30" t="str">
        <f t="shared" ca="1" si="1"/>
        <v/>
      </c>
      <c r="M29" s="31">
        <f ca="1">IF($B29="","",IF(OR($J29="Lu",$J29="Écarté"),0,IFERROR(INDEX(Paramètres!$C$17:$C$19,MATCH($H29,Paramètres!$B$17:$B$19,0)),0)+Paramètres!$C$20*(7-$I29)+IF($I29&lt;Paramètres!$C$8,Paramètres!$C$21,0)+IF($F29="Oui",Paramètres!$C$22,0)+IF($AL29&lt;&gt;"Vérifié",Paramètres!$C$23,0)+IF(AND($O29&lt;&gt;"Oui",OR($AJ29="PDF libre",$AJ29="PDF libre (dépôt)")),Paramètres!$C$24,0)))</f>
        <v>95</v>
      </c>
      <c r="N29" s="32"/>
      <c r="O29" s="33" t="str">
        <f ca="1">IF($BB29="","Non",HYPERLINK(DossierPDF&amp;$BB29,"Oui"))</f>
        <v>Oui</v>
      </c>
      <c r="P29" s="33" t="s">
        <v>235</v>
      </c>
      <c r="Q29" s="33" t="s">
        <v>235</v>
      </c>
      <c r="R29" s="33"/>
      <c r="S29" s="34"/>
      <c r="T29" s="25" t="s">
        <v>236</v>
      </c>
      <c r="U29" s="26" t="str">
        <f>IF($B29="","",IFERROR(INDEX(Paramètres!$N$6:$N$13,MATCH($T29,Paramètres!$M$6:$M$13,0)),$T29))</f>
        <v>Article de revue</v>
      </c>
      <c r="V29" s="4" t="s">
        <v>583</v>
      </c>
      <c r="W29" s="28">
        <v>2019</v>
      </c>
      <c r="X29" s="4" t="s">
        <v>474</v>
      </c>
      <c r="Y29" s="25" t="s">
        <v>584</v>
      </c>
      <c r="Z29" s="25" t="s">
        <v>585</v>
      </c>
      <c r="AA29" s="25" t="s">
        <v>586</v>
      </c>
      <c r="AB29" s="25"/>
      <c r="AC29" s="25" t="s">
        <v>587</v>
      </c>
      <c r="AD29" s="25"/>
      <c r="AE29" s="25" t="s">
        <v>243</v>
      </c>
      <c r="AF29" s="35" t="s">
        <v>588</v>
      </c>
      <c r="AG29" s="27" t="str">
        <f t="shared" si="2"/>
        <v>doi.org</v>
      </c>
      <c r="AH29" s="27" t="str">
        <f t="shared" si="3"/>
        <v>Scholar</v>
      </c>
      <c r="AI29" s="28" t="s">
        <v>245</v>
      </c>
      <c r="AJ29" s="25" t="s">
        <v>185</v>
      </c>
      <c r="AK29" s="4" t="s">
        <v>480</v>
      </c>
      <c r="AL29" s="25" t="s">
        <v>247</v>
      </c>
      <c r="AM29" s="4" t="s">
        <v>264</v>
      </c>
      <c r="AN29" s="25" t="s">
        <v>249</v>
      </c>
      <c r="AO29" s="4" t="s">
        <v>589</v>
      </c>
      <c r="AP29" s="4"/>
      <c r="AQ29" s="25" t="s">
        <v>235</v>
      </c>
      <c r="AR29" s="26" t="str">
        <f>IF($B29="","",IFERROR(INDEX(Paramètres!$Q$6:$Q$13,MATCH($G29,Paramètres!$P$6:$P$13,0)),""))</f>
        <v>Modélisation du pneu et du contact</v>
      </c>
      <c r="AS29" s="26" t="str">
        <f>IF($B29="","",IFERROR(INDEX(Paramètres!$T$6:$T$11,MATCH($I29,Paramètres!$S$6:$S$11,0)),""))</f>
        <v>novembre 2026</v>
      </c>
      <c r="AT29" s="31">
        <f>IF($B29="","",IFERROR(INDEX(Paramètres!$C$27:$C$29,MATCH($H29,Paramètres!$B$27:$B$29,0)),0))</f>
        <v>3</v>
      </c>
      <c r="AU29" s="29"/>
      <c r="AV29" s="32"/>
      <c r="AW29" s="26" t="str">
        <f t="shared" si="4"/>
        <v>xie2019tyretypes.md</v>
      </c>
      <c r="AX29" s="26">
        <f>IF($B29="","",COUNTIF($I$2:I29,$I29))</f>
        <v>10</v>
      </c>
      <c r="AY29" s="26" t="str">
        <f t="shared" si="5"/>
        <v>2-10</v>
      </c>
      <c r="AZ29" s="26" t="s">
        <v>590</v>
      </c>
      <c r="BA29" s="36">
        <f t="shared" ca="1" si="6"/>
        <v>95.009709999999998</v>
      </c>
      <c r="BB29" t="s">
        <v>4113</v>
      </c>
    </row>
    <row r="30" spans="1:54" ht="45" hidden="1" customHeight="1" x14ac:dyDescent="0.25">
      <c r="A30" s="25" t="s">
        <v>591</v>
      </c>
      <c r="B30" s="25" t="s">
        <v>592</v>
      </c>
      <c r="C30" s="26" t="str">
        <f t="shared" si="0"/>
        <v>Huet (1963)</v>
      </c>
      <c r="D30" s="4" t="s">
        <v>593</v>
      </c>
      <c r="E30" s="27" t="str">
        <f>IF(OR($B30="",$AF30=""),"",HYPERLINK(IF(AND(Paramètres!$C$13&lt;&gt;"",$AJ30="Éditeur (abonnement)"),Paramètres!$C$13&amp;$AF30,$AF30),"Ouvrir : "&amp;$AE30))</f>
        <v>Ouvrir : Recherche Google Scholar</v>
      </c>
      <c r="F30" s="28" t="s">
        <v>233</v>
      </c>
      <c r="G30" s="28">
        <v>3</v>
      </c>
      <c r="H30" s="25" t="s">
        <v>338</v>
      </c>
      <c r="I30" s="28">
        <v>2</v>
      </c>
      <c r="J30" s="29" t="s">
        <v>234</v>
      </c>
      <c r="K30" s="26" t="str">
        <f ca="1">IF($B30="","",IF($J30="Lu","Lu",IF($J30="Écarté","Écarté",IF($I30&lt;Paramètres!$C$8,"EN RETARD",IF($I30=Paramètres!$C$8,"Ce mois-ci",IF($I30=Paramètres!$C$8+1,"Mois prochain","À venir"))))))</f>
        <v>Mois prochain</v>
      </c>
      <c r="L30" s="30" t="str">
        <f t="shared" si="1"/>
        <v>Vérification à compléter avant de citer</v>
      </c>
      <c r="M30" s="31">
        <f ca="1">IF($B30="","",IF(OR($J30="Lu",$J30="Écarté"),0,IFERROR(INDEX(Paramètres!$C$17:$C$19,MATCH($H30,Paramètres!$B$17:$B$19,0)),0)+Paramètres!$C$20*(7-$I30)+IF($I30&lt;Paramètres!$C$8,Paramètres!$C$21,0)+IF($F30="Oui",Paramètres!$C$22,0)+IF($AL30&lt;&gt;"Vérifié",Paramètres!$C$23,0)+IF(AND($O30&lt;&gt;"Oui",OR($AJ30="PDF libre",$AJ30="PDF libre (dépôt)")),Paramètres!$C$24,0)))</f>
        <v>110</v>
      </c>
      <c r="N30" s="32"/>
      <c r="O30" s="33" t="str">
        <f ca="1">IF($BB30="","Non",HYPERLINK(DossierPDF&amp;$BB30,"Oui"))</f>
        <v>Oui</v>
      </c>
      <c r="P30" s="33" t="s">
        <v>235</v>
      </c>
      <c r="Q30" s="33" t="s">
        <v>235</v>
      </c>
      <c r="R30" s="33"/>
      <c r="S30" s="34"/>
      <c r="T30" s="25" t="s">
        <v>594</v>
      </c>
      <c r="U30" s="26" t="str">
        <f>IF($B30="","",IFERROR(INDEX(Paramètres!$N$6:$N$13,MATCH($T30,Paramètres!$M$6:$M$13,0)),$T30))</f>
        <v>Thèse</v>
      </c>
      <c r="V30" s="4" t="s">
        <v>595</v>
      </c>
      <c r="W30" s="28">
        <v>1963</v>
      </c>
      <c r="X30" s="4"/>
      <c r="Y30" s="25"/>
      <c r="Z30" s="25"/>
      <c r="AA30" s="25"/>
      <c r="AB30" s="25" t="s">
        <v>596</v>
      </c>
      <c r="AC30" s="25"/>
      <c r="AD30" s="25" t="s">
        <v>597</v>
      </c>
      <c r="AE30" s="25" t="s">
        <v>341</v>
      </c>
      <c r="AF30" s="35" t="s">
        <v>598</v>
      </c>
      <c r="AG30" s="27" t="str">
        <f t="shared" si="2"/>
        <v/>
      </c>
      <c r="AH30" s="27" t="str">
        <f t="shared" si="3"/>
        <v>Scholar</v>
      </c>
      <c r="AI30" s="28" t="s">
        <v>343</v>
      </c>
      <c r="AJ30" s="25" t="s">
        <v>187</v>
      </c>
      <c r="AK30" s="4" t="s">
        <v>599</v>
      </c>
      <c r="AL30" s="25" t="s">
        <v>517</v>
      </c>
      <c r="AM30" s="4" t="s">
        <v>600</v>
      </c>
      <c r="AN30" s="25" t="s">
        <v>249</v>
      </c>
      <c r="AO30" s="4" t="s">
        <v>601</v>
      </c>
      <c r="AP30" s="4" t="s">
        <v>602</v>
      </c>
      <c r="AQ30" s="25" t="s">
        <v>233</v>
      </c>
      <c r="AR30" s="26" t="str">
        <f>IF($B30="","",IFERROR(INDEX(Paramètres!$Q$6:$Q$13,MATCH($G30,Paramètres!$P$6:$P$13,0)),""))</f>
        <v>Viscoélasticité des enrobés</v>
      </c>
      <c r="AS30" s="26" t="str">
        <f>IF($B30="","",IFERROR(INDEX(Paramètres!$T$6:$T$11,MATCH($I30,Paramètres!$S$6:$S$11,0)),""))</f>
        <v>novembre 2026</v>
      </c>
      <c r="AT30" s="31">
        <f>IF($B30="","",IFERROR(INDEX(Paramètres!$C$27:$C$29,MATCH($H30,Paramètres!$B$27:$B$29,0)),0))</f>
        <v>3</v>
      </c>
      <c r="AU30" s="29"/>
      <c r="AV30" s="32"/>
      <c r="AW30" s="26" t="str">
        <f t="shared" si="4"/>
        <v>huet1963impedance.md</v>
      </c>
      <c r="AX30" s="26">
        <f>IF($B30="","",COUNTIF($I$2:I30,$I30))</f>
        <v>11</v>
      </c>
      <c r="AY30" s="26" t="str">
        <f t="shared" si="5"/>
        <v>2-11</v>
      </c>
      <c r="AZ30" s="26" t="s">
        <v>598</v>
      </c>
      <c r="BA30" s="36">
        <f t="shared" ca="1" si="6"/>
        <v>110.0097</v>
      </c>
      <c r="BB30" t="s">
        <v>4114</v>
      </c>
    </row>
    <row r="31" spans="1:54" ht="45" customHeight="1" x14ac:dyDescent="0.25">
      <c r="A31" s="25" t="s">
        <v>603</v>
      </c>
      <c r="B31" s="25" t="s">
        <v>604</v>
      </c>
      <c r="C31" s="26" t="str">
        <f t="shared" si="0"/>
        <v>Park &amp; Schapery (1999)</v>
      </c>
      <c r="D31" s="4" t="s">
        <v>605</v>
      </c>
      <c r="E31" s="27" t="str">
        <f>IF(OR($B31="",$AF31=""),"",HYPERLINK(IF(AND(Paramètres!$C$13&lt;&gt;"",$AJ31="Éditeur (abonnement)"),Paramètres!$C$13&amp;$AF31,$AF31),"Ouvrir : "&amp;$AE31))</f>
        <v>Ouvrir : Page éditeur (DOI)</v>
      </c>
      <c r="F31" s="28" t="s">
        <v>235</v>
      </c>
      <c r="G31" s="28">
        <v>3</v>
      </c>
      <c r="H31" s="25" t="s">
        <v>338</v>
      </c>
      <c r="I31" s="28">
        <v>2</v>
      </c>
      <c r="J31" s="29" t="s">
        <v>234</v>
      </c>
      <c r="K31" s="26" t="str">
        <f ca="1">IF($B31="","",IF($J31="Lu","Lu",IF($J31="Écarté","Écarté",IF($I31&lt;Paramètres!$C$8,"EN RETARD",IF($I31=Paramètres!$C$8,"Ce mois-ci",IF($I31=Paramètres!$C$8+1,"Mois prochain","À venir"))))))</f>
        <v>Mois prochain</v>
      </c>
      <c r="L31" s="30" t="str">
        <f t="shared" ca="1" si="1"/>
        <v/>
      </c>
      <c r="M31" s="31">
        <f ca="1">IF($B31="","",IF(OR($J31="Lu",$J31="Écarté"),0,IFERROR(INDEX(Paramètres!$C$17:$C$19,MATCH($H31,Paramètres!$B$17:$B$19,0)),0)+Paramètres!$C$20*(7-$I31)+IF($I31&lt;Paramètres!$C$8,Paramètres!$C$21,0)+IF($F31="Oui",Paramètres!$C$22,0)+IF($AL31&lt;&gt;"Vérifié",Paramètres!$C$23,0)+IF(AND($O31&lt;&gt;"Oui",OR($AJ31="PDF libre",$AJ31="PDF libre (dépôt)")),Paramètres!$C$24,0)))</f>
        <v>85</v>
      </c>
      <c r="N31" s="32"/>
      <c r="O31" s="33" t="str">
        <f ca="1">IF($BB31="","Non",HYPERLINK(DossierPDF&amp;$BB31,"Oui"))</f>
        <v>Oui</v>
      </c>
      <c r="P31" s="33" t="s">
        <v>235</v>
      </c>
      <c r="Q31" s="33" t="s">
        <v>235</v>
      </c>
      <c r="R31" s="33"/>
      <c r="S31" s="34"/>
      <c r="T31" s="25" t="s">
        <v>236</v>
      </c>
      <c r="U31" s="26" t="str">
        <f>IF($B31="","",IFERROR(INDEX(Paramètres!$N$6:$N$13,MATCH($T31,Paramètres!$M$6:$M$13,0)),$T31))</f>
        <v>Article de revue</v>
      </c>
      <c r="V31" s="4" t="s">
        <v>606</v>
      </c>
      <c r="W31" s="28">
        <v>1999</v>
      </c>
      <c r="X31" s="4" t="s">
        <v>607</v>
      </c>
      <c r="Y31" s="25" t="s">
        <v>608</v>
      </c>
      <c r="Z31" s="25" t="s">
        <v>609</v>
      </c>
      <c r="AA31" s="25" t="s">
        <v>610</v>
      </c>
      <c r="AB31" s="25"/>
      <c r="AC31" s="25" t="s">
        <v>611</v>
      </c>
      <c r="AD31" s="25"/>
      <c r="AE31" s="25" t="s">
        <v>243</v>
      </c>
      <c r="AF31" s="35" t="s">
        <v>612</v>
      </c>
      <c r="AG31" s="27" t="str">
        <f t="shared" si="2"/>
        <v>doi.org</v>
      </c>
      <c r="AH31" s="27" t="str">
        <f t="shared" si="3"/>
        <v>Scholar</v>
      </c>
      <c r="AI31" s="28" t="s">
        <v>245</v>
      </c>
      <c r="AJ31" s="25" t="s">
        <v>185</v>
      </c>
      <c r="AK31" s="4" t="s">
        <v>424</v>
      </c>
      <c r="AL31" s="25" t="s">
        <v>247</v>
      </c>
      <c r="AM31" s="4" t="s">
        <v>264</v>
      </c>
      <c r="AN31" s="25" t="s">
        <v>249</v>
      </c>
      <c r="AO31" s="4" t="s">
        <v>613</v>
      </c>
      <c r="AP31" s="4" t="s">
        <v>614</v>
      </c>
      <c r="AQ31" s="25" t="s">
        <v>235</v>
      </c>
      <c r="AR31" s="26" t="str">
        <f>IF($B31="","",IFERROR(INDEX(Paramètres!$Q$6:$Q$13,MATCH($G31,Paramètres!$P$6:$P$13,0)),""))</f>
        <v>Viscoélasticité des enrobés</v>
      </c>
      <c r="AS31" s="26" t="str">
        <f>IF($B31="","",IFERROR(INDEX(Paramètres!$T$6:$T$11,MATCH($I31,Paramètres!$S$6:$S$11,0)),""))</f>
        <v>novembre 2026</v>
      </c>
      <c r="AT31" s="31">
        <f>IF($B31="","",IFERROR(INDEX(Paramètres!$C$27:$C$29,MATCH($H31,Paramètres!$B$27:$B$29,0)),0))</f>
        <v>3</v>
      </c>
      <c r="AU31" s="29"/>
      <c r="AV31" s="32"/>
      <c r="AW31" s="26" t="str">
        <f t="shared" si="4"/>
        <v>park1999prony.md</v>
      </c>
      <c r="AX31" s="26">
        <f>IF($B31="","",COUNTIF($I$2:I31,$I31))</f>
        <v>12</v>
      </c>
      <c r="AY31" s="26" t="str">
        <f t="shared" si="5"/>
        <v>2-12</v>
      </c>
      <c r="AZ31" s="26" t="s">
        <v>615</v>
      </c>
      <c r="BA31" s="36">
        <f t="shared" ca="1" si="6"/>
        <v>85.009690000000006</v>
      </c>
      <c r="BB31" t="s">
        <v>4115</v>
      </c>
    </row>
    <row r="32" spans="1:54" ht="45" hidden="1" customHeight="1" x14ac:dyDescent="0.25">
      <c r="A32" s="25" t="s">
        <v>616</v>
      </c>
      <c r="B32" s="25" t="s">
        <v>617</v>
      </c>
      <c r="C32" s="26" t="str">
        <f t="shared" si="0"/>
        <v>Sayegh (1965)</v>
      </c>
      <c r="D32" s="4" t="s">
        <v>618</v>
      </c>
      <c r="E32" s="27" t="str">
        <f>IF(OR($B32="",$AF32=""),"",HYPERLINK(IF(AND(Paramètres!$C$13&lt;&gt;"",$AJ32="Éditeur (abonnement)"),Paramètres!$C$13&amp;$AF32,$AF32),"Ouvrir : "&amp;$AE32))</f>
        <v>Ouvrir : Recherche Google Scholar</v>
      </c>
      <c r="F32" s="28" t="s">
        <v>233</v>
      </c>
      <c r="G32" s="28">
        <v>3</v>
      </c>
      <c r="H32" s="25" t="s">
        <v>338</v>
      </c>
      <c r="I32" s="28">
        <v>2</v>
      </c>
      <c r="J32" s="29" t="s">
        <v>234</v>
      </c>
      <c r="K32" s="26" t="str">
        <f ca="1">IF($B32="","",IF($J32="Lu","Lu",IF($J32="Écarté","Écarté",IF($I32&lt;Paramètres!$C$8,"EN RETARD",IF($I32=Paramètres!$C$8,"Ce mois-ci",IF($I32=Paramètres!$C$8+1,"Mois prochain","À venir"))))))</f>
        <v>Mois prochain</v>
      </c>
      <c r="L32" s="30" t="str">
        <f t="shared" si="1"/>
        <v>Vérification à compléter avant de citer</v>
      </c>
      <c r="M32" s="31">
        <f ca="1">IF($B32="","",IF(OR($J32="Lu",$J32="Écarté"),0,IFERROR(INDEX(Paramètres!$C$17:$C$19,MATCH($H32,Paramètres!$B$17:$B$19,0)),0)+Paramètres!$C$20*(7-$I32)+IF($I32&lt;Paramètres!$C$8,Paramètres!$C$21,0)+IF($F32="Oui",Paramètres!$C$22,0)+IF($AL32&lt;&gt;"Vérifié",Paramètres!$C$23,0)+IF(AND($O32&lt;&gt;"Oui",OR($AJ32="PDF libre",$AJ32="PDF libre (dépôt)")),Paramètres!$C$24,0)))</f>
        <v>110</v>
      </c>
      <c r="N32" s="32"/>
      <c r="O32" s="33" t="str">
        <f>IF($BB32="","Non",HYPERLINK(DossierPDF&amp;$BB32,"Oui"))</f>
        <v>Non</v>
      </c>
      <c r="P32" s="33" t="s">
        <v>235</v>
      </c>
      <c r="Q32" s="33" t="s">
        <v>235</v>
      </c>
      <c r="R32" s="33"/>
      <c r="S32" s="34"/>
      <c r="T32" s="25" t="s">
        <v>594</v>
      </c>
      <c r="U32" s="26" t="str">
        <f>IF($B32="","",IFERROR(INDEX(Paramètres!$N$6:$N$13,MATCH($T32,Paramètres!$M$6:$M$13,0)),$T32))</f>
        <v>Thèse</v>
      </c>
      <c r="V32" s="4" t="s">
        <v>619</v>
      </c>
      <c r="W32" s="28">
        <v>1965</v>
      </c>
      <c r="X32" s="4"/>
      <c r="Y32" s="25"/>
      <c r="Z32" s="25"/>
      <c r="AA32" s="25"/>
      <c r="AB32" s="25" t="s">
        <v>620</v>
      </c>
      <c r="AC32" s="25"/>
      <c r="AD32" s="25" t="s">
        <v>597</v>
      </c>
      <c r="AE32" s="25" t="s">
        <v>341</v>
      </c>
      <c r="AF32" s="35" t="s">
        <v>621</v>
      </c>
      <c r="AG32" s="27" t="str">
        <f t="shared" si="2"/>
        <v/>
      </c>
      <c r="AH32" s="27" t="str">
        <f t="shared" si="3"/>
        <v>Scholar</v>
      </c>
      <c r="AI32" s="28" t="s">
        <v>343</v>
      </c>
      <c r="AJ32" s="25" t="s">
        <v>187</v>
      </c>
      <c r="AK32" s="4" t="s">
        <v>599</v>
      </c>
      <c r="AL32" s="25" t="s">
        <v>517</v>
      </c>
      <c r="AM32" s="4" t="s">
        <v>600</v>
      </c>
      <c r="AN32" s="25" t="s">
        <v>249</v>
      </c>
      <c r="AO32" s="4" t="s">
        <v>622</v>
      </c>
      <c r="AP32" s="4" t="s">
        <v>623</v>
      </c>
      <c r="AQ32" s="25" t="s">
        <v>233</v>
      </c>
      <c r="AR32" s="26" t="str">
        <f>IF($B32="","",IFERROR(INDEX(Paramètres!$Q$6:$Q$13,MATCH($G32,Paramètres!$P$6:$P$13,0)),""))</f>
        <v>Viscoélasticité des enrobés</v>
      </c>
      <c r="AS32" s="26" t="str">
        <f>IF($B32="","",IFERROR(INDEX(Paramètres!$T$6:$T$11,MATCH($I32,Paramètres!$S$6:$S$11,0)),""))</f>
        <v>novembre 2026</v>
      </c>
      <c r="AT32" s="31">
        <f>IF($B32="","",IFERROR(INDEX(Paramètres!$C$27:$C$29,MATCH($H32,Paramètres!$B$27:$B$29,0)),0))</f>
        <v>3</v>
      </c>
      <c r="AU32" s="29"/>
      <c r="AV32" s="32"/>
      <c r="AW32" s="26" t="str">
        <f t="shared" si="4"/>
        <v>sayegh1965viscoelastiques.md</v>
      </c>
      <c r="AX32" s="26">
        <f>IF($B32="","",COUNTIF($I$2:I32,$I32))</f>
        <v>13</v>
      </c>
      <c r="AY32" s="26" t="str">
        <f t="shared" si="5"/>
        <v>2-13</v>
      </c>
      <c r="AZ32" s="26" t="s">
        <v>621</v>
      </c>
      <c r="BA32" s="36">
        <f t="shared" ca="1" si="6"/>
        <v>110.00968</v>
      </c>
    </row>
    <row r="33" spans="1:54" ht="45" customHeight="1" x14ac:dyDescent="0.25">
      <c r="A33" s="25" t="s">
        <v>624</v>
      </c>
      <c r="B33" s="25" t="s">
        <v>625</v>
      </c>
      <c r="C33" s="26" t="str">
        <f t="shared" si="0"/>
        <v>Behroozi et al. (2012)</v>
      </c>
      <c r="D33" s="4" t="s">
        <v>626</v>
      </c>
      <c r="E33" s="27" t="str">
        <f>IF(OR($B33="",$AF33=""),"",HYPERLINK(IF(AND(Paramètres!$C$13&lt;&gt;"",$AJ33="Éditeur (abonnement)"),Paramètres!$C$13&amp;$AF33,$AF33),"Ouvrir : "&amp;$AE33))</f>
        <v>Ouvrir : Page éditeur (DOI)</v>
      </c>
      <c r="F33" s="28" t="s">
        <v>235</v>
      </c>
      <c r="G33" s="28">
        <v>2</v>
      </c>
      <c r="H33" s="25" t="s">
        <v>405</v>
      </c>
      <c r="I33" s="28">
        <v>2</v>
      </c>
      <c r="J33" s="29" t="s">
        <v>234</v>
      </c>
      <c r="K33" s="26" t="str">
        <f ca="1">IF($B33="","",IF($J33="Lu","Lu",IF($J33="Écarté","Écarté",IF($I33&lt;Paramètres!$C$8,"EN RETARD",IF($I33=Paramètres!$C$8,"Ce mois-ci",IF($I33=Paramètres!$C$8+1,"Mois prochain","À venir"))))))</f>
        <v>Mois prochain</v>
      </c>
      <c r="L33" s="30" t="str">
        <f t="shared" ca="1" si="1"/>
        <v/>
      </c>
      <c r="M33" s="31">
        <f ca="1">IF($B33="","",IF(OR($J33="Lu",$J33="Écarté"),0,IFERROR(INDEX(Paramètres!$C$17:$C$19,MATCH($H33,Paramètres!$B$17:$B$19,0)),0)+Paramètres!$C$20*(7-$I33)+IF($I33&lt;Paramètres!$C$8,Paramètres!$C$21,0)+IF($F33="Oui",Paramètres!$C$22,0)+IF($AL33&lt;&gt;"Vérifié",Paramètres!$C$23,0)+IF(AND($O33&lt;&gt;"Oui",OR($AJ33="PDF libre",$AJ33="PDF libre (dépôt)")),Paramètres!$C$24,0)))</f>
        <v>55</v>
      </c>
      <c r="N33" s="32"/>
      <c r="O33" s="33" t="str">
        <f ca="1">IF($BB33="","Non",HYPERLINK(DossierPDF&amp;$BB33,"Oui"))</f>
        <v>Oui</v>
      </c>
      <c r="P33" s="33" t="s">
        <v>235</v>
      </c>
      <c r="Q33" s="33" t="s">
        <v>235</v>
      </c>
      <c r="R33" s="33"/>
      <c r="S33" s="34"/>
      <c r="T33" s="25" t="s">
        <v>236</v>
      </c>
      <c r="U33" s="26" t="str">
        <f>IF($B33="","",IFERROR(INDEX(Paramètres!$N$6:$N$13,MATCH($T33,Paramètres!$M$6:$M$13,0)),$T33))</f>
        <v>Article de revue</v>
      </c>
      <c r="V33" s="4" t="s">
        <v>627</v>
      </c>
      <c r="W33" s="28">
        <v>2012</v>
      </c>
      <c r="X33" s="4" t="s">
        <v>628</v>
      </c>
      <c r="Y33" s="25" t="s">
        <v>629</v>
      </c>
      <c r="Z33" s="25"/>
      <c r="AA33" s="25" t="s">
        <v>630</v>
      </c>
      <c r="AB33" s="25"/>
      <c r="AC33" s="25" t="s">
        <v>631</v>
      </c>
      <c r="AD33" s="25"/>
      <c r="AE33" s="25" t="s">
        <v>243</v>
      </c>
      <c r="AF33" s="35" t="s">
        <v>632</v>
      </c>
      <c r="AG33" s="27" t="str">
        <f t="shared" si="2"/>
        <v>doi.org</v>
      </c>
      <c r="AH33" s="27" t="str">
        <f t="shared" si="3"/>
        <v>Scholar</v>
      </c>
      <c r="AI33" s="28" t="s">
        <v>245</v>
      </c>
      <c r="AJ33" s="25" t="s">
        <v>185</v>
      </c>
      <c r="AK33" s="4" t="s">
        <v>424</v>
      </c>
      <c r="AL33" s="25" t="s">
        <v>247</v>
      </c>
      <c r="AM33" s="4" t="s">
        <v>481</v>
      </c>
      <c r="AN33" s="25" t="s">
        <v>249</v>
      </c>
      <c r="AO33" s="4" t="s">
        <v>633</v>
      </c>
      <c r="AP33" s="4"/>
      <c r="AQ33" s="25" t="s">
        <v>235</v>
      </c>
      <c r="AR33" s="26" t="str">
        <f>IF($B33="","",IFERROR(INDEX(Paramètres!$Q$6:$Q$13,MATCH($G33,Paramètres!$P$6:$P$13,0)),""))</f>
        <v>Modélisation du pneu et du contact</v>
      </c>
      <c r="AS33" s="26" t="str">
        <f>IF($B33="","",IFERROR(INDEX(Paramètres!$T$6:$T$11,MATCH($I33,Paramètres!$S$6:$S$11,0)),""))</f>
        <v>novembre 2026</v>
      </c>
      <c r="AT33" s="31">
        <f>IF($B33="","",IFERROR(INDEX(Paramètres!$C$27:$C$29,MATCH($H33,Paramètres!$B$27:$B$29,0)),0))</f>
        <v>1</v>
      </c>
      <c r="AU33" s="29"/>
      <c r="AV33" s="32"/>
      <c r="AW33" s="26" t="str">
        <f t="shared" si="4"/>
        <v>behroozi2012aircraft.md</v>
      </c>
      <c r="AX33" s="26">
        <f>IF($B33="","",COUNTIF($I$2:I33,$I33))</f>
        <v>14</v>
      </c>
      <c r="AY33" s="26" t="str">
        <f t="shared" si="5"/>
        <v>2-14</v>
      </c>
      <c r="AZ33" s="26" t="s">
        <v>634</v>
      </c>
      <c r="BA33" s="36">
        <f t="shared" ca="1" si="6"/>
        <v>55.00967</v>
      </c>
      <c r="BB33" t="s">
        <v>4116</v>
      </c>
    </row>
    <row r="34" spans="1:54" ht="45" customHeight="1" x14ac:dyDescent="0.25">
      <c r="A34" s="25" t="s">
        <v>635</v>
      </c>
      <c r="B34" s="25" t="s">
        <v>636</v>
      </c>
      <c r="C34" s="26" t="str">
        <f t="shared" ref="C34:C65" si="7">IF($B34="","",IFERROR(LEFT(LEFT($V34,FIND(";",$V34&amp;";")-1),FIND(",",LEFT($V34,FIND(";",$V34&amp;";")-1))-1),LEFT($V34,FIND(";",$V34&amp;";")-1))&amp;IF((LEN($V34)-LEN(SUBSTITUTE($V34,";",""))+1)=1,"",IF((LEN($V34)-LEN(SUBSTITUTE($V34,";",""))+1)=2," &amp; "&amp;IFERROR(LEFT(TRIM(MID($V34,FIND(";",$V34)+1,FIND(";",$V34&amp;";",FIND(";",$V34)+1)-FIND(";",$V34)-1)),FIND(",",TRIM(MID($V34,FIND(";",$V34)+1,FIND(";",$V34&amp;";",FIND(";",$V34)+1)-FIND(";",$V34)-1)))-1),TRIM(MID($V34,FIND(";",$V34)+1,FIND(";",$V34&amp;";",FIND(";",$V34)+1)-FIND(";",$V34)-1)))," et al."))&amp;" ("&amp;$W34&amp;")")</f>
        <v>El Fahham et al. (2023)</v>
      </c>
      <c r="D34" s="4" t="s">
        <v>637</v>
      </c>
      <c r="E34" s="27" t="str">
        <f>IF(OR($B34="",$AF34=""),"",HYPERLINK(IF(AND(Paramètres!$C$13&lt;&gt;"",$AJ34="Éditeur (abonnement)"),Paramètres!$C$13&amp;$AF34,$AF34),"Ouvrir : "&amp;$AE34))</f>
        <v>Ouvrir : Page éditeur (DOI)</v>
      </c>
      <c r="F34" s="28" t="s">
        <v>233</v>
      </c>
      <c r="G34" s="28">
        <v>2</v>
      </c>
      <c r="H34" s="25" t="s">
        <v>405</v>
      </c>
      <c r="I34" s="28">
        <v>2</v>
      </c>
      <c r="J34" s="29" t="s">
        <v>234</v>
      </c>
      <c r="K34" s="26" t="str">
        <f ca="1">IF($B34="","",IF($J34="Lu","Lu",IF($J34="Écarté","Écarté",IF($I34&lt;Paramètres!$C$8,"EN RETARD",IF($I34=Paramètres!$C$8,"Ce mois-ci",IF($I34=Paramètres!$C$8+1,"Mois prochain","À venir"))))))</f>
        <v>Mois prochain</v>
      </c>
      <c r="L34" s="30" t="str">
        <f t="shared" ref="L34:L65" ca="1" si="8">IF($B34="","",IF($AL34="Non vérifié","Ne pas citer en l'état : métadonnées non vérifiées",IF($AL34="Partiel","Vérification à compléter avant de citer",IF($O34="Oui","",IF(OR($AJ34="PDF libre",$AJ34="PDF libre (dépôt)"),"PDF libre à télécharger",IF($AJ34="Éditeur (abonnement)","À télécharger via l'accès ENTPE",IF($AJ34="Payant (boutique)","À consulter via l'abonnement de l'école",IF($AJ34="Non diffusé (à demander)","Document à demander (feuille Demandes)","Texte intégral à localiser"))))))))</f>
        <v/>
      </c>
      <c r="M34" s="31">
        <f ca="1">IF($B34="","",IF(OR($J34="Lu",$J34="Écarté"),0,IFERROR(INDEX(Paramètres!$C$17:$C$19,MATCH($H34,Paramètres!$B$17:$B$19,0)),0)+Paramètres!$C$20*(7-$I34)+IF($I34&lt;Paramètres!$C$8,Paramètres!$C$21,0)+IF($F34="Oui",Paramètres!$C$22,0)+IF($AL34&lt;&gt;"Vérifié",Paramètres!$C$23,0)+IF(AND($O34&lt;&gt;"Oui",OR($AJ34="PDF libre",$AJ34="PDF libre (dépôt)")),Paramètres!$C$24,0)))</f>
        <v>65</v>
      </c>
      <c r="N34" s="32"/>
      <c r="O34" s="33" t="str">
        <f ca="1">IF($BB34="","Non",HYPERLINK(DossierPDF&amp;$BB34,"Oui"))</f>
        <v>Oui</v>
      </c>
      <c r="P34" s="33" t="s">
        <v>235</v>
      </c>
      <c r="Q34" s="33" t="s">
        <v>235</v>
      </c>
      <c r="R34" s="33"/>
      <c r="S34" s="34"/>
      <c r="T34" s="25" t="s">
        <v>236</v>
      </c>
      <c r="U34" s="26" t="str">
        <f>IF($B34="","",IFERROR(INDEX(Paramètres!$N$6:$N$13,MATCH($T34,Paramètres!$M$6:$M$13,0)),$T34))</f>
        <v>Article de revue</v>
      </c>
      <c r="V34" s="4" t="s">
        <v>638</v>
      </c>
      <c r="W34" s="28">
        <v>2023</v>
      </c>
      <c r="X34" s="4" t="s">
        <v>639</v>
      </c>
      <c r="Y34" s="25" t="s">
        <v>640</v>
      </c>
      <c r="Z34" s="25"/>
      <c r="AA34" s="25" t="s">
        <v>641</v>
      </c>
      <c r="AB34" s="25"/>
      <c r="AC34" s="25" t="s">
        <v>642</v>
      </c>
      <c r="AD34" s="25"/>
      <c r="AE34" s="25" t="s">
        <v>243</v>
      </c>
      <c r="AF34" s="35" t="s">
        <v>643</v>
      </c>
      <c r="AG34" s="27" t="str">
        <f t="shared" ref="AG34:AG65" si="9">IF($AC34="","",HYPERLINK("https://doi.org/"&amp;$AC34,"doi.org"))</f>
        <v>doi.org</v>
      </c>
      <c r="AH34" s="27" t="str">
        <f t="shared" ref="AH34:AH65" si="10">IF($AZ34="","",HYPERLINK($AZ34,"Scholar"))</f>
        <v>Scholar</v>
      </c>
      <c r="AI34" s="28" t="s">
        <v>245</v>
      </c>
      <c r="AJ34" s="25" t="s">
        <v>185</v>
      </c>
      <c r="AK34" s="4" t="s">
        <v>424</v>
      </c>
      <c r="AL34" s="25" t="s">
        <v>247</v>
      </c>
      <c r="AM34" s="4" t="s">
        <v>264</v>
      </c>
      <c r="AN34" s="25" t="s">
        <v>249</v>
      </c>
      <c r="AO34" s="4" t="s">
        <v>644</v>
      </c>
      <c r="AP34" s="4"/>
      <c r="AQ34" s="25" t="s">
        <v>235</v>
      </c>
      <c r="AR34" s="26" t="str">
        <f>IF($B34="","",IFERROR(INDEX(Paramètres!$Q$6:$Q$13,MATCH($G34,Paramètres!$P$6:$P$13,0)),""))</f>
        <v>Modélisation du pneu et du contact</v>
      </c>
      <c r="AS34" s="26" t="str">
        <f>IF($B34="","",IFERROR(INDEX(Paramètres!$T$6:$T$11,MATCH($I34,Paramètres!$S$6:$S$11,0)),""))</f>
        <v>novembre 2026</v>
      </c>
      <c r="AT34" s="31">
        <f>IF($B34="","",IFERROR(INDEX(Paramètres!$C$27:$C$29,MATCH($H34,Paramètres!$B$27:$B$29,0)),0))</f>
        <v>1</v>
      </c>
      <c r="AU34" s="29"/>
      <c r="AV34" s="32"/>
      <c r="AW34" s="26" t="str">
        <f t="shared" ref="AW34:AW65" si="11">IF($B34="","",$B34&amp;".md")</f>
        <v>elfahham2023tire.md</v>
      </c>
      <c r="AX34" s="26">
        <f>IF($B34="","",COUNTIF($I$2:I34,$I34))</f>
        <v>15</v>
      </c>
      <c r="AY34" s="26" t="str">
        <f t="shared" ref="AY34:AY65" si="12">IF($B34="","",$I34&amp;"-"&amp;$AX34)</f>
        <v>2-15</v>
      </c>
      <c r="AZ34" s="26" t="s">
        <v>645</v>
      </c>
      <c r="BA34" s="36">
        <f t="shared" ref="BA34:BA65" ca="1" si="13">IF($B34="","",$M34+(1000-ROW())/100000)</f>
        <v>65.009659999999997</v>
      </c>
      <c r="BB34" t="s">
        <v>4117</v>
      </c>
    </row>
    <row r="35" spans="1:54" ht="45" customHeight="1" x14ac:dyDescent="0.25">
      <c r="A35" s="25" t="s">
        <v>646</v>
      </c>
      <c r="B35" s="25" t="s">
        <v>647</v>
      </c>
      <c r="C35" s="26" t="str">
        <f t="shared" si="7"/>
        <v>Ford &amp; Charles (1988)</v>
      </c>
      <c r="D35" s="4" t="s">
        <v>648</v>
      </c>
      <c r="E35" s="27" t="str">
        <f>IF(OR($B35="",$AF35=""),"",HYPERLINK(IF(AND(Paramètres!$C$13&lt;&gt;"",$AJ35="Éditeur (abonnement)"),Paramètres!$C$13&amp;$AF35,$AF35),"Ouvrir : "&amp;$AE35))</f>
        <v>Ouvrir : Page éditeur (DOI)</v>
      </c>
      <c r="F35" s="28" t="s">
        <v>233</v>
      </c>
      <c r="G35" s="28">
        <v>2</v>
      </c>
      <c r="H35" s="25" t="s">
        <v>405</v>
      </c>
      <c r="I35" s="28">
        <v>2</v>
      </c>
      <c r="J35" s="29" t="s">
        <v>234</v>
      </c>
      <c r="K35" s="26" t="str">
        <f ca="1">IF($B35="","",IF($J35="Lu","Lu",IF($J35="Écarté","Écarté",IF($I35&lt;Paramètres!$C$8,"EN RETARD",IF($I35=Paramètres!$C$8,"Ce mois-ci",IF($I35=Paramètres!$C$8+1,"Mois prochain","À venir"))))))</f>
        <v>Mois prochain</v>
      </c>
      <c r="L35" s="30" t="str">
        <f t="shared" si="8"/>
        <v>À consulter via l'abonnement de l'école</v>
      </c>
      <c r="M35" s="31">
        <f ca="1">IF($B35="","",IF(OR($J35="Lu",$J35="Écarté"),0,IFERROR(INDEX(Paramètres!$C$17:$C$19,MATCH($H35,Paramètres!$B$17:$B$19,0)),0)+Paramètres!$C$20*(7-$I35)+IF($I35&lt;Paramètres!$C$8,Paramètres!$C$21,0)+IF($F35="Oui",Paramètres!$C$22,0)+IF($AL35&lt;&gt;"Vérifié",Paramètres!$C$23,0)+IF(AND($O35&lt;&gt;"Oui",OR($AJ35="PDF libre",$AJ35="PDF libre (dépôt)")),Paramètres!$C$24,0)))</f>
        <v>65</v>
      </c>
      <c r="N35" s="32"/>
      <c r="O35" s="33" t="str">
        <f>IF($BB35="","Non",HYPERLINK(DossierPDF&amp;$BB35,"Oui"))</f>
        <v>Oui</v>
      </c>
      <c r="P35" s="33" t="s">
        <v>235</v>
      </c>
      <c r="Q35" s="33" t="s">
        <v>235</v>
      </c>
      <c r="R35" s="33"/>
      <c r="S35" s="34"/>
      <c r="T35" s="25" t="s">
        <v>286</v>
      </c>
      <c r="U35" s="26" t="str">
        <f>IF($B35="","",IFERROR(INDEX(Paramètres!$N$6:$N$13,MATCH($T35,Paramètres!$M$6:$M$13,0)),$T35))</f>
        <v>Communication (actes)</v>
      </c>
      <c r="V35" s="4" t="s">
        <v>649</v>
      </c>
      <c r="W35" s="28">
        <v>1988</v>
      </c>
      <c r="X35" s="4" t="s">
        <v>650</v>
      </c>
      <c r="Y35" s="25"/>
      <c r="Z35" s="25"/>
      <c r="AA35" s="25"/>
      <c r="AB35" s="25" t="s">
        <v>441</v>
      </c>
      <c r="AC35" s="25" t="s">
        <v>651</v>
      </c>
      <c r="AD35" s="25" t="s">
        <v>652</v>
      </c>
      <c r="AE35" s="25" t="s">
        <v>243</v>
      </c>
      <c r="AF35" s="35" t="s">
        <v>653</v>
      </c>
      <c r="AG35" s="27" t="str">
        <f t="shared" si="9"/>
        <v>doi.org</v>
      </c>
      <c r="AH35" s="27" t="str">
        <f t="shared" si="10"/>
        <v>Scholar</v>
      </c>
      <c r="AI35" s="28" t="s">
        <v>245</v>
      </c>
      <c r="AJ35" s="25" t="s">
        <v>186</v>
      </c>
      <c r="AK35" s="4" t="s">
        <v>654</v>
      </c>
      <c r="AL35" s="25" t="s">
        <v>247</v>
      </c>
      <c r="AM35" s="4" t="s">
        <v>655</v>
      </c>
      <c r="AN35" s="25" t="s">
        <v>249</v>
      </c>
      <c r="AO35" s="4" t="s">
        <v>656</v>
      </c>
      <c r="AP35" s="4"/>
      <c r="AQ35" s="25" t="s">
        <v>233</v>
      </c>
      <c r="AR35" s="26" t="str">
        <f>IF($B35="","",IFERROR(INDEX(Paramètres!$Q$6:$Q$13,MATCH($G35,Paramètres!$P$6:$P$13,0)),""))</f>
        <v>Modélisation du pneu et du contact</v>
      </c>
      <c r="AS35" s="26" t="str">
        <f>IF($B35="","",IFERROR(INDEX(Paramètres!$T$6:$T$11,MATCH($I35,Paramètres!$S$6:$S$11,0)),""))</f>
        <v>novembre 2026</v>
      </c>
      <c r="AT35" s="31">
        <f>IF($B35="","",IFERROR(INDEX(Paramètres!$C$27:$C$29,MATCH($H35,Paramètres!$B$27:$B$29,0)),0))</f>
        <v>1</v>
      </c>
      <c r="AU35" s="29"/>
      <c r="AV35" s="32"/>
      <c r="AW35" s="26" t="str">
        <f t="shared" si="11"/>
        <v>ford1988truck.md</v>
      </c>
      <c r="AX35" s="26">
        <f>IF($B35="","",COUNTIF($I$2:I35,$I35))</f>
        <v>16</v>
      </c>
      <c r="AY35" s="26" t="str">
        <f t="shared" si="12"/>
        <v>2-16</v>
      </c>
      <c r="AZ35" s="26" t="s">
        <v>657</v>
      </c>
      <c r="BA35" s="36">
        <f t="shared" ca="1" si="13"/>
        <v>65.009649999999993</v>
      </c>
      <c r="BB35" t="inlineStr">
        <is>
          <t>BIB-034_Ford-Charles_1988_Heavy-duty-truck-tire-engineering.pdf</t>
        </is>
      </c>
    </row>
    <row r="36" spans="1:54" ht="45" hidden="1" customHeight="1" x14ac:dyDescent="0.25">
      <c r="A36" s="25" t="s">
        <v>658</v>
      </c>
      <c r="B36" s="25" t="s">
        <v>659</v>
      </c>
      <c r="C36" s="26" t="str">
        <f t="shared" si="7"/>
        <v>Gent &amp; Walter (2006)</v>
      </c>
      <c r="D36" s="4" t="s">
        <v>660</v>
      </c>
      <c r="E36" s="27" t="str">
        <f>IF(OR($B36="",$AF36=""),"",HYPERLINK(IF(AND(Paramètres!$C$13&lt;&gt;"",$AJ36="Éditeur (abonnement)"),Paramètres!$C$13&amp;$AF36,$AF36),"Ouvrir : "&amp;$AE36))</f>
        <v>Ouvrir : Texte intégral libre</v>
      </c>
      <c r="F36" s="28" t="s">
        <v>235</v>
      </c>
      <c r="G36" s="28">
        <v>2</v>
      </c>
      <c r="H36" s="25" t="s">
        <v>405</v>
      </c>
      <c r="I36" s="28">
        <v>2</v>
      </c>
      <c r="J36" s="29" t="s">
        <v>234</v>
      </c>
      <c r="K36" s="26" t="str">
        <f ca="1">IF($B36="","",IF($J36="Lu","Lu",IF($J36="Écarté","Écarté",IF($I36&lt;Paramètres!$C$8,"EN RETARD",IF($I36=Paramètres!$C$8,"Ce mois-ci",IF($I36=Paramètres!$C$8+1,"Mois prochain","À venir"))))))</f>
        <v>Mois prochain</v>
      </c>
      <c r="L36" s="30" t="str">
        <f t="shared" ca="1" si="8"/>
        <v/>
      </c>
      <c r="M36" s="31">
        <f ca="1">IF($B36="","",IF(OR($J36="Lu",$J36="Écarté"),0,IFERROR(INDEX(Paramètres!$C$17:$C$19,MATCH($H36,Paramètres!$B$17:$B$19,0)),0)+Paramètres!$C$20*(7-$I36)+IF($I36&lt;Paramètres!$C$8,Paramètres!$C$21,0)+IF($F36="Oui",Paramètres!$C$22,0)+IF($AL36&lt;&gt;"Vérifié",Paramètres!$C$23,0)+IF(AND($O36&lt;&gt;"Oui",OR($AJ36="PDF libre",$AJ36="PDF libre (dépôt)")),Paramètres!$C$24,0)))</f>
        <v>55</v>
      </c>
      <c r="N36" s="32"/>
      <c r="O36" s="33" t="str">
        <f ca="1">IF($BB36="","Non",HYPERLINK(DossierPDF&amp;$BB36,"Oui"))</f>
        <v>Oui</v>
      </c>
      <c r="P36" s="33" t="s">
        <v>235</v>
      </c>
      <c r="Q36" s="33" t="s">
        <v>235</v>
      </c>
      <c r="R36" s="33"/>
      <c r="S36" s="34"/>
      <c r="T36" s="25" t="s">
        <v>661</v>
      </c>
      <c r="U36" s="26" t="str">
        <f>IF($B36="","",IFERROR(INDEX(Paramètres!$N$6:$N$13,MATCH($T36,Paramètres!$M$6:$M$13,0)),$T36))</f>
        <v>Ouvrage / guide</v>
      </c>
      <c r="V36" s="4" t="s">
        <v>662</v>
      </c>
      <c r="W36" s="28">
        <v>2006</v>
      </c>
      <c r="X36" s="4"/>
      <c r="Y36" s="25"/>
      <c r="Z36" s="25"/>
      <c r="AA36" s="25"/>
      <c r="AB36" s="25" t="s">
        <v>663</v>
      </c>
      <c r="AC36" s="25"/>
      <c r="AD36" s="25" t="s">
        <v>664</v>
      </c>
      <c r="AE36" s="25" t="s">
        <v>275</v>
      </c>
      <c r="AF36" s="35" t="s">
        <v>665</v>
      </c>
      <c r="AG36" s="27" t="str">
        <f t="shared" si="9"/>
        <v/>
      </c>
      <c r="AH36" s="27" t="str">
        <f t="shared" si="10"/>
        <v>Scholar</v>
      </c>
      <c r="AI36" s="28" t="s">
        <v>277</v>
      </c>
      <c r="AJ36" s="25" t="s">
        <v>183</v>
      </c>
      <c r="AK36" s="4" t="s">
        <v>666</v>
      </c>
      <c r="AL36" s="25" t="s">
        <v>247</v>
      </c>
      <c r="AM36" s="4" t="s">
        <v>667</v>
      </c>
      <c r="AN36" s="25" t="s">
        <v>249</v>
      </c>
      <c r="AO36" s="4" t="s">
        <v>668</v>
      </c>
      <c r="AP36" s="4"/>
      <c r="AQ36" s="25" t="s">
        <v>235</v>
      </c>
      <c r="AR36" s="26" t="str">
        <f>IF($B36="","",IFERROR(INDEX(Paramètres!$Q$6:$Q$13,MATCH($G36,Paramètres!$P$6:$P$13,0)),""))</f>
        <v>Modélisation du pneu et du contact</v>
      </c>
      <c r="AS36" s="26" t="str">
        <f>IF($B36="","",IFERROR(INDEX(Paramètres!$T$6:$T$11,MATCH($I36,Paramètres!$S$6:$S$11,0)),""))</f>
        <v>novembre 2026</v>
      </c>
      <c r="AT36" s="31">
        <f>IF($B36="","",IFERROR(INDEX(Paramètres!$C$27:$C$29,MATCH($H36,Paramètres!$B$27:$B$29,0)),0))</f>
        <v>1</v>
      </c>
      <c r="AU36" s="29"/>
      <c r="AV36" s="32"/>
      <c r="AW36" s="26" t="str">
        <f t="shared" si="11"/>
        <v>gent2006pneumatic.md</v>
      </c>
      <c r="AX36" s="26">
        <f>IF($B36="","",COUNTIF($I$2:I36,$I36))</f>
        <v>17</v>
      </c>
      <c r="AY36" s="26" t="str">
        <f t="shared" si="12"/>
        <v>2-17</v>
      </c>
      <c r="AZ36" s="26" t="s">
        <v>669</v>
      </c>
      <c r="BA36" s="36">
        <f t="shared" ca="1" si="13"/>
        <v>55.009639999999997</v>
      </c>
      <c r="BB36" t="s">
        <v>4118</v>
      </c>
    </row>
    <row r="37" spans="1:54" ht="45" customHeight="1" x14ac:dyDescent="0.25">
      <c r="A37" s="25" t="s">
        <v>670</v>
      </c>
      <c r="B37" s="25" t="s">
        <v>671</v>
      </c>
      <c r="C37" s="26" t="str">
        <f t="shared" si="7"/>
        <v>Hernandez &amp; Al-Qadi (2016)</v>
      </c>
      <c r="D37" s="4" t="s">
        <v>672</v>
      </c>
      <c r="E37" s="27" t="str">
        <f>IF(OR($B37="",$AF37=""),"",HYPERLINK(IF(AND(Paramètres!$C$13&lt;&gt;"",$AJ37="Éditeur (abonnement)"),Paramètres!$C$13&amp;$AF37,$AF37),"Ouvrir : "&amp;$AE37))</f>
        <v>Ouvrir : Page éditeur (DOI)</v>
      </c>
      <c r="F37" s="28" t="s">
        <v>235</v>
      </c>
      <c r="G37" s="28">
        <v>2</v>
      </c>
      <c r="H37" s="25" t="s">
        <v>405</v>
      </c>
      <c r="I37" s="28">
        <v>2</v>
      </c>
      <c r="J37" s="29" t="s">
        <v>234</v>
      </c>
      <c r="K37" s="26" t="str">
        <f ca="1">IF($B37="","",IF($J37="Lu","Lu",IF($J37="Écarté","Écarté",IF($I37&lt;Paramètres!$C$8,"EN RETARD",IF($I37=Paramètres!$C$8,"Ce mois-ci",IF($I37=Paramètres!$C$8+1,"Mois prochain","À venir"))))))</f>
        <v>Mois prochain</v>
      </c>
      <c r="L37" s="30" t="str">
        <f t="shared" si="8"/>
        <v>À télécharger via l'accès ENTPE</v>
      </c>
      <c r="M37" s="31">
        <f ca="1">IF($B37="","",IF(OR($J37="Lu",$J37="Écarté"),0,IFERROR(INDEX(Paramètres!$C$17:$C$19,MATCH($H37,Paramètres!$B$17:$B$19,0)),0)+Paramètres!$C$20*(7-$I37)+IF($I37&lt;Paramètres!$C$8,Paramètres!$C$21,0)+IF($F37="Oui",Paramètres!$C$22,0)+IF($AL37&lt;&gt;"Vérifié",Paramètres!$C$23,0)+IF(AND($O37&lt;&gt;"Oui",OR($AJ37="PDF libre",$AJ37="PDF libre (dépôt)")),Paramètres!$C$24,0)))</f>
        <v>55</v>
      </c>
      <c r="N37" s="32"/>
      <c r="O37" s="33" t="str">
        <f>IF($BB37="","Non",HYPERLINK(DossierPDF&amp;$BB37,"Oui"))</f>
        <v>Non</v>
      </c>
      <c r="P37" s="33" t="s">
        <v>235</v>
      </c>
      <c r="Q37" s="33" t="s">
        <v>235</v>
      </c>
      <c r="R37" s="33"/>
      <c r="S37" s="34"/>
      <c r="T37" s="25" t="s">
        <v>236</v>
      </c>
      <c r="U37" s="26" t="str">
        <f>IF($B37="","",IFERROR(INDEX(Paramètres!$N$6:$N$13,MATCH($T37,Paramètres!$M$6:$M$13,0)),$T37))</f>
        <v>Article de revue</v>
      </c>
      <c r="V37" s="4" t="s">
        <v>673</v>
      </c>
      <c r="W37" s="28">
        <v>2016</v>
      </c>
      <c r="X37" s="4" t="s">
        <v>392</v>
      </c>
      <c r="Y37" s="25" t="s">
        <v>674</v>
      </c>
      <c r="Z37" s="25" t="s">
        <v>500</v>
      </c>
      <c r="AA37" s="25"/>
      <c r="AB37" s="25"/>
      <c r="AC37" s="25" t="s">
        <v>675</v>
      </c>
      <c r="AD37" s="25"/>
      <c r="AE37" s="25" t="s">
        <v>243</v>
      </c>
      <c r="AF37" s="35" t="s">
        <v>676</v>
      </c>
      <c r="AG37" s="27" t="str">
        <f t="shared" si="9"/>
        <v>doi.org</v>
      </c>
      <c r="AH37" s="27" t="str">
        <f t="shared" si="10"/>
        <v>Scholar</v>
      </c>
      <c r="AI37" s="28" t="s">
        <v>245</v>
      </c>
      <c r="AJ37" s="25" t="s">
        <v>185</v>
      </c>
      <c r="AK37" s="4" t="s">
        <v>677</v>
      </c>
      <c r="AL37" s="25" t="s">
        <v>247</v>
      </c>
      <c r="AM37" s="4" t="s">
        <v>678</v>
      </c>
      <c r="AN37" s="25" t="s">
        <v>249</v>
      </c>
      <c r="AO37" s="4" t="s">
        <v>679</v>
      </c>
      <c r="AP37" s="4"/>
      <c r="AQ37" s="25" t="s">
        <v>235</v>
      </c>
      <c r="AR37" s="26" t="str">
        <f>IF($B37="","",IFERROR(INDEX(Paramètres!$Q$6:$Q$13,MATCH($G37,Paramètres!$P$6:$P$13,0)),""))</f>
        <v>Modélisation du pneu et du contact</v>
      </c>
      <c r="AS37" s="26" t="str">
        <f>IF($B37="","",IFERROR(INDEX(Paramètres!$T$6:$T$11,MATCH($I37,Paramètres!$S$6:$S$11,0)),""))</f>
        <v>novembre 2026</v>
      </c>
      <c r="AT37" s="31">
        <f>IF($B37="","",IFERROR(INDEX(Paramètres!$C$27:$C$29,MATCH($H37,Paramètres!$B$27:$B$29,0)),0))</f>
        <v>1</v>
      </c>
      <c r="AU37" s="29"/>
      <c r="AV37" s="32"/>
      <c r="AW37" s="26" t="str">
        <f t="shared" si="11"/>
        <v>hernandez2016speed.md</v>
      </c>
      <c r="AX37" s="26">
        <f>IF($B37="","",COUNTIF($I$2:I37,$I37))</f>
        <v>18</v>
      </c>
      <c r="AY37" s="26" t="str">
        <f t="shared" si="12"/>
        <v>2-18</v>
      </c>
      <c r="AZ37" s="26" t="s">
        <v>680</v>
      </c>
      <c r="BA37" s="36">
        <f t="shared" ca="1" si="13"/>
        <v>55.009630000000001</v>
      </c>
    </row>
    <row r="38" spans="1:54" ht="45" customHeight="1" x14ac:dyDescent="0.25">
      <c r="A38" s="25" t="s">
        <v>681</v>
      </c>
      <c r="B38" s="25" t="s">
        <v>682</v>
      </c>
      <c r="C38" s="26" t="str">
        <f t="shared" si="7"/>
        <v>Kongo Kondé (2011)</v>
      </c>
      <c r="D38" s="4" t="s">
        <v>683</v>
      </c>
      <c r="E38" s="27" t="str">
        <f>IF(OR($B38="",$AF38=""),"",HYPERLINK(IF(AND(Paramètres!$C$13&lt;&gt;"",$AJ38="Éditeur (abonnement)"),Paramètres!$C$13&amp;$AF38,$AF38),"Ouvrir : "&amp;$AE38))</f>
        <v>Ouvrir : Page éditeur (DOI)</v>
      </c>
      <c r="F38" s="28" t="s">
        <v>235</v>
      </c>
      <c r="G38" s="28">
        <v>2</v>
      </c>
      <c r="H38" s="25" t="s">
        <v>405</v>
      </c>
      <c r="I38" s="28">
        <v>2</v>
      </c>
      <c r="J38" s="29" t="s">
        <v>234</v>
      </c>
      <c r="K38" s="26" t="str">
        <f ca="1">IF($B38="","",IF($J38="Lu","Lu",IF($J38="Écarté","Écarté",IF($I38&lt;Paramètres!$C$8,"EN RETARD",IF($I38=Paramètres!$C$8,"Ce mois-ci",IF($I38=Paramètres!$C$8+1,"Mois prochain","À venir"))))))</f>
        <v>Mois prochain</v>
      </c>
      <c r="L38" s="30" t="str">
        <f t="shared" si="8"/>
        <v>Texte intégral à localiser</v>
      </c>
      <c r="M38" s="31">
        <f ca="1">IF($B38="","",IF(OR($J38="Lu",$J38="Écarté"),0,IFERROR(INDEX(Paramètres!$C$17:$C$19,MATCH($H38,Paramètres!$B$17:$B$19,0)),0)+Paramètres!$C$20*(7-$I38)+IF($I38&lt;Paramètres!$C$8,Paramètres!$C$21,0)+IF($F38="Oui",Paramètres!$C$22,0)+IF($AL38&lt;&gt;"Vérifié",Paramètres!$C$23,0)+IF(AND($O38&lt;&gt;"Oui",OR($AJ38="PDF libre",$AJ38="PDF libre (dépôt)")),Paramètres!$C$24,0)))</f>
        <v>55</v>
      </c>
      <c r="N38" s="32"/>
      <c r="O38" s="33" t="str">
        <f>IF($BB38="","Non",HYPERLINK(DossierPDF&amp;$BB38,"Oui"))</f>
        <v>Non</v>
      </c>
      <c r="P38" s="33" t="s">
        <v>235</v>
      </c>
      <c r="Q38" s="33" t="s">
        <v>235</v>
      </c>
      <c r="R38" s="33"/>
      <c r="S38" s="34"/>
      <c r="T38" s="25" t="s">
        <v>594</v>
      </c>
      <c r="U38" s="26" t="str">
        <f>IF($B38="","",IFERROR(INDEX(Paramètres!$N$6:$N$13,MATCH($T38,Paramètres!$M$6:$M$13,0)),$T38))</f>
        <v>Thèse</v>
      </c>
      <c r="V38" s="4" t="s">
        <v>684</v>
      </c>
      <c r="W38" s="28">
        <v>2011</v>
      </c>
      <c r="X38" s="4"/>
      <c r="Y38" s="25"/>
      <c r="Z38" s="25"/>
      <c r="AA38" s="25"/>
      <c r="AB38" s="25" t="s">
        <v>685</v>
      </c>
      <c r="AC38" s="25" t="s">
        <v>686</v>
      </c>
      <c r="AD38" s="25" t="s">
        <v>687</v>
      </c>
      <c r="AE38" s="25" t="s">
        <v>243</v>
      </c>
      <c r="AF38" s="35" t="s">
        <v>688</v>
      </c>
      <c r="AG38" s="27" t="str">
        <f t="shared" si="9"/>
        <v>doi.org</v>
      </c>
      <c r="AH38" s="27" t="str">
        <f t="shared" si="10"/>
        <v>Scholar</v>
      </c>
      <c r="AI38" s="28" t="s">
        <v>689</v>
      </c>
      <c r="AJ38" s="25" t="s">
        <v>188</v>
      </c>
      <c r="AK38" s="4" t="s">
        <v>690</v>
      </c>
      <c r="AL38" s="25" t="s">
        <v>247</v>
      </c>
      <c r="AM38" s="4" t="s">
        <v>691</v>
      </c>
      <c r="AN38" s="25" t="s">
        <v>249</v>
      </c>
      <c r="AO38" s="4" t="s">
        <v>692</v>
      </c>
      <c r="AP38" s="4" t="s">
        <v>693</v>
      </c>
      <c r="AQ38" s="25" t="s">
        <v>233</v>
      </c>
      <c r="AR38" s="26" t="str">
        <f>IF($B38="","",IFERROR(INDEX(Paramètres!$Q$6:$Q$13,MATCH($G38,Paramètres!$P$6:$P$13,0)),""))</f>
        <v>Modélisation du pneu et du contact</v>
      </c>
      <c r="AS38" s="26" t="str">
        <f>IF($B38="","",IFERROR(INDEX(Paramètres!$T$6:$T$11,MATCH($I38,Paramètres!$S$6:$S$11,0)),""))</f>
        <v>novembre 2026</v>
      </c>
      <c r="AT38" s="31">
        <f>IF($B38="","",IFERROR(INDEX(Paramètres!$C$27:$C$29,MATCH($H38,Paramètres!$B$27:$B$29,0)),0))</f>
        <v>1</v>
      </c>
      <c r="AU38" s="29"/>
      <c r="AV38" s="32"/>
      <c r="AW38" s="26" t="str">
        <f t="shared" si="11"/>
        <v>kongokonde2011these.md</v>
      </c>
      <c r="AX38" s="26">
        <f>IF($B38="","",COUNTIF($I$2:I38,$I38))</f>
        <v>19</v>
      </c>
      <c r="AY38" s="26" t="str">
        <f t="shared" si="12"/>
        <v>2-19</v>
      </c>
      <c r="AZ38" s="26" t="s">
        <v>694</v>
      </c>
      <c r="BA38" s="36">
        <f t="shared" ca="1" si="13"/>
        <v>55.009619999999998</v>
      </c>
    </row>
    <row r="39" spans="1:54" ht="45" hidden="1" customHeight="1" x14ac:dyDescent="0.25">
      <c r="A39" s="25" t="s">
        <v>695</v>
      </c>
      <c r="B39" s="25" t="s">
        <v>696</v>
      </c>
      <c r="C39" s="26" t="str">
        <f t="shared" si="7"/>
        <v>Liu et al. (2022)</v>
      </c>
      <c r="D39" s="4" t="s">
        <v>697</v>
      </c>
      <c r="E39" s="27" t="str">
        <f>IF(OR($B39="",$AF39=""),"",HYPERLINK(IF(AND(Paramètres!$C$13&lt;&gt;"",$AJ39="Éditeur (abonnement)"),Paramètres!$C$13&amp;$AF39,$AF39),"Ouvrir : "&amp;$AE39))</f>
        <v>Ouvrir : Texte intégral libre</v>
      </c>
      <c r="F39" s="28" t="s">
        <v>233</v>
      </c>
      <c r="G39" s="28">
        <v>2</v>
      </c>
      <c r="H39" s="25" t="s">
        <v>405</v>
      </c>
      <c r="I39" s="28">
        <v>2</v>
      </c>
      <c r="J39" s="29" t="s">
        <v>234</v>
      </c>
      <c r="K39" s="26" t="str">
        <f ca="1">IF($B39="","",IF($J39="Lu","Lu",IF($J39="Écarté","Écarté",IF($I39&lt;Paramètres!$C$8,"EN RETARD",IF($I39=Paramètres!$C$8,"Ce mois-ci",IF($I39=Paramètres!$C$8+1,"Mois prochain","À venir"))))))</f>
        <v>Mois prochain</v>
      </c>
      <c r="L39" s="30" t="str">
        <f t="shared" ca="1" si="8"/>
        <v/>
      </c>
      <c r="M39" s="31">
        <f ca="1">IF($B39="","",IF(OR($J39="Lu",$J39="Écarté"),0,IFERROR(INDEX(Paramètres!$C$17:$C$19,MATCH($H39,Paramètres!$B$17:$B$19,0)),0)+Paramètres!$C$20*(7-$I39)+IF($I39&lt;Paramètres!$C$8,Paramètres!$C$21,0)+IF($F39="Oui",Paramètres!$C$22,0)+IF($AL39&lt;&gt;"Vérifié",Paramètres!$C$23,0)+IF(AND($O39&lt;&gt;"Oui",OR($AJ39="PDF libre",$AJ39="PDF libre (dépôt)")),Paramètres!$C$24,0)))</f>
        <v>65</v>
      </c>
      <c r="N39" s="32"/>
      <c r="O39" s="33" t="str">
        <f ca="1">IF($BB39="","Non",HYPERLINK(DossierPDF&amp;$BB39,"Oui"))</f>
        <v>Oui</v>
      </c>
      <c r="P39" s="33" t="s">
        <v>235</v>
      </c>
      <c r="Q39" s="33" t="s">
        <v>235</v>
      </c>
      <c r="R39" s="33"/>
      <c r="S39" s="34"/>
      <c r="T39" s="25" t="s">
        <v>236</v>
      </c>
      <c r="U39" s="26" t="str">
        <f>IF($B39="","",IFERROR(INDEX(Paramètres!$N$6:$N$13,MATCH($T39,Paramètres!$M$6:$M$13,0)),$T39))</f>
        <v>Article de revue</v>
      </c>
      <c r="V39" s="4" t="s">
        <v>698</v>
      </c>
      <c r="W39" s="28">
        <v>2022</v>
      </c>
      <c r="X39" s="4" t="s">
        <v>699</v>
      </c>
      <c r="Y39" s="25" t="s">
        <v>700</v>
      </c>
      <c r="Z39" s="25"/>
      <c r="AA39" s="25" t="s">
        <v>701</v>
      </c>
      <c r="AB39" s="25"/>
      <c r="AC39" s="25" t="s">
        <v>702</v>
      </c>
      <c r="AD39" s="25"/>
      <c r="AE39" s="25" t="s">
        <v>275</v>
      </c>
      <c r="AF39" s="35" t="s">
        <v>703</v>
      </c>
      <c r="AG39" s="27" t="str">
        <f t="shared" si="9"/>
        <v>doi.org</v>
      </c>
      <c r="AH39" s="27" t="str">
        <f t="shared" si="10"/>
        <v>Scholar</v>
      </c>
      <c r="AI39" s="28" t="s">
        <v>277</v>
      </c>
      <c r="AJ39" s="25" t="s">
        <v>183</v>
      </c>
      <c r="AK39" s="4" t="s">
        <v>704</v>
      </c>
      <c r="AL39" s="25" t="s">
        <v>247</v>
      </c>
      <c r="AM39" s="4" t="s">
        <v>264</v>
      </c>
      <c r="AN39" s="25" t="s">
        <v>249</v>
      </c>
      <c r="AO39" s="4" t="s">
        <v>705</v>
      </c>
      <c r="AP39" s="4"/>
      <c r="AQ39" s="25" t="s">
        <v>235</v>
      </c>
      <c r="AR39" s="26" t="str">
        <f>IF($B39="","",IFERROR(INDEX(Paramètres!$Q$6:$Q$13,MATCH($G39,Paramètres!$P$6:$P$13,0)),""))</f>
        <v>Modélisation du pneu et du contact</v>
      </c>
      <c r="AS39" s="26" t="str">
        <f>IF($B39="","",IFERROR(INDEX(Paramètres!$T$6:$T$11,MATCH($I39,Paramètres!$S$6:$S$11,0)),""))</f>
        <v>novembre 2026</v>
      </c>
      <c r="AT39" s="31">
        <f>IF($B39="","",IFERROR(INDEX(Paramètres!$C$27:$C$29,MATCH($H39,Paramètres!$B$27:$B$29,0)),0))</f>
        <v>1</v>
      </c>
      <c r="AU39" s="29"/>
      <c r="AV39" s="32"/>
      <c r="AW39" s="26" t="str">
        <f t="shared" si="11"/>
        <v>liu2022ring.md</v>
      </c>
      <c r="AX39" s="26">
        <f>IF($B39="","",COUNTIF($I$2:I39,$I39))</f>
        <v>20</v>
      </c>
      <c r="AY39" s="26" t="str">
        <f t="shared" si="12"/>
        <v>2-20</v>
      </c>
      <c r="AZ39" s="26" t="s">
        <v>706</v>
      </c>
      <c r="BA39" s="36">
        <f t="shared" ca="1" si="13"/>
        <v>65.009609999999995</v>
      </c>
      <c r="BB39" t="s">
        <v>4119</v>
      </c>
    </row>
    <row r="40" spans="1:54" ht="45" customHeight="1" x14ac:dyDescent="0.25">
      <c r="A40" s="25" t="s">
        <v>707</v>
      </c>
      <c r="B40" s="25" t="s">
        <v>708</v>
      </c>
      <c r="C40" s="26" t="str">
        <f t="shared" si="7"/>
        <v>Liu &amp; Al-Qadi (2022)</v>
      </c>
      <c r="D40" s="4" t="s">
        <v>709</v>
      </c>
      <c r="E40" s="27" t="str">
        <f>IF(OR($B40="",$AF40=""),"",HYPERLINK(IF(AND(Paramètres!$C$13&lt;&gt;"",$AJ40="Éditeur (abonnement)"),Paramètres!$C$13&amp;$AF40,$AF40),"Ouvrir : "&amp;$AE40))</f>
        <v>Ouvrir : Page éditeur (DOI)</v>
      </c>
      <c r="F40" s="28" t="s">
        <v>235</v>
      </c>
      <c r="G40" s="28">
        <v>2</v>
      </c>
      <c r="H40" s="25" t="s">
        <v>405</v>
      </c>
      <c r="I40" s="28">
        <v>2</v>
      </c>
      <c r="J40" s="29" t="s">
        <v>234</v>
      </c>
      <c r="K40" s="26" t="str">
        <f ca="1">IF($B40="","",IF($J40="Lu","Lu",IF($J40="Écarté","Écarté",IF($I40&lt;Paramètres!$C$8,"EN RETARD",IF($I40=Paramètres!$C$8,"Ce mois-ci",IF($I40=Paramètres!$C$8+1,"Mois prochain","À venir"))))))</f>
        <v>Mois prochain</v>
      </c>
      <c r="L40" s="30" t="str">
        <f t="shared" ca="1" si="8"/>
        <v/>
      </c>
      <c r="M40" s="31">
        <f ca="1">IF($B40="","",IF(OR($J40="Lu",$J40="Écarté"),0,IFERROR(INDEX(Paramètres!$C$17:$C$19,MATCH($H40,Paramètres!$B$17:$B$19,0)),0)+Paramètres!$C$20*(7-$I40)+IF($I40&lt;Paramètres!$C$8,Paramètres!$C$21,0)+IF($F40="Oui",Paramètres!$C$22,0)+IF($AL40&lt;&gt;"Vérifié",Paramètres!$C$23,0)+IF(AND($O40&lt;&gt;"Oui",OR($AJ40="PDF libre",$AJ40="PDF libre (dépôt)")),Paramètres!$C$24,0)))</f>
        <v>55</v>
      </c>
      <c r="N40" s="32"/>
      <c r="O40" s="33" t="str">
        <f ca="1">IF($BB40="","Non",HYPERLINK(DossierPDF&amp;$BB40,"Oui"))</f>
        <v>Oui</v>
      </c>
      <c r="P40" s="33" t="s">
        <v>235</v>
      </c>
      <c r="Q40" s="33" t="s">
        <v>235</v>
      </c>
      <c r="R40" s="33"/>
      <c r="S40" s="34"/>
      <c r="T40" s="25" t="s">
        <v>236</v>
      </c>
      <c r="U40" s="26" t="str">
        <f>IF($B40="","",IFERROR(INDEX(Paramètres!$N$6:$N$13,MATCH($T40,Paramètres!$M$6:$M$13,0)),$T40))</f>
        <v>Article de revue</v>
      </c>
      <c r="V40" s="4" t="s">
        <v>710</v>
      </c>
      <c r="W40" s="28">
        <v>2022</v>
      </c>
      <c r="X40" s="4" t="s">
        <v>573</v>
      </c>
      <c r="Y40" s="25" t="s">
        <v>711</v>
      </c>
      <c r="Z40" s="25" t="s">
        <v>367</v>
      </c>
      <c r="AA40" s="25" t="s">
        <v>712</v>
      </c>
      <c r="AB40" s="25"/>
      <c r="AC40" s="25" t="s">
        <v>713</v>
      </c>
      <c r="AD40" s="25"/>
      <c r="AE40" s="25" t="s">
        <v>243</v>
      </c>
      <c r="AF40" s="35" t="s">
        <v>714</v>
      </c>
      <c r="AG40" s="27" t="str">
        <f t="shared" si="9"/>
        <v>doi.org</v>
      </c>
      <c r="AH40" s="27" t="str">
        <f t="shared" si="10"/>
        <v>Scholar</v>
      </c>
      <c r="AI40" s="28" t="s">
        <v>245</v>
      </c>
      <c r="AJ40" s="25" t="s">
        <v>185</v>
      </c>
      <c r="AK40" s="4" t="s">
        <v>480</v>
      </c>
      <c r="AL40" s="25" t="s">
        <v>247</v>
      </c>
      <c r="AM40" s="4" t="s">
        <v>715</v>
      </c>
      <c r="AN40" s="25" t="s">
        <v>249</v>
      </c>
      <c r="AO40" s="4" t="s">
        <v>716</v>
      </c>
      <c r="AP40" s="4"/>
      <c r="AQ40" s="25" t="s">
        <v>235</v>
      </c>
      <c r="AR40" s="26" t="str">
        <f>IF($B40="","",IFERROR(INDEX(Paramètres!$Q$6:$Q$13,MATCH($G40,Paramètres!$P$6:$P$13,0)),""))</f>
        <v>Modélisation du pneu et du contact</v>
      </c>
      <c r="AS40" s="26" t="str">
        <f>IF($B40="","",IFERROR(INDEX(Paramètres!$T$6:$T$11,MATCH($I40,Paramètres!$S$6:$S$11,0)),""))</f>
        <v>novembre 2026</v>
      </c>
      <c r="AT40" s="31">
        <f>IF($B40="","",IFERROR(INDEX(Paramètres!$C$27:$C$29,MATCH($H40,Paramètres!$B$27:$B$29,0)),0))</f>
        <v>1</v>
      </c>
      <c r="AU40" s="29"/>
      <c r="AV40" s="32"/>
      <c r="AW40" s="26" t="str">
        <f t="shared" si="11"/>
        <v>liu2022deeplearning.md</v>
      </c>
      <c r="AX40" s="26">
        <f>IF($B40="","",COUNTIF($I$2:I40,$I40))</f>
        <v>21</v>
      </c>
      <c r="AY40" s="26" t="str">
        <f t="shared" si="12"/>
        <v>2-21</v>
      </c>
      <c r="AZ40" s="26" t="s">
        <v>717</v>
      </c>
      <c r="BA40" s="36">
        <f t="shared" ca="1" si="13"/>
        <v>55.009599999999999</v>
      </c>
      <c r="BB40" t="s">
        <v>4120</v>
      </c>
    </row>
    <row r="41" spans="1:54" ht="45" hidden="1" customHeight="1" x14ac:dyDescent="0.25">
      <c r="A41" s="25" t="s">
        <v>718</v>
      </c>
      <c r="B41" s="25" t="s">
        <v>719</v>
      </c>
      <c r="C41" s="26" t="str">
        <f t="shared" si="7"/>
        <v>Rosu et al. (2018)</v>
      </c>
      <c r="D41" s="4" t="s">
        <v>720</v>
      </c>
      <c r="E41" s="27" t="str">
        <f>IF(OR($B41="",$AF41=""),"",HYPERLINK(IF(AND(Paramètres!$C$13&lt;&gt;"",$AJ41="Éditeur (abonnement)"),Paramètres!$C$13&amp;$AF41,$AF41),"Ouvrir : "&amp;$AE41))</f>
        <v>Ouvrir : Texte intégral libre</v>
      </c>
      <c r="F41" s="28" t="s">
        <v>235</v>
      </c>
      <c r="G41" s="28">
        <v>2</v>
      </c>
      <c r="H41" s="25" t="s">
        <v>405</v>
      </c>
      <c r="I41" s="28">
        <v>2</v>
      </c>
      <c r="J41" s="29" t="s">
        <v>234</v>
      </c>
      <c r="K41" s="26" t="str">
        <f ca="1">IF($B41="","",IF($J41="Lu","Lu",IF($J41="Écarté","Écarté",IF($I41&lt;Paramètres!$C$8,"EN RETARD",IF($I41=Paramètres!$C$8,"Ce mois-ci",IF($I41=Paramètres!$C$8+1,"Mois prochain","À venir"))))))</f>
        <v>Mois prochain</v>
      </c>
      <c r="L41" s="30" t="str">
        <f t="shared" ca="1" si="8"/>
        <v/>
      </c>
      <c r="M41" s="31">
        <f ca="1">IF($B41="","",IF(OR($J41="Lu",$J41="Écarté"),0,IFERROR(INDEX(Paramètres!$C$17:$C$19,MATCH($H41,Paramètres!$B$17:$B$19,0)),0)+Paramètres!$C$20*(7-$I41)+IF($I41&lt;Paramètres!$C$8,Paramètres!$C$21,0)+IF($F41="Oui",Paramètres!$C$22,0)+IF($AL41&lt;&gt;"Vérifié",Paramètres!$C$23,0)+IF(AND($O41&lt;&gt;"Oui",OR($AJ41="PDF libre",$AJ41="PDF libre (dépôt)")),Paramètres!$C$24,0)))</f>
        <v>55</v>
      </c>
      <c r="N41" s="32"/>
      <c r="O41" s="33" t="str">
        <f ca="1">IF($BB41="","Non",HYPERLINK(DossierPDF&amp;$BB41,"Oui"))</f>
        <v>Oui</v>
      </c>
      <c r="P41" s="33" t="s">
        <v>235</v>
      </c>
      <c r="Q41" s="33" t="s">
        <v>235</v>
      </c>
      <c r="R41" s="33"/>
      <c r="S41" s="34"/>
      <c r="T41" s="25" t="s">
        <v>236</v>
      </c>
      <c r="U41" s="26" t="str">
        <f>IF($B41="","",IFERROR(INDEX(Paramètres!$N$6:$N$13,MATCH($T41,Paramètres!$M$6:$M$13,0)),$T41))</f>
        <v>Article de revue</v>
      </c>
      <c r="V41" s="4" t="s">
        <v>721</v>
      </c>
      <c r="W41" s="28">
        <v>2018</v>
      </c>
      <c r="X41" s="4" t="s">
        <v>722</v>
      </c>
      <c r="Y41" s="25" t="s">
        <v>585</v>
      </c>
      <c r="Z41" s="25" t="s">
        <v>240</v>
      </c>
      <c r="AA41" s="25" t="s">
        <v>723</v>
      </c>
      <c r="AB41" s="25"/>
      <c r="AC41" s="25" t="s">
        <v>724</v>
      </c>
      <c r="AD41" s="25"/>
      <c r="AE41" s="25" t="s">
        <v>275</v>
      </c>
      <c r="AF41" s="35" t="s">
        <v>725</v>
      </c>
      <c r="AG41" s="27" t="str">
        <f t="shared" si="9"/>
        <v>doi.org</v>
      </c>
      <c r="AH41" s="27" t="str">
        <f t="shared" si="10"/>
        <v>Scholar</v>
      </c>
      <c r="AI41" s="28" t="s">
        <v>277</v>
      </c>
      <c r="AJ41" s="25" t="s">
        <v>183</v>
      </c>
      <c r="AK41" s="4" t="s">
        <v>411</v>
      </c>
      <c r="AL41" s="25" t="s">
        <v>247</v>
      </c>
      <c r="AM41" s="4" t="s">
        <v>264</v>
      </c>
      <c r="AN41" s="25" t="s">
        <v>249</v>
      </c>
      <c r="AO41" s="4" t="s">
        <v>726</v>
      </c>
      <c r="AP41" s="4" t="s">
        <v>693</v>
      </c>
      <c r="AQ41" s="25" t="s">
        <v>235</v>
      </c>
      <c r="AR41" s="26" t="str">
        <f>IF($B41="","",IFERROR(INDEX(Paramètres!$Q$6:$Q$13,MATCH($G41,Paramètres!$P$6:$P$13,0)),""))</f>
        <v>Modélisation du pneu et du contact</v>
      </c>
      <c r="AS41" s="26" t="str">
        <f>IF($B41="","",IFERROR(INDEX(Paramètres!$T$6:$T$11,MATCH($I41,Paramètres!$S$6:$S$11,0)),""))</f>
        <v>novembre 2026</v>
      </c>
      <c r="AT41" s="31">
        <f>IF($B41="","",IFERROR(INDEX(Paramètres!$C$27:$C$29,MATCH($H41,Paramètres!$B$27:$B$29,0)),0))</f>
        <v>1</v>
      </c>
      <c r="AU41" s="29"/>
      <c r="AV41" s="32"/>
      <c r="AW41" s="26" t="str">
        <f t="shared" si="11"/>
        <v>rosu2018aircraft.md</v>
      </c>
      <c r="AX41" s="26">
        <f>IF($B41="","",COUNTIF($I$2:I41,$I41))</f>
        <v>22</v>
      </c>
      <c r="AY41" s="26" t="str">
        <f t="shared" si="12"/>
        <v>2-22</v>
      </c>
      <c r="AZ41" s="26" t="s">
        <v>727</v>
      </c>
      <c r="BA41" s="36">
        <f t="shared" ca="1" si="13"/>
        <v>55.009590000000003</v>
      </c>
      <c r="BB41" t="s">
        <v>4121</v>
      </c>
    </row>
    <row r="42" spans="1:54" ht="45" hidden="1" customHeight="1" x14ac:dyDescent="0.25">
      <c r="A42" s="25" t="s">
        <v>728</v>
      </c>
      <c r="B42" s="25" t="s">
        <v>729</v>
      </c>
      <c r="C42" s="26" t="str">
        <f t="shared" si="7"/>
        <v>Tang et al. (2022)</v>
      </c>
      <c r="D42" s="4" t="s">
        <v>730</v>
      </c>
      <c r="E42" s="27" t="str">
        <f>IF(OR($B42="",$AF42=""),"",HYPERLINK(IF(AND(Paramètres!$C$13&lt;&gt;"",$AJ42="Éditeur (abonnement)"),Paramètres!$C$13&amp;$AF42,$AF42),"Ouvrir : "&amp;$AE42))</f>
        <v>Ouvrir : Texte intégral libre</v>
      </c>
      <c r="F42" s="28" t="s">
        <v>235</v>
      </c>
      <c r="G42" s="28">
        <v>2</v>
      </c>
      <c r="H42" s="25" t="s">
        <v>405</v>
      </c>
      <c r="I42" s="28">
        <v>2</v>
      </c>
      <c r="J42" s="29" t="s">
        <v>234</v>
      </c>
      <c r="K42" s="26" t="str">
        <f ca="1">IF($B42="","",IF($J42="Lu","Lu",IF($J42="Écarté","Écarté",IF($I42&lt;Paramètres!$C$8,"EN RETARD",IF($I42=Paramètres!$C$8,"Ce mois-ci",IF($I42=Paramètres!$C$8+1,"Mois prochain","À venir"))))))</f>
        <v>Mois prochain</v>
      </c>
      <c r="L42" s="30" t="str">
        <f t="shared" ca="1" si="8"/>
        <v/>
      </c>
      <c r="M42" s="31">
        <f ca="1">IF($B42="","",IF(OR($J42="Lu",$J42="Écarté"),0,IFERROR(INDEX(Paramètres!$C$17:$C$19,MATCH($H42,Paramètres!$B$17:$B$19,0)),0)+Paramètres!$C$20*(7-$I42)+IF($I42&lt;Paramètres!$C$8,Paramètres!$C$21,0)+IF($F42="Oui",Paramètres!$C$22,0)+IF($AL42&lt;&gt;"Vérifié",Paramètres!$C$23,0)+IF(AND($O42&lt;&gt;"Oui",OR($AJ42="PDF libre",$AJ42="PDF libre (dépôt)")),Paramètres!$C$24,0)))</f>
        <v>55</v>
      </c>
      <c r="N42" s="32"/>
      <c r="O42" s="33" t="str">
        <f ca="1">IF($BB42="","Non",HYPERLINK(DossierPDF&amp;$BB42,"Oui"))</f>
        <v>Oui</v>
      </c>
      <c r="P42" s="33" t="s">
        <v>235</v>
      </c>
      <c r="Q42" s="33" t="s">
        <v>235</v>
      </c>
      <c r="R42" s="33"/>
      <c r="S42" s="34"/>
      <c r="T42" s="25" t="s">
        <v>236</v>
      </c>
      <c r="U42" s="26" t="str">
        <f>IF($B42="","",IFERROR(INDEX(Paramètres!$N$6:$N$13,MATCH($T42,Paramètres!$M$6:$M$13,0)),$T42))</f>
        <v>Article de revue</v>
      </c>
      <c r="V42" s="4" t="s">
        <v>731</v>
      </c>
      <c r="W42" s="28">
        <v>2022</v>
      </c>
      <c r="X42" s="4" t="s">
        <v>732</v>
      </c>
      <c r="Y42" s="25" t="s">
        <v>367</v>
      </c>
      <c r="Z42" s="25" t="s">
        <v>240</v>
      </c>
      <c r="AA42" s="25" t="s">
        <v>733</v>
      </c>
      <c r="AB42" s="25"/>
      <c r="AC42" s="25" t="s">
        <v>734</v>
      </c>
      <c r="AD42" s="25"/>
      <c r="AE42" s="25" t="s">
        <v>275</v>
      </c>
      <c r="AF42" s="35" t="s">
        <v>735</v>
      </c>
      <c r="AG42" s="27" t="str">
        <f t="shared" si="9"/>
        <v>doi.org</v>
      </c>
      <c r="AH42" s="27" t="str">
        <f t="shared" si="10"/>
        <v>Scholar</v>
      </c>
      <c r="AI42" s="28" t="s">
        <v>277</v>
      </c>
      <c r="AJ42" s="25" t="s">
        <v>183</v>
      </c>
      <c r="AK42" s="4" t="s">
        <v>736</v>
      </c>
      <c r="AL42" s="25" t="s">
        <v>247</v>
      </c>
      <c r="AM42" s="4" t="s">
        <v>264</v>
      </c>
      <c r="AN42" s="25" t="s">
        <v>249</v>
      </c>
      <c r="AO42" s="4" t="s">
        <v>737</v>
      </c>
      <c r="AP42" s="4"/>
      <c r="AQ42" s="25" t="s">
        <v>235</v>
      </c>
      <c r="AR42" s="26" t="str">
        <f>IF($B42="","",IFERROR(INDEX(Paramètres!$Q$6:$Q$13,MATCH($G42,Paramètres!$P$6:$P$13,0)),""))</f>
        <v>Modélisation du pneu et du contact</v>
      </c>
      <c r="AS42" s="26" t="str">
        <f>IF($B42="","",IFERROR(INDEX(Paramètres!$T$6:$T$11,MATCH($I42,Paramètres!$S$6:$S$11,0)),""))</f>
        <v>novembre 2026</v>
      </c>
      <c r="AT42" s="31">
        <f>IF($B42="","",IFERROR(INDEX(Paramètres!$C$27:$C$29,MATCH($H42,Paramètres!$B$27:$B$29,0)),0))</f>
        <v>1</v>
      </c>
      <c r="AU42" s="29"/>
      <c r="AV42" s="32"/>
      <c r="AW42" s="26" t="str">
        <f t="shared" si="11"/>
        <v>tang2022radialtire.md</v>
      </c>
      <c r="AX42" s="26">
        <f>IF($B42="","",COUNTIF($I$2:I42,$I42))</f>
        <v>23</v>
      </c>
      <c r="AY42" s="26" t="str">
        <f t="shared" si="12"/>
        <v>2-23</v>
      </c>
      <c r="AZ42" s="26" t="s">
        <v>738</v>
      </c>
      <c r="BA42" s="36">
        <f t="shared" ca="1" si="13"/>
        <v>55.00958</v>
      </c>
      <c r="BB42" t="s">
        <v>4122</v>
      </c>
    </row>
    <row r="43" spans="1:54" ht="45" hidden="1" customHeight="1" x14ac:dyDescent="0.25">
      <c r="A43" s="25" t="s">
        <v>739</v>
      </c>
      <c r="B43" s="25" t="s">
        <v>740</v>
      </c>
      <c r="C43" s="26" t="str">
        <f t="shared" si="7"/>
        <v>Di Benedetto &amp; Corté (2005)</v>
      </c>
      <c r="D43" s="4" t="s">
        <v>741</v>
      </c>
      <c r="E43" s="27" t="str">
        <f>IF(OR($B43="",$AF43=""),"",HYPERLINK(IF(AND(Paramètres!$C$13&lt;&gt;"",$AJ43="Éditeur (abonnement)"),Paramètres!$C$13&amp;$AF43,$AF43),"Ouvrir : "&amp;$AE43))</f>
        <v>Ouvrir : Page de vente / notice</v>
      </c>
      <c r="F43" s="28" t="s">
        <v>233</v>
      </c>
      <c r="G43" s="28">
        <v>3</v>
      </c>
      <c r="H43" s="25" t="s">
        <v>405</v>
      </c>
      <c r="I43" s="28">
        <v>2</v>
      </c>
      <c r="J43" s="29" t="s">
        <v>234</v>
      </c>
      <c r="K43" s="26" t="str">
        <f ca="1">IF($B43="","",IF($J43="Lu","Lu",IF($J43="Écarté","Écarté",IF($I43&lt;Paramètres!$C$8,"EN RETARD",IF($I43=Paramètres!$C$8,"Ce mois-ci",IF($I43=Paramètres!$C$8+1,"Mois prochain","À venir"))))))</f>
        <v>Mois prochain</v>
      </c>
      <c r="L43" s="30" t="str">
        <f t="shared" si="8"/>
        <v>Vérification à compléter avant de citer</v>
      </c>
      <c r="M43" s="31">
        <f ca="1">IF($B43="","",IF(OR($J43="Lu",$J43="Écarté"),0,IFERROR(INDEX(Paramètres!$C$17:$C$19,MATCH($H43,Paramètres!$B$17:$B$19,0)),0)+Paramètres!$C$20*(7-$I43)+IF($I43&lt;Paramètres!$C$8,Paramètres!$C$21,0)+IF($F43="Oui",Paramètres!$C$22,0)+IF($AL43&lt;&gt;"Vérifié",Paramètres!$C$23,0)+IF(AND($O43&lt;&gt;"Oui",OR($AJ43="PDF libre",$AJ43="PDF libre (dépôt)")),Paramètres!$C$24,0)))</f>
        <v>80</v>
      </c>
      <c r="N43" s="32"/>
      <c r="O43" s="33" t="str">
        <f>IF($BB43="","Non",HYPERLINK(DossierPDF&amp;$BB43,"Oui"))</f>
        <v>Non</v>
      </c>
      <c r="P43" s="33" t="s">
        <v>235</v>
      </c>
      <c r="Q43" s="33" t="s">
        <v>235</v>
      </c>
      <c r="R43" s="33"/>
      <c r="S43" s="34"/>
      <c r="T43" s="25" t="s">
        <v>661</v>
      </c>
      <c r="U43" s="26" t="str">
        <f>IF($B43="","",IFERROR(INDEX(Paramètres!$N$6:$N$13,MATCH($T43,Paramètres!$M$6:$M$13,0)),$T43))</f>
        <v>Ouvrage / guide</v>
      </c>
      <c r="V43" s="4" t="s">
        <v>742</v>
      </c>
      <c r="W43" s="28">
        <v>2005</v>
      </c>
      <c r="X43" s="4"/>
      <c r="Y43" s="25"/>
      <c r="Z43" s="25"/>
      <c r="AA43" s="25"/>
      <c r="AB43" s="25" t="s">
        <v>743</v>
      </c>
      <c r="AC43" s="25"/>
      <c r="AD43" s="25" t="s">
        <v>744</v>
      </c>
      <c r="AE43" s="25" t="s">
        <v>745</v>
      </c>
      <c r="AF43" s="35" t="s">
        <v>746</v>
      </c>
      <c r="AG43" s="27" t="str">
        <f t="shared" si="9"/>
        <v/>
      </c>
      <c r="AH43" s="27" t="str">
        <f t="shared" si="10"/>
        <v>Scholar</v>
      </c>
      <c r="AI43" s="28" t="s">
        <v>245</v>
      </c>
      <c r="AJ43" s="25" t="s">
        <v>186</v>
      </c>
      <c r="AK43" s="4" t="s">
        <v>747</v>
      </c>
      <c r="AL43" s="25" t="s">
        <v>517</v>
      </c>
      <c r="AM43" s="4" t="s">
        <v>748</v>
      </c>
      <c r="AN43" s="25" t="s">
        <v>249</v>
      </c>
      <c r="AO43" s="4" t="s">
        <v>749</v>
      </c>
      <c r="AP43" s="4"/>
      <c r="AQ43" s="25" t="s">
        <v>235</v>
      </c>
      <c r="AR43" s="26" t="str">
        <f>IF($B43="","",IFERROR(INDEX(Paramètres!$Q$6:$Q$13,MATCH($G43,Paramètres!$P$6:$P$13,0)),""))</f>
        <v>Viscoélasticité des enrobés</v>
      </c>
      <c r="AS43" s="26" t="str">
        <f>IF($B43="","",IFERROR(INDEX(Paramètres!$T$6:$T$11,MATCH($I43,Paramètres!$S$6:$S$11,0)),""))</f>
        <v>novembre 2026</v>
      </c>
      <c r="AT43" s="31">
        <f>IF($B43="","",IFERROR(INDEX(Paramètres!$C$27:$C$29,MATCH($H43,Paramètres!$B$27:$B$29,0)),0))</f>
        <v>1</v>
      </c>
      <c r="AU43" s="29"/>
      <c r="AV43" s="32"/>
      <c r="AW43" s="26" t="str">
        <f t="shared" si="11"/>
        <v>dibenedetto2005materiaux.md</v>
      </c>
      <c r="AX43" s="26">
        <f>IF($B43="","",COUNTIF($I$2:I43,$I43))</f>
        <v>24</v>
      </c>
      <c r="AY43" s="26" t="str">
        <f t="shared" si="12"/>
        <v>2-24</v>
      </c>
      <c r="AZ43" s="26" t="s">
        <v>750</v>
      </c>
      <c r="BA43" s="36">
        <f t="shared" ca="1" si="13"/>
        <v>80.009569999999997</v>
      </c>
    </row>
    <row r="44" spans="1:54" ht="45" hidden="1" customHeight="1" x14ac:dyDescent="0.25">
      <c r="A44" s="25" t="s">
        <v>751</v>
      </c>
      <c r="B44" s="25" t="s">
        <v>752</v>
      </c>
      <c r="C44" s="26" t="str">
        <f t="shared" si="7"/>
        <v>Olard (2003)</v>
      </c>
      <c r="D44" s="4" t="s">
        <v>753</v>
      </c>
      <c r="E44" s="27" t="str">
        <f>IF(OR($B44="",$AF44=""),"",HYPERLINK(IF(AND(Paramètres!$C$13&lt;&gt;"",$AJ44="Éditeur (abonnement)"),Paramètres!$C$13&amp;$AF44,$AF44),"Ouvrir : "&amp;$AE44))</f>
        <v>Ouvrir : Texte intégral (dépôt)</v>
      </c>
      <c r="F44" s="28" t="s">
        <v>235</v>
      </c>
      <c r="G44" s="28">
        <v>3</v>
      </c>
      <c r="H44" s="25" t="s">
        <v>405</v>
      </c>
      <c r="I44" s="28">
        <v>2</v>
      </c>
      <c r="J44" s="29" t="s">
        <v>234</v>
      </c>
      <c r="K44" s="26" t="str">
        <f ca="1">IF($B44="","",IF($J44="Lu","Lu",IF($J44="Écarté","Écarté",IF($I44&lt;Paramètres!$C$8,"EN RETARD",IF($I44=Paramètres!$C$8,"Ce mois-ci",IF($I44=Paramètres!$C$8+1,"Mois prochain","À venir"))))))</f>
        <v>Mois prochain</v>
      </c>
      <c r="L44" s="30" t="str">
        <f t="shared" ca="1" si="8"/>
        <v/>
      </c>
      <c r="M44" s="31">
        <f ca="1">IF($B44="","",IF(OR($J44="Lu",$J44="Écarté"),0,IFERROR(INDEX(Paramètres!$C$17:$C$19,MATCH($H44,Paramètres!$B$17:$B$19,0)),0)+Paramètres!$C$20*(7-$I44)+IF($I44&lt;Paramètres!$C$8,Paramètres!$C$21,0)+IF($F44="Oui",Paramètres!$C$22,0)+IF($AL44&lt;&gt;"Vérifié",Paramètres!$C$23,0)+IF(AND($O44&lt;&gt;"Oui",OR($AJ44="PDF libre",$AJ44="PDF libre (dépôt)")),Paramètres!$C$24,0)))</f>
        <v>55</v>
      </c>
      <c r="N44" s="32"/>
      <c r="O44" s="33" t="str">
        <f ca="1">IF($BB44="","Non",HYPERLINK(DossierPDF&amp;$BB44,"Oui"))</f>
        <v>Oui</v>
      </c>
      <c r="P44" s="33" t="s">
        <v>235</v>
      </c>
      <c r="Q44" s="33" t="s">
        <v>235</v>
      </c>
      <c r="R44" s="33"/>
      <c r="S44" s="34"/>
      <c r="T44" s="25" t="s">
        <v>594</v>
      </c>
      <c r="U44" s="26" t="str">
        <f>IF($B44="","",IFERROR(INDEX(Paramètres!$N$6:$N$13,MATCH($T44,Paramètres!$M$6:$M$13,0)),$T44))</f>
        <v>Thèse</v>
      </c>
      <c r="V44" s="4" t="s">
        <v>754</v>
      </c>
      <c r="W44" s="28">
        <v>2003</v>
      </c>
      <c r="X44" s="4"/>
      <c r="Y44" s="25"/>
      <c r="Z44" s="25"/>
      <c r="AA44" s="25"/>
      <c r="AB44" s="25" t="s">
        <v>755</v>
      </c>
      <c r="AC44" s="25"/>
      <c r="AD44" s="25" t="s">
        <v>756</v>
      </c>
      <c r="AE44" s="25" t="s">
        <v>355</v>
      </c>
      <c r="AF44" s="35" t="s">
        <v>757</v>
      </c>
      <c r="AG44" s="27" t="str">
        <f t="shared" si="9"/>
        <v/>
      </c>
      <c r="AH44" s="27" t="str">
        <f t="shared" si="10"/>
        <v>Scholar</v>
      </c>
      <c r="AI44" s="28" t="s">
        <v>277</v>
      </c>
      <c r="AJ44" s="25" t="s">
        <v>184</v>
      </c>
      <c r="AK44" s="4" t="s">
        <v>758</v>
      </c>
      <c r="AL44" s="25" t="s">
        <v>247</v>
      </c>
      <c r="AM44" s="4" t="s">
        <v>759</v>
      </c>
      <c r="AN44" s="25" t="s">
        <v>249</v>
      </c>
      <c r="AO44" s="4" t="s">
        <v>760</v>
      </c>
      <c r="AP44" s="4" t="s">
        <v>483</v>
      </c>
      <c r="AQ44" s="25" t="s">
        <v>233</v>
      </c>
      <c r="AR44" s="26" t="str">
        <f>IF($B44="","",IFERROR(INDEX(Paramètres!$Q$6:$Q$13,MATCH($G44,Paramètres!$P$6:$P$13,0)),""))</f>
        <v>Viscoélasticité des enrobés</v>
      </c>
      <c r="AS44" s="26" t="str">
        <f>IF($B44="","",IFERROR(INDEX(Paramètres!$T$6:$T$11,MATCH($I44,Paramètres!$S$6:$S$11,0)),""))</f>
        <v>novembre 2026</v>
      </c>
      <c r="AT44" s="31">
        <f>IF($B44="","",IFERROR(INDEX(Paramètres!$C$27:$C$29,MATCH($H44,Paramètres!$B$27:$B$29,0)),0))</f>
        <v>1</v>
      </c>
      <c r="AU44" s="29"/>
      <c r="AV44" s="32"/>
      <c r="AW44" s="26" t="str">
        <f t="shared" si="11"/>
        <v>olard2003these.md</v>
      </c>
      <c r="AX44" s="26">
        <f>IF($B44="","",COUNTIF($I$2:I44,$I44))</f>
        <v>25</v>
      </c>
      <c r="AY44" s="26" t="str">
        <f t="shared" si="12"/>
        <v>2-25</v>
      </c>
      <c r="AZ44" s="26" t="s">
        <v>761</v>
      </c>
      <c r="BA44" s="36">
        <f t="shared" ca="1" si="13"/>
        <v>55.00956</v>
      </c>
      <c r="BB44" t="s">
        <v>4123</v>
      </c>
    </row>
    <row r="45" spans="1:54" ht="45" customHeight="1" x14ac:dyDescent="0.25">
      <c r="A45" s="25" t="s">
        <v>762</v>
      </c>
      <c r="B45" s="25" t="s">
        <v>763</v>
      </c>
      <c r="C45" s="26" t="str">
        <f t="shared" si="7"/>
        <v>Tschoegl (1989)</v>
      </c>
      <c r="D45" s="4" t="s">
        <v>764</v>
      </c>
      <c r="E45" s="27" t="str">
        <f>IF(OR($B45="",$AF45=""),"",HYPERLINK(IF(AND(Paramètres!$C$13&lt;&gt;"",$AJ45="Éditeur (abonnement)"),Paramètres!$C$13&amp;$AF45,$AF45),"Ouvrir : "&amp;$AE45))</f>
        <v>Ouvrir : Page éditeur (DOI)</v>
      </c>
      <c r="F45" s="28" t="s">
        <v>235</v>
      </c>
      <c r="G45" s="28">
        <v>3</v>
      </c>
      <c r="H45" s="25" t="s">
        <v>405</v>
      </c>
      <c r="I45" s="28">
        <v>2</v>
      </c>
      <c r="J45" s="29" t="s">
        <v>234</v>
      </c>
      <c r="K45" s="26" t="str">
        <f ca="1">IF($B45="","",IF($J45="Lu","Lu",IF($J45="Écarté","Écarté",IF($I45&lt;Paramètres!$C$8,"EN RETARD",IF($I45=Paramètres!$C$8,"Ce mois-ci",IF($I45=Paramètres!$C$8+1,"Mois prochain","À venir"))))))</f>
        <v>Mois prochain</v>
      </c>
      <c r="L45" s="30" t="str">
        <f t="shared" ca="1" si="8"/>
        <v/>
      </c>
      <c r="M45" s="31">
        <f ca="1">IF($B45="","",IF(OR($J45="Lu",$J45="Écarté"),0,IFERROR(INDEX(Paramètres!$C$17:$C$19,MATCH($H45,Paramètres!$B$17:$B$19,0)),0)+Paramètres!$C$20*(7-$I45)+IF($I45&lt;Paramètres!$C$8,Paramètres!$C$21,0)+IF($F45="Oui",Paramètres!$C$22,0)+IF($AL45&lt;&gt;"Vérifié",Paramètres!$C$23,0)+IF(AND($O45&lt;&gt;"Oui",OR($AJ45="PDF libre",$AJ45="PDF libre (dépôt)")),Paramètres!$C$24,0)))</f>
        <v>55</v>
      </c>
      <c r="N45" s="32"/>
      <c r="O45" s="33" t="str">
        <f ca="1">IF($BB45="","Non",HYPERLINK(DossierPDF&amp;$BB45,"Oui"))</f>
        <v>Oui</v>
      </c>
      <c r="P45" s="33" t="s">
        <v>235</v>
      </c>
      <c r="Q45" s="33" t="s">
        <v>235</v>
      </c>
      <c r="R45" s="33"/>
      <c r="S45" s="34"/>
      <c r="T45" s="25" t="s">
        <v>661</v>
      </c>
      <c r="U45" s="26" t="str">
        <f>IF($B45="","",IFERROR(INDEX(Paramètres!$N$6:$N$13,MATCH($T45,Paramètres!$M$6:$M$13,0)),$T45))</f>
        <v>Ouvrage / guide</v>
      </c>
      <c r="V45" s="4" t="s">
        <v>765</v>
      </c>
      <c r="W45" s="28">
        <v>1989</v>
      </c>
      <c r="X45" s="4"/>
      <c r="Y45" s="25"/>
      <c r="Z45" s="25"/>
      <c r="AA45" s="25"/>
      <c r="AB45" s="25" t="s">
        <v>291</v>
      </c>
      <c r="AC45" s="25" t="s">
        <v>766</v>
      </c>
      <c r="AD45" s="25" t="s">
        <v>767</v>
      </c>
      <c r="AE45" s="25" t="s">
        <v>243</v>
      </c>
      <c r="AF45" s="35" t="s">
        <v>768</v>
      </c>
      <c r="AG45" s="27" t="str">
        <f t="shared" si="9"/>
        <v>doi.org</v>
      </c>
      <c r="AH45" s="27" t="str">
        <f t="shared" si="10"/>
        <v>Scholar</v>
      </c>
      <c r="AI45" s="28" t="s">
        <v>245</v>
      </c>
      <c r="AJ45" s="25" t="s">
        <v>185</v>
      </c>
      <c r="AK45" s="4" t="s">
        <v>769</v>
      </c>
      <c r="AL45" s="25" t="s">
        <v>247</v>
      </c>
      <c r="AM45" s="4" t="s">
        <v>770</v>
      </c>
      <c r="AN45" s="25" t="s">
        <v>249</v>
      </c>
      <c r="AO45" s="4" t="s">
        <v>771</v>
      </c>
      <c r="AP45" s="4" t="s">
        <v>772</v>
      </c>
      <c r="AQ45" s="25" t="s">
        <v>235</v>
      </c>
      <c r="AR45" s="26" t="str">
        <f>IF($B45="","",IFERROR(INDEX(Paramètres!$Q$6:$Q$13,MATCH($G45,Paramètres!$P$6:$P$13,0)),""))</f>
        <v>Viscoélasticité des enrobés</v>
      </c>
      <c r="AS45" s="26" t="str">
        <f>IF($B45="","",IFERROR(INDEX(Paramètres!$T$6:$T$11,MATCH($I45,Paramètres!$S$6:$S$11,0)),""))</f>
        <v>novembre 2026</v>
      </c>
      <c r="AT45" s="31">
        <f>IF($B45="","",IFERROR(INDEX(Paramètres!$C$27:$C$29,MATCH($H45,Paramètres!$B$27:$B$29,0)),0))</f>
        <v>1</v>
      </c>
      <c r="AU45" s="29"/>
      <c r="AV45" s="32"/>
      <c r="AW45" s="26" t="str">
        <f t="shared" si="11"/>
        <v>tschoegl1989.md</v>
      </c>
      <c r="AX45" s="26">
        <f>IF($B45="","",COUNTIF($I$2:I45,$I45))</f>
        <v>26</v>
      </c>
      <c r="AY45" s="26" t="str">
        <f t="shared" si="12"/>
        <v>2-26</v>
      </c>
      <c r="AZ45" s="26" t="s">
        <v>773</v>
      </c>
      <c r="BA45" s="36">
        <f t="shared" ca="1" si="13"/>
        <v>55.009549999999997</v>
      </c>
      <c r="BB45" t="s">
        <v>4124</v>
      </c>
    </row>
    <row r="46" spans="1:54" ht="45" hidden="1" customHeight="1" x14ac:dyDescent="0.25">
      <c r="A46" s="25" t="s">
        <v>774</v>
      </c>
      <c r="B46" s="25" t="s">
        <v>775</v>
      </c>
      <c r="C46" s="26" t="str">
        <f t="shared" si="7"/>
        <v>AFNOR (2023)</v>
      </c>
      <c r="D46" s="4" t="s">
        <v>776</v>
      </c>
      <c r="E46" s="27" t="str">
        <f>IF(OR($B46="",$AF46=""),"",HYPERLINK(IF(AND(Paramètres!$C$13&lt;&gt;"",$AJ46="Éditeur (abonnement)"),Paramètres!$C$13&amp;$AF46,$AF46),"Ouvrir : "&amp;$AE46))</f>
        <v>Ouvrir : Page de vente / notice</v>
      </c>
      <c r="F46" s="28" t="s">
        <v>235</v>
      </c>
      <c r="G46" s="28">
        <v>4</v>
      </c>
      <c r="H46" s="25" t="s">
        <v>122</v>
      </c>
      <c r="I46" s="28">
        <v>3</v>
      </c>
      <c r="J46" s="29" t="s">
        <v>234</v>
      </c>
      <c r="K46" s="26" t="str">
        <f ca="1">IF($B46="","",IF($J46="Lu","Lu",IF($J46="Écarté","Écarté",IF($I46&lt;Paramètres!$C$8,"EN RETARD",IF($I46=Paramètres!$C$8,"Ce mois-ci",IF($I46=Paramètres!$C$8+1,"Mois prochain","À venir"))))))</f>
        <v>À venir</v>
      </c>
      <c r="L46" s="30" t="str">
        <f t="shared" si="8"/>
        <v>À consulter via l'abonnement de l'école</v>
      </c>
      <c r="M46" s="31">
        <f ca="1">IF($B46="","",IF(OR($J46="Lu",$J46="Écarté"),0,IFERROR(INDEX(Paramètres!$C$17:$C$19,MATCH($H46,Paramètres!$B$17:$B$19,0)),0)+Paramètres!$C$20*(7-$I46)+IF($I46&lt;Paramètres!$C$8,Paramètres!$C$21,0)+IF($F46="Oui",Paramètres!$C$22,0)+IF($AL46&lt;&gt;"Vérifié",Paramètres!$C$23,0)+IF(AND($O46&lt;&gt;"Oui",OR($AJ46="PDF libre",$AJ46="PDF libre (dépôt)")),Paramètres!$C$24,0)))</f>
        <v>120</v>
      </c>
      <c r="N46" s="32"/>
      <c r="O46" s="33" t="str">
        <f>IF($BB46="","Non",HYPERLINK(DossierPDF&amp;$BB46,"Oui"))</f>
        <v>Oui</v>
      </c>
      <c r="P46" s="33" t="s">
        <v>235</v>
      </c>
      <c r="Q46" s="33" t="s">
        <v>235</v>
      </c>
      <c r="R46" s="33"/>
      <c r="S46" s="34"/>
      <c r="T46" s="25" t="s">
        <v>777</v>
      </c>
      <c r="U46" s="26" t="str">
        <f>IF($B46="","",IFERROR(INDEX(Paramètres!$N$6:$N$13,MATCH($T46,Paramètres!$M$6:$M$13,0)),$T46))</f>
        <v>Norme</v>
      </c>
      <c r="V46" s="4" t="s">
        <v>778</v>
      </c>
      <c r="W46" s="28">
        <v>2023</v>
      </c>
      <c r="X46" s="4"/>
      <c r="Y46" s="25"/>
      <c r="Z46" s="25"/>
      <c r="AA46" s="25"/>
      <c r="AB46" s="25" t="s">
        <v>779</v>
      </c>
      <c r="AC46" s="25"/>
      <c r="AD46" s="25" t="s">
        <v>780</v>
      </c>
      <c r="AE46" s="25" t="s">
        <v>745</v>
      </c>
      <c r="AF46" s="35" t="s">
        <v>781</v>
      </c>
      <c r="AG46" s="27" t="str">
        <f t="shared" si="9"/>
        <v/>
      </c>
      <c r="AH46" s="27" t="str">
        <f t="shared" si="10"/>
        <v>Scholar</v>
      </c>
      <c r="AI46" s="28" t="s">
        <v>245</v>
      </c>
      <c r="AJ46" s="25" t="s">
        <v>186</v>
      </c>
      <c r="AK46" s="4" t="s">
        <v>782</v>
      </c>
      <c r="AL46" s="25" t="s">
        <v>247</v>
      </c>
      <c r="AM46" s="4" t="s">
        <v>783</v>
      </c>
      <c r="AN46" s="25" t="s">
        <v>249</v>
      </c>
      <c r="AO46" s="4" t="s">
        <v>784</v>
      </c>
      <c r="AP46" s="4" t="s">
        <v>785</v>
      </c>
      <c r="AQ46" s="25" t="s">
        <v>233</v>
      </c>
      <c r="AR46" s="26" t="str">
        <f>IF($B46="","",IFERROR(INDEX(Paramètres!$Q$6:$Q$13,MATCH($G46,Paramètres!$P$6:$P$13,0)),""))</f>
        <v>Caractérisation expérimentale du module complexe</v>
      </c>
      <c r="AS46" s="26" t="str">
        <f>IF($B46="","",IFERROR(INDEX(Paramètres!$T$6:$T$11,MATCH($I46,Paramètres!$S$6:$S$11,0)),""))</f>
        <v>décembre 2026</v>
      </c>
      <c r="AT46" s="31">
        <f>IF($B46="","",IFERROR(INDEX(Paramètres!$C$27:$C$29,MATCH($H46,Paramètres!$B$27:$B$29,0)),0))</f>
        <v>6</v>
      </c>
      <c r="AU46" s="29"/>
      <c r="AV46" s="32"/>
      <c r="AW46" s="26" t="str">
        <f t="shared" si="11"/>
        <v>afnor2023en1269726.md</v>
      </c>
      <c r="AX46" s="26">
        <f>IF($B46="","",COUNTIF($I$2:I46,$I46))</f>
        <v>1</v>
      </c>
      <c r="AY46" s="26" t="str">
        <f t="shared" si="12"/>
        <v>3-1</v>
      </c>
      <c r="AZ46" s="26" t="s">
        <v>786</v>
      </c>
      <c r="BA46" s="36">
        <f t="shared" ca="1" si="13"/>
        <v>120.00954</v>
      </c>
      <c r="BB46" t="inlineStr">
        <is>
          <t>BIB-045_AFNOR_2023_NF-EN-12697-26-Rigidite.pdf</t>
        </is>
      </c>
    </row>
    <row r="47" spans="1:54" ht="45" customHeight="1" x14ac:dyDescent="0.25">
      <c r="A47" s="25" t="s">
        <v>787</v>
      </c>
      <c r="B47" s="25" t="s">
        <v>788</v>
      </c>
      <c r="C47" s="26" t="str">
        <f t="shared" si="7"/>
        <v>Di Benedetto et al. (2011)</v>
      </c>
      <c r="D47" s="4" t="s">
        <v>789</v>
      </c>
      <c r="E47" s="27" t="str">
        <f>IF(OR($B47="",$AF47=""),"",HYPERLINK(IF(AND(Paramètres!$C$13&lt;&gt;"",$AJ47="Éditeur (abonnement)"),Paramètres!$C$13&amp;$AF47,$AF47),"Ouvrir : "&amp;$AE47))</f>
        <v>Ouvrir : Page éditeur (DOI)</v>
      </c>
      <c r="F47" s="28" t="s">
        <v>235</v>
      </c>
      <c r="G47" s="28">
        <v>4</v>
      </c>
      <c r="H47" s="25" t="s">
        <v>122</v>
      </c>
      <c r="I47" s="28">
        <v>3</v>
      </c>
      <c r="J47" s="29" t="s">
        <v>234</v>
      </c>
      <c r="K47" s="26" t="str">
        <f ca="1">IF($B47="","",IF($J47="Lu","Lu",IF($J47="Écarté","Écarté",IF($I47&lt;Paramètres!$C$8,"EN RETARD",IF($I47=Paramètres!$C$8,"Ce mois-ci",IF($I47=Paramètres!$C$8+1,"Mois prochain","À venir"))))))</f>
        <v>À venir</v>
      </c>
      <c r="L47" s="30" t="str">
        <f t="shared" si="8"/>
        <v>À télécharger via l'accès ENTPE</v>
      </c>
      <c r="M47" s="31">
        <f ca="1">IF($B47="","",IF(OR($J47="Lu",$J47="Écarté"),0,IFERROR(INDEX(Paramètres!$C$17:$C$19,MATCH($H47,Paramètres!$B$17:$B$19,0)),0)+Paramètres!$C$20*(7-$I47)+IF($I47&lt;Paramètres!$C$8,Paramètres!$C$21,0)+IF($F47="Oui",Paramètres!$C$22,0)+IF($AL47&lt;&gt;"Vérifié",Paramètres!$C$23,0)+IF(AND($O47&lt;&gt;"Oui",OR($AJ47="PDF libre",$AJ47="PDF libre (dépôt)")),Paramètres!$C$24,0)))</f>
        <v>120</v>
      </c>
      <c r="N47" s="32"/>
      <c r="O47" s="33" t="str">
        <f>IF($BB47="","Non",HYPERLINK(DossierPDF&amp;$BB47,"Oui"))</f>
        <v>Oui</v>
      </c>
      <c r="P47" s="33" t="s">
        <v>235</v>
      </c>
      <c r="Q47" s="33" t="s">
        <v>235</v>
      </c>
      <c r="R47" s="33"/>
      <c r="S47" s="34"/>
      <c r="T47" s="25" t="s">
        <v>236</v>
      </c>
      <c r="U47" s="26" t="str">
        <f>IF($B47="","",IFERROR(INDEX(Paramètres!$N$6:$N$13,MATCH($T47,Paramètres!$M$6:$M$13,0)),$T47))</f>
        <v>Article de revue</v>
      </c>
      <c r="V47" s="4" t="s">
        <v>790</v>
      </c>
      <c r="W47" s="28">
        <v>2011</v>
      </c>
      <c r="X47" s="4" t="s">
        <v>474</v>
      </c>
      <c r="Y47" s="25" t="s">
        <v>500</v>
      </c>
      <c r="Z47" s="25" t="s">
        <v>394</v>
      </c>
      <c r="AA47" s="25" t="s">
        <v>791</v>
      </c>
      <c r="AB47" s="25"/>
      <c r="AC47" s="25" t="s">
        <v>792</v>
      </c>
      <c r="AD47" s="25"/>
      <c r="AE47" s="25" t="s">
        <v>243</v>
      </c>
      <c r="AF47" s="35" t="s">
        <v>793</v>
      </c>
      <c r="AG47" s="27" t="str">
        <f t="shared" si="9"/>
        <v>doi.org</v>
      </c>
      <c r="AH47" s="27" t="str">
        <f t="shared" si="10"/>
        <v>Scholar</v>
      </c>
      <c r="AI47" s="28" t="s">
        <v>245</v>
      </c>
      <c r="AJ47" s="25" t="s">
        <v>185</v>
      </c>
      <c r="AK47" s="4" t="s">
        <v>480</v>
      </c>
      <c r="AL47" s="25" t="s">
        <v>247</v>
      </c>
      <c r="AM47" s="4" t="s">
        <v>264</v>
      </c>
      <c r="AN47" s="25" t="s">
        <v>249</v>
      </c>
      <c r="AO47" s="4" t="s">
        <v>794</v>
      </c>
      <c r="AP47" s="4" t="s">
        <v>795</v>
      </c>
      <c r="AQ47" s="25" t="s">
        <v>235</v>
      </c>
      <c r="AR47" s="26" t="str">
        <f>IF($B47="","",IFERROR(INDEX(Paramètres!$Q$6:$Q$13,MATCH($G47,Paramètres!$P$6:$P$13,0)),""))</f>
        <v>Caractérisation expérimentale du module complexe</v>
      </c>
      <c r="AS47" s="26" t="str">
        <f>IF($B47="","",IFERROR(INDEX(Paramètres!$T$6:$T$11,MATCH($I47,Paramètres!$S$6:$S$11,0)),""))</f>
        <v>décembre 2026</v>
      </c>
      <c r="AT47" s="31">
        <f>IF($B47="","",IFERROR(INDEX(Paramètres!$C$27:$C$29,MATCH($H47,Paramètres!$B$27:$B$29,0)),0))</f>
        <v>6</v>
      </c>
      <c r="AU47" s="29"/>
      <c r="AV47" s="32"/>
      <c r="AW47" s="26" t="str">
        <f t="shared" si="11"/>
        <v>dibenedetto2011nonlinearity.md</v>
      </c>
      <c r="AX47" s="26">
        <f>IF($B47="","",COUNTIF($I$2:I47,$I47))</f>
        <v>2</v>
      </c>
      <c r="AY47" s="26" t="str">
        <f t="shared" si="12"/>
        <v>3-2</v>
      </c>
      <c r="AZ47" s="26" t="s">
        <v>796</v>
      </c>
      <c r="BA47" s="36">
        <f t="shared" ca="1" si="13"/>
        <v>120.00953</v>
      </c>
      <c r="BB47" t="inlineStr">
        <is>
          <t>BIB-046_DiBenedetto-etal_2011_Nonlinearity-heating-fatigue-thixotropy.pdf</t>
        </is>
      </c>
    </row>
    <row r="48" spans="1:54" ht="45" hidden="1" customHeight="1" x14ac:dyDescent="0.25">
      <c r="A48" s="25" t="s">
        <v>797</v>
      </c>
      <c r="B48" s="25" t="s">
        <v>798</v>
      </c>
      <c r="C48" s="26" t="str">
        <f t="shared" si="7"/>
        <v>Nguyen et al. (2017)</v>
      </c>
      <c r="D48" s="4" t="s">
        <v>799</v>
      </c>
      <c r="E48" s="27" t="str">
        <f>IF(OR($B48="",$AF48=""),"",HYPERLINK(IF(AND(Paramètres!$C$13&lt;&gt;"",$AJ48="Éditeur (abonnement)"),Paramètres!$C$13&amp;$AF48,$AF48),"Ouvrir : "&amp;$AE48))</f>
        <v>Ouvrir : Texte intégral (dépôt)</v>
      </c>
      <c r="F48" s="28" t="s">
        <v>235</v>
      </c>
      <c r="G48" s="28">
        <v>4</v>
      </c>
      <c r="H48" s="25" t="s">
        <v>122</v>
      </c>
      <c r="I48" s="28">
        <v>3</v>
      </c>
      <c r="J48" s="29" t="s">
        <v>234</v>
      </c>
      <c r="K48" s="26" t="str">
        <f ca="1">IF($B48="","",IF($J48="Lu","Lu",IF($J48="Écarté","Écarté",IF($I48&lt;Paramètres!$C$8,"EN RETARD",IF($I48=Paramètres!$C$8,"Ce mois-ci",IF($I48=Paramètres!$C$8+1,"Mois prochain","À venir"))))))</f>
        <v>À venir</v>
      </c>
      <c r="L48" s="30" t="str">
        <f t="shared" si="8"/>
        <v>PDF libre à télécharger</v>
      </c>
      <c r="M48" s="31">
        <f ca="1">IF($B48="","",IF(OR($J48="Lu",$J48="Écarté"),0,IFERROR(INDEX(Paramètres!$C$17:$C$19,MATCH($H48,Paramètres!$B$17:$B$19,0)),0)+Paramètres!$C$20*(7-$I48)+IF($I48&lt;Paramètres!$C$8,Paramètres!$C$21,0)+IF($F48="Oui",Paramètres!$C$22,0)+IF($AL48&lt;&gt;"Vérifié",Paramètres!$C$23,0)+IF(AND($O48&lt;&gt;"Oui",OR($AJ48="PDF libre",$AJ48="PDF libre (dépôt)")),Paramètres!$C$24,0)))</f>
        <v>125</v>
      </c>
      <c r="N48" s="32"/>
      <c r="O48" s="33" t="str">
        <f>IF($BB48="","Non",HYPERLINK(DossierPDF&amp;$BB48,"Oui"))</f>
        <v>Oui</v>
      </c>
      <c r="P48" s="33" t="s">
        <v>235</v>
      </c>
      <c r="Q48" s="33" t="s">
        <v>235</v>
      </c>
      <c r="R48" s="33"/>
      <c r="S48" s="34"/>
      <c r="T48" s="25" t="s">
        <v>236</v>
      </c>
      <c r="U48" s="26" t="str">
        <f>IF($B48="","",IFERROR(INDEX(Paramètres!$N$6:$N$13,MATCH($T48,Paramètres!$M$6:$M$13,0)),$T48))</f>
        <v>Article de revue</v>
      </c>
      <c r="V48" s="4" t="s">
        <v>800</v>
      </c>
      <c r="W48" s="28">
        <v>2017</v>
      </c>
      <c r="X48" s="4" t="s">
        <v>801</v>
      </c>
      <c r="Y48" s="25" t="s">
        <v>802</v>
      </c>
      <c r="Z48" s="25" t="s">
        <v>394</v>
      </c>
      <c r="AA48" s="25"/>
      <c r="AB48" s="25"/>
      <c r="AC48" s="25" t="s">
        <v>803</v>
      </c>
      <c r="AD48" s="25"/>
      <c r="AE48" s="25" t="s">
        <v>355</v>
      </c>
      <c r="AF48" s="35" t="s">
        <v>804</v>
      </c>
      <c r="AG48" s="27" t="str">
        <f t="shared" si="9"/>
        <v>doi.org</v>
      </c>
      <c r="AH48" s="27" t="str">
        <f t="shared" si="10"/>
        <v>Scholar</v>
      </c>
      <c r="AI48" s="28" t="s">
        <v>277</v>
      </c>
      <c r="AJ48" s="25" t="s">
        <v>184</v>
      </c>
      <c r="AK48" s="4" t="s">
        <v>805</v>
      </c>
      <c r="AL48" s="25" t="s">
        <v>247</v>
      </c>
      <c r="AM48" s="4" t="s">
        <v>806</v>
      </c>
      <c r="AN48" s="25" t="s">
        <v>249</v>
      </c>
      <c r="AO48" s="4" t="s">
        <v>807</v>
      </c>
      <c r="AP48" s="4" t="s">
        <v>808</v>
      </c>
      <c r="AQ48" s="25" t="s">
        <v>235</v>
      </c>
      <c r="AR48" s="26" t="str">
        <f>IF($B48="","",IFERROR(INDEX(Paramètres!$Q$6:$Q$13,MATCH($G48,Paramètres!$P$6:$P$13,0)),""))</f>
        <v>Caractérisation expérimentale du module complexe</v>
      </c>
      <c r="AS48" s="26" t="str">
        <f>IF($B48="","",IFERROR(INDEX(Paramètres!$T$6:$T$11,MATCH($I48,Paramètres!$S$6:$S$11,0)),""))</f>
        <v>décembre 2026</v>
      </c>
      <c r="AT48" s="31">
        <f>IF($B48="","",IFERROR(INDEX(Paramètres!$C$27:$C$29,MATCH($H48,Paramètres!$B$27:$B$29,0)),0))</f>
        <v>6</v>
      </c>
      <c r="AU48" s="29"/>
      <c r="AV48" s="32"/>
      <c r="AW48" s="26" t="str">
        <f t="shared" si="11"/>
        <v>nguyen2017_3dtc.md</v>
      </c>
      <c r="AX48" s="26">
        <f>IF($B48="","",COUNTIF($I$2:I48,$I48))</f>
        <v>3</v>
      </c>
      <c r="AY48" s="26" t="str">
        <f t="shared" si="12"/>
        <v>3-3</v>
      </c>
      <c r="AZ48" s="26" t="s">
        <v>809</v>
      </c>
      <c r="BA48" s="36">
        <f t="shared" ca="1" si="13"/>
        <v>125.00951999999999</v>
      </c>
      <c r="BB48" t="inlineStr">
        <is>
          <t>BIB-047_Nguyen-etal_2017_3D-complex-modulus-tension-compression.pdf</t>
        </is>
      </c>
    </row>
    <row r="49" spans="1:54" ht="45" customHeight="1" x14ac:dyDescent="0.25">
      <c r="A49" s="25" t="s">
        <v>810</v>
      </c>
      <c r="B49" s="25" t="s">
        <v>811</v>
      </c>
      <c r="C49" s="26" t="str">
        <f t="shared" si="7"/>
        <v>Di Benedetto et al. (2007)</v>
      </c>
      <c r="D49" s="4" t="s">
        <v>812</v>
      </c>
      <c r="E49" s="27" t="str">
        <f>IF(OR($B49="",$AF49=""),"",HYPERLINK(IF(AND(Paramètres!$C$13&lt;&gt;"",$AJ49="Éditeur (abonnement)"),Paramètres!$C$13&amp;$AF49,$AF49),"Ouvrir : "&amp;$AE49))</f>
        <v>Ouvrir : Page éditeur (DOI)</v>
      </c>
      <c r="F49" s="28" t="s">
        <v>235</v>
      </c>
      <c r="G49" s="28">
        <v>3</v>
      </c>
      <c r="H49" s="25" t="s">
        <v>338</v>
      </c>
      <c r="I49" s="28">
        <v>3</v>
      </c>
      <c r="J49" s="29" t="s">
        <v>234</v>
      </c>
      <c r="K49" s="26" t="str">
        <f ca="1">IF($B49="","",IF($J49="Lu","Lu",IF($J49="Écarté","Écarté",IF($I49&lt;Paramètres!$C$8,"EN RETARD",IF($I49=Paramètres!$C$8,"Ce mois-ci",IF($I49=Paramètres!$C$8+1,"Mois prochain","À venir"))))))</f>
        <v>À venir</v>
      </c>
      <c r="L49" s="30" t="str">
        <f t="shared" si="8"/>
        <v>À télécharger via l'accès ENTPE</v>
      </c>
      <c r="M49" s="31">
        <f ca="1">IF($B49="","",IF(OR($J49="Lu",$J49="Écarté"),0,IFERROR(INDEX(Paramètres!$C$17:$C$19,MATCH($H49,Paramètres!$B$17:$B$19,0)),0)+Paramètres!$C$20*(7-$I49)+IF($I49&lt;Paramètres!$C$8,Paramètres!$C$21,0)+IF($F49="Oui",Paramètres!$C$22,0)+IF($AL49&lt;&gt;"Vérifié",Paramètres!$C$23,0)+IF(AND($O49&lt;&gt;"Oui",OR($AJ49="PDF libre",$AJ49="PDF libre (dépôt)")),Paramètres!$C$24,0)))</f>
        <v>80</v>
      </c>
      <c r="N49" s="32"/>
      <c r="O49" s="33" t="str">
        <f>IF($BB49="","Non",HYPERLINK(DossierPDF&amp;$BB49,"Oui"))</f>
        <v>Oui</v>
      </c>
      <c r="P49" s="33" t="s">
        <v>235</v>
      </c>
      <c r="Q49" s="33" t="s">
        <v>235</v>
      </c>
      <c r="R49" s="33"/>
      <c r="S49" s="34"/>
      <c r="T49" s="25" t="s">
        <v>236</v>
      </c>
      <c r="U49" s="26" t="str">
        <f>IF($B49="","",IFERROR(INDEX(Paramètres!$N$6:$N$13,MATCH($T49,Paramètres!$M$6:$M$13,0)),$T49))</f>
        <v>Article de revue</v>
      </c>
      <c r="V49" s="4" t="s">
        <v>813</v>
      </c>
      <c r="W49" s="28">
        <v>2007</v>
      </c>
      <c r="X49" s="4" t="s">
        <v>814</v>
      </c>
      <c r="Y49" s="25" t="s">
        <v>259</v>
      </c>
      <c r="Z49" s="25" t="s">
        <v>368</v>
      </c>
      <c r="AA49" s="25" t="s">
        <v>815</v>
      </c>
      <c r="AB49" s="25"/>
      <c r="AC49" s="25" t="s">
        <v>816</v>
      </c>
      <c r="AD49" s="25"/>
      <c r="AE49" s="25" t="s">
        <v>243</v>
      </c>
      <c r="AF49" s="35" t="s">
        <v>817</v>
      </c>
      <c r="AG49" s="27" t="str">
        <f t="shared" si="9"/>
        <v>doi.org</v>
      </c>
      <c r="AH49" s="27" t="str">
        <f t="shared" si="10"/>
        <v>Scholar</v>
      </c>
      <c r="AI49" s="28" t="s">
        <v>245</v>
      </c>
      <c r="AJ49" s="25" t="s">
        <v>185</v>
      </c>
      <c r="AK49" s="4" t="s">
        <v>677</v>
      </c>
      <c r="AL49" s="25" t="s">
        <v>247</v>
      </c>
      <c r="AM49" s="4" t="s">
        <v>264</v>
      </c>
      <c r="AN49" s="25" t="s">
        <v>249</v>
      </c>
      <c r="AO49" s="4" t="s">
        <v>818</v>
      </c>
      <c r="AP49" s="4" t="s">
        <v>819</v>
      </c>
      <c r="AQ49" s="25" t="s">
        <v>235</v>
      </c>
      <c r="AR49" s="26" t="str">
        <f>IF($B49="","",IFERROR(INDEX(Paramètres!$Q$6:$Q$13,MATCH($G49,Paramètres!$P$6:$P$13,0)),""))</f>
        <v>Viscoélasticité des enrobés</v>
      </c>
      <c r="AS49" s="26" t="str">
        <f>IF($B49="","",IFERROR(INDEX(Paramètres!$T$6:$T$11,MATCH($I49,Paramètres!$S$6:$S$11,0)),""))</f>
        <v>décembre 2026</v>
      </c>
      <c r="AT49" s="31">
        <f>IF($B49="","",IFERROR(INDEX(Paramètres!$C$27:$C$29,MATCH($H49,Paramètres!$B$27:$B$29,0)),0))</f>
        <v>3</v>
      </c>
      <c r="AU49" s="29"/>
      <c r="AV49" s="32"/>
      <c r="AW49" s="26" t="str">
        <f t="shared" si="11"/>
        <v>dibenedetto2007_3d.md</v>
      </c>
      <c r="AX49" s="26">
        <f>IF($B49="","",COUNTIF($I$2:I49,$I49))</f>
        <v>4</v>
      </c>
      <c r="AY49" s="26" t="str">
        <f t="shared" si="12"/>
        <v>3-4</v>
      </c>
      <c r="AZ49" s="26" t="s">
        <v>820</v>
      </c>
      <c r="BA49" s="36">
        <f t="shared" ca="1" si="13"/>
        <v>80.009510000000006</v>
      </c>
      <c r="BB49" t="inlineStr">
        <is>
          <t>BIB-048_DiBenedetto-etal_2007_3D-linear-behavior-bituminous-materials.pdf</t>
        </is>
      </c>
    </row>
    <row r="50" spans="1:54" ht="45" customHeight="1" x14ac:dyDescent="0.25">
      <c r="A50" s="25" t="s">
        <v>821</v>
      </c>
      <c r="B50" s="25" t="s">
        <v>822</v>
      </c>
      <c r="C50" s="26" t="str">
        <f t="shared" si="7"/>
        <v>Graziani et al. (2014)</v>
      </c>
      <c r="D50" s="4" t="s">
        <v>823</v>
      </c>
      <c r="E50" s="27" t="str">
        <f>IF(OR($B50="",$AF50=""),"",HYPERLINK(IF(AND(Paramètres!$C$13&lt;&gt;"",$AJ50="Éditeur (abonnement)"),Paramètres!$C$13&amp;$AF50,$AF50),"Ouvrir : "&amp;$AE50))</f>
        <v>Ouvrir : Page éditeur (DOI)</v>
      </c>
      <c r="F50" s="28" t="s">
        <v>235</v>
      </c>
      <c r="G50" s="28">
        <v>3</v>
      </c>
      <c r="H50" s="25" t="s">
        <v>338</v>
      </c>
      <c r="I50" s="28">
        <v>3</v>
      </c>
      <c r="J50" s="29" t="s">
        <v>234</v>
      </c>
      <c r="K50" s="26" t="str">
        <f ca="1">IF($B50="","",IF($J50="Lu","Lu",IF($J50="Écarté","Écarté",IF($I50&lt;Paramètres!$C$8,"EN RETARD",IF($I50=Paramètres!$C$8,"Ce mois-ci",IF($I50=Paramètres!$C$8+1,"Mois prochain","À venir"))))))</f>
        <v>À venir</v>
      </c>
      <c r="L50" s="30" t="str">
        <f t="shared" si="8"/>
        <v>À télécharger via l'accès ENTPE</v>
      </c>
      <c r="M50" s="31">
        <f ca="1">IF($B50="","",IF(OR($J50="Lu",$J50="Écarté"),0,IFERROR(INDEX(Paramètres!$C$17:$C$19,MATCH($H50,Paramètres!$B$17:$B$19,0)),0)+Paramètres!$C$20*(7-$I50)+IF($I50&lt;Paramètres!$C$8,Paramètres!$C$21,0)+IF($F50="Oui",Paramètres!$C$22,0)+IF($AL50&lt;&gt;"Vérifié",Paramètres!$C$23,0)+IF(AND($O50&lt;&gt;"Oui",OR($AJ50="PDF libre",$AJ50="PDF libre (dépôt)")),Paramètres!$C$24,0)))</f>
        <v>80</v>
      </c>
      <c r="N50" s="32"/>
      <c r="O50" s="33" t="str">
        <f>IF($BB50="","Non",HYPERLINK(DossierPDF&amp;$BB50,"Oui"))</f>
        <v>Oui</v>
      </c>
      <c r="P50" s="33" t="s">
        <v>235</v>
      </c>
      <c r="Q50" s="33" t="s">
        <v>235</v>
      </c>
      <c r="R50" s="33"/>
      <c r="S50" s="34"/>
      <c r="T50" s="25" t="s">
        <v>236</v>
      </c>
      <c r="U50" s="26" t="str">
        <f>IF($B50="","",IFERROR(INDEX(Paramètres!$N$6:$N$13,MATCH($T50,Paramètres!$M$6:$M$13,0)),$T50))</f>
        <v>Article de revue</v>
      </c>
      <c r="V50" s="4" t="s">
        <v>824</v>
      </c>
      <c r="W50" s="28">
        <v>2014</v>
      </c>
      <c r="X50" s="4" t="s">
        <v>825</v>
      </c>
      <c r="Y50" s="25" t="s">
        <v>826</v>
      </c>
      <c r="Z50" s="25" t="s">
        <v>827</v>
      </c>
      <c r="AA50" s="25" t="s">
        <v>828</v>
      </c>
      <c r="AB50" s="25"/>
      <c r="AC50" s="25" t="s">
        <v>829</v>
      </c>
      <c r="AD50" s="25"/>
      <c r="AE50" s="25" t="s">
        <v>243</v>
      </c>
      <c r="AF50" s="35" t="s">
        <v>830</v>
      </c>
      <c r="AG50" s="27" t="str">
        <f t="shared" si="9"/>
        <v>doi.org</v>
      </c>
      <c r="AH50" s="27" t="str">
        <f t="shared" si="10"/>
        <v>Scholar</v>
      </c>
      <c r="AI50" s="28" t="s">
        <v>245</v>
      </c>
      <c r="AJ50" s="25" t="s">
        <v>185</v>
      </c>
      <c r="AK50" s="4" t="s">
        <v>831</v>
      </c>
      <c r="AL50" s="25" t="s">
        <v>247</v>
      </c>
      <c r="AM50" s="4" t="s">
        <v>264</v>
      </c>
      <c r="AN50" s="25" t="s">
        <v>249</v>
      </c>
      <c r="AO50" s="4" t="s">
        <v>832</v>
      </c>
      <c r="AP50" s="4" t="s">
        <v>833</v>
      </c>
      <c r="AQ50" s="25" t="s">
        <v>235</v>
      </c>
      <c r="AR50" s="26" t="str">
        <f>IF($B50="","",IFERROR(INDEX(Paramètres!$Q$6:$Q$13,MATCH($G50,Paramètres!$P$6:$P$13,0)),""))</f>
        <v>Viscoélasticité des enrobés</v>
      </c>
      <c r="AS50" s="26" t="str">
        <f>IF($B50="","",IFERROR(INDEX(Paramètres!$T$6:$T$11,MATCH($I50,Paramètres!$S$6:$S$11,0)),""))</f>
        <v>décembre 2026</v>
      </c>
      <c r="AT50" s="31">
        <f>IF($B50="","",IFERROR(INDEX(Paramètres!$C$27:$C$29,MATCH($H50,Paramètres!$B$27:$B$29,0)),0))</f>
        <v>3</v>
      </c>
      <c r="AU50" s="29"/>
      <c r="AV50" s="32"/>
      <c r="AW50" s="26" t="str">
        <f t="shared" si="11"/>
        <v>graziani2014bulkshear.md</v>
      </c>
      <c r="AX50" s="26">
        <f>IF($B50="","",COUNTIF($I$2:I50,$I50))</f>
        <v>5</v>
      </c>
      <c r="AY50" s="26" t="str">
        <f t="shared" si="12"/>
        <v>3-5</v>
      </c>
      <c r="AZ50" s="26" t="s">
        <v>834</v>
      </c>
      <c r="BA50" s="36">
        <f t="shared" ca="1" si="13"/>
        <v>80.009500000000003</v>
      </c>
      <c r="BB50" t="inlineStr">
        <is>
          <t>BIB-049_Graziani-etal_2014_Bulk-shear-characterization-LVE.pdf</t>
        </is>
      </c>
    </row>
    <row r="51" spans="1:54" ht="45" customHeight="1" x14ac:dyDescent="0.25">
      <c r="A51" s="25" t="s">
        <v>835</v>
      </c>
      <c r="B51" s="25" t="s">
        <v>836</v>
      </c>
      <c r="C51" s="26" t="str">
        <f t="shared" si="7"/>
        <v>Graziani et al. (2014)</v>
      </c>
      <c r="D51" s="4" t="s">
        <v>837</v>
      </c>
      <c r="E51" s="27" t="str">
        <f>IF(OR($B51="",$AF51=""),"",HYPERLINK(IF(AND(Paramètres!$C$13&lt;&gt;"",$AJ51="Éditeur (abonnement)"),Paramètres!$C$13&amp;$AF51,$AF51),"Ouvrir : "&amp;$AE51))</f>
        <v>Ouvrir : Page éditeur (DOI)</v>
      </c>
      <c r="F51" s="28" t="s">
        <v>235</v>
      </c>
      <c r="G51" s="28">
        <v>3</v>
      </c>
      <c r="H51" s="25" t="s">
        <v>338</v>
      </c>
      <c r="I51" s="28">
        <v>3</v>
      </c>
      <c r="J51" s="29" t="s">
        <v>234</v>
      </c>
      <c r="K51" s="26" t="str">
        <f ca="1">IF($B51="","",IF($J51="Lu","Lu",IF($J51="Écarté","Écarté",IF($I51&lt;Paramètres!$C$8,"EN RETARD",IF($I51=Paramètres!$C$8,"Ce mois-ci",IF($I51=Paramètres!$C$8+1,"Mois prochain","À venir"))))))</f>
        <v>À venir</v>
      </c>
      <c r="L51" s="30" t="str">
        <f t="shared" si="8"/>
        <v>À télécharger via l'accès ENTPE</v>
      </c>
      <c r="M51" s="31">
        <f ca="1">IF($B51="","",IF(OR($J51="Lu",$J51="Écarté"),0,IFERROR(INDEX(Paramètres!$C$17:$C$19,MATCH($H51,Paramètres!$B$17:$B$19,0)),0)+Paramètres!$C$20*(7-$I51)+IF($I51&lt;Paramètres!$C$8,Paramètres!$C$21,0)+IF($F51="Oui",Paramètres!$C$22,0)+IF($AL51&lt;&gt;"Vérifié",Paramètres!$C$23,0)+IF(AND($O51&lt;&gt;"Oui",OR($AJ51="PDF libre",$AJ51="PDF libre (dépôt)")),Paramètres!$C$24,0)))</f>
        <v>80</v>
      </c>
      <c r="N51" s="32"/>
      <c r="O51" s="33" t="str">
        <f>IF($BB51="","Non",HYPERLINK(DossierPDF&amp;$BB51,"Oui"))</f>
        <v>Oui</v>
      </c>
      <c r="P51" s="33" t="s">
        <v>235</v>
      </c>
      <c r="Q51" s="33" t="s">
        <v>235</v>
      </c>
      <c r="R51" s="33"/>
      <c r="S51" s="34"/>
      <c r="T51" s="25" t="s">
        <v>236</v>
      </c>
      <c r="U51" s="26" t="str">
        <f>IF($B51="","",IFERROR(INDEX(Paramètres!$N$6:$N$13,MATCH($T51,Paramètres!$M$6:$M$13,0)),$T51))</f>
        <v>Article de revue</v>
      </c>
      <c r="V51" s="4" t="s">
        <v>838</v>
      </c>
      <c r="W51" s="28">
        <v>2014</v>
      </c>
      <c r="X51" s="4" t="s">
        <v>801</v>
      </c>
      <c r="Y51" s="25" t="s">
        <v>839</v>
      </c>
      <c r="Z51" s="25" t="s">
        <v>259</v>
      </c>
      <c r="AA51" s="25" t="s">
        <v>840</v>
      </c>
      <c r="AB51" s="25"/>
      <c r="AC51" s="25" t="s">
        <v>841</v>
      </c>
      <c r="AD51" s="25"/>
      <c r="AE51" s="25" t="s">
        <v>243</v>
      </c>
      <c r="AF51" s="35" t="s">
        <v>842</v>
      </c>
      <c r="AG51" s="27" t="str">
        <f t="shared" si="9"/>
        <v>doi.org</v>
      </c>
      <c r="AH51" s="27" t="str">
        <f t="shared" si="10"/>
        <v>Scholar</v>
      </c>
      <c r="AI51" s="28" t="s">
        <v>245</v>
      </c>
      <c r="AJ51" s="25" t="s">
        <v>185</v>
      </c>
      <c r="AK51" s="4" t="s">
        <v>831</v>
      </c>
      <c r="AL51" s="25" t="s">
        <v>247</v>
      </c>
      <c r="AM51" s="4" t="s">
        <v>843</v>
      </c>
      <c r="AN51" s="25" t="s">
        <v>249</v>
      </c>
      <c r="AO51" s="4" t="s">
        <v>844</v>
      </c>
      <c r="AP51" s="4" t="s">
        <v>845</v>
      </c>
      <c r="AQ51" s="25" t="s">
        <v>235</v>
      </c>
      <c r="AR51" s="26" t="str">
        <f>IF($B51="","",IFERROR(INDEX(Paramètres!$Q$6:$Q$13,MATCH($G51,Paramètres!$P$6:$P$13,0)),""))</f>
        <v>Viscoélasticité des enrobés</v>
      </c>
      <c r="AS51" s="26" t="str">
        <f>IF($B51="","",IFERROR(INDEX(Paramètres!$T$6:$T$11,MATCH($I51,Paramètres!$S$6:$S$11,0)),""))</f>
        <v>décembre 2026</v>
      </c>
      <c r="AT51" s="31">
        <f>IF($B51="","",IFERROR(INDEX(Paramètres!$C$27:$C$29,MATCH($H51,Paramètres!$B$27:$B$29,0)),0))</f>
        <v>3</v>
      </c>
      <c r="AU51" s="29"/>
      <c r="AV51" s="32"/>
      <c r="AW51" s="26" t="str">
        <f t="shared" si="11"/>
        <v>graziani2014poisson.md</v>
      </c>
      <c r="AX51" s="26">
        <f>IF($B51="","",COUNTIF($I$2:I51,$I51))</f>
        <v>6</v>
      </c>
      <c r="AY51" s="26" t="str">
        <f t="shared" si="12"/>
        <v>3-6</v>
      </c>
      <c r="AZ51" s="26" t="s">
        <v>846</v>
      </c>
      <c r="BA51" s="36">
        <f t="shared" ca="1" si="13"/>
        <v>80.00949</v>
      </c>
      <c r="BB51" t="inlineStr">
        <is>
          <t>BIB-050_Graziani-etal_2014_Complex-Poisson-ratio-measurement-modeling.pdf</t>
        </is>
      </c>
    </row>
    <row r="52" spans="1:54" ht="45" hidden="1" customHeight="1" x14ac:dyDescent="0.25">
      <c r="A52" s="25" t="s">
        <v>847</v>
      </c>
      <c r="B52" s="25" t="s">
        <v>848</v>
      </c>
      <c r="C52" s="26" t="str">
        <f t="shared" si="7"/>
        <v>Graziani et al. (2017)</v>
      </c>
      <c r="D52" s="4" t="s">
        <v>849</v>
      </c>
      <c r="E52" s="27" t="str">
        <f>IF(OR($B52="",$AF52=""),"",HYPERLINK(IF(AND(Paramètres!$C$13&lt;&gt;"",$AJ52="Éditeur (abonnement)"),Paramètres!$C$13&amp;$AF52,$AF52),"Ouvrir : "&amp;$AE52))</f>
        <v>Ouvrir : Texte intégral libre</v>
      </c>
      <c r="F52" s="28" t="s">
        <v>235</v>
      </c>
      <c r="G52" s="28">
        <v>3</v>
      </c>
      <c r="H52" s="25" t="s">
        <v>338</v>
      </c>
      <c r="I52" s="28">
        <v>3</v>
      </c>
      <c r="J52" s="29" t="s">
        <v>234</v>
      </c>
      <c r="K52" s="26" t="str">
        <f ca="1">IF($B52="","",IF($J52="Lu","Lu",IF($J52="Écarté","Écarté",IF($I52&lt;Paramètres!$C$8,"EN RETARD",IF($I52=Paramètres!$C$8,"Ce mois-ci",IF($I52=Paramètres!$C$8+1,"Mois prochain","À venir"))))))</f>
        <v>À venir</v>
      </c>
      <c r="L52" s="30" t="str">
        <f t="shared" si="8"/>
        <v>PDF libre à télécharger</v>
      </c>
      <c r="M52" s="31">
        <f ca="1">IF($B52="","",IF(OR($J52="Lu",$J52="Écarté"),0,IFERROR(INDEX(Paramètres!$C$17:$C$19,MATCH($H52,Paramètres!$B$17:$B$19,0)),0)+Paramètres!$C$20*(7-$I52)+IF($I52&lt;Paramètres!$C$8,Paramètres!$C$21,0)+IF($F52="Oui",Paramètres!$C$22,0)+IF($AL52&lt;&gt;"Vérifié",Paramètres!$C$23,0)+IF(AND($O52&lt;&gt;"Oui",OR($AJ52="PDF libre",$AJ52="PDF libre (dépôt)")),Paramètres!$C$24,0)))</f>
        <v>85</v>
      </c>
      <c r="N52" s="32"/>
      <c r="O52" s="33" t="str">
        <f>IF($BB52="","Non",HYPERLINK(DossierPDF&amp;$BB52,"Oui"))</f>
        <v>Oui</v>
      </c>
      <c r="P52" s="33" t="s">
        <v>235</v>
      </c>
      <c r="Q52" s="33" t="s">
        <v>235</v>
      </c>
      <c r="R52" s="33"/>
      <c r="S52" s="34"/>
      <c r="T52" s="25" t="s">
        <v>236</v>
      </c>
      <c r="U52" s="26" t="str">
        <f>IF($B52="","",IFERROR(INDEX(Paramètres!$N$6:$N$13,MATCH($T52,Paramètres!$M$6:$M$13,0)),$T52))</f>
        <v>Article de revue</v>
      </c>
      <c r="V52" s="4" t="s">
        <v>850</v>
      </c>
      <c r="W52" s="28">
        <v>2017</v>
      </c>
      <c r="X52" s="4" t="s">
        <v>801</v>
      </c>
      <c r="Y52" s="25" t="s">
        <v>802</v>
      </c>
      <c r="Z52" s="25" t="s">
        <v>368</v>
      </c>
      <c r="AA52" s="25"/>
      <c r="AB52" s="25"/>
      <c r="AC52" s="25" t="s">
        <v>851</v>
      </c>
      <c r="AD52" s="25"/>
      <c r="AE52" s="25" t="s">
        <v>275</v>
      </c>
      <c r="AF52" s="35" t="s">
        <v>852</v>
      </c>
      <c r="AG52" s="27" t="str">
        <f t="shared" si="9"/>
        <v>doi.org</v>
      </c>
      <c r="AH52" s="27" t="str">
        <f t="shared" si="10"/>
        <v>Scholar</v>
      </c>
      <c r="AI52" s="28" t="s">
        <v>277</v>
      </c>
      <c r="AJ52" s="25" t="s">
        <v>183</v>
      </c>
      <c r="AK52" s="4" t="s">
        <v>853</v>
      </c>
      <c r="AL52" s="25" t="s">
        <v>247</v>
      </c>
      <c r="AM52" s="4" t="s">
        <v>678</v>
      </c>
      <c r="AN52" s="25" t="s">
        <v>249</v>
      </c>
      <c r="AO52" s="4" t="s">
        <v>854</v>
      </c>
      <c r="AP52" s="4" t="s">
        <v>855</v>
      </c>
      <c r="AQ52" s="25" t="s">
        <v>235</v>
      </c>
      <c r="AR52" s="26" t="str">
        <f>IF($B52="","",IFERROR(INDEX(Paramètres!$Q$6:$Q$13,MATCH($G52,Paramètres!$P$6:$P$13,0)),""))</f>
        <v>Viscoélasticité des enrobés</v>
      </c>
      <c r="AS52" s="26" t="str">
        <f>IF($B52="","",IFERROR(INDEX(Paramètres!$T$6:$T$11,MATCH($I52,Paramètres!$S$6:$S$11,0)),""))</f>
        <v>décembre 2026</v>
      </c>
      <c r="AT52" s="31">
        <f>IF($B52="","",IFERROR(INDEX(Paramètres!$C$27:$C$29,MATCH($H52,Paramètres!$B$27:$B$29,0)),0))</f>
        <v>3</v>
      </c>
      <c r="AU52" s="29"/>
      <c r="AV52" s="32"/>
      <c r="AW52" s="26" t="str">
        <f t="shared" si="11"/>
        <v>graziani2017rilem.md</v>
      </c>
      <c r="AX52" s="26">
        <f>IF($B52="","",COUNTIF($I$2:I52,$I52))</f>
        <v>7</v>
      </c>
      <c r="AY52" s="26" t="str">
        <f t="shared" si="12"/>
        <v>3-7</v>
      </c>
      <c r="AZ52" s="26" t="s">
        <v>856</v>
      </c>
      <c r="BA52" s="36">
        <f t="shared" ca="1" si="13"/>
        <v>85.009479999999996</v>
      </c>
      <c r="BB52" t="inlineStr">
        <is>
          <t>BIB-051_Graziani-etal_2017_RILEM-TC237-SIB-complex-Poisson-ratio.pdf</t>
        </is>
      </c>
    </row>
    <row r="53" spans="1:54" ht="45" customHeight="1" x14ac:dyDescent="0.25">
      <c r="A53" s="25" t="s">
        <v>857</v>
      </c>
      <c r="B53" s="25" t="s">
        <v>858</v>
      </c>
      <c r="C53" s="26" t="str">
        <f t="shared" si="7"/>
        <v>Pham et al. (2015)</v>
      </c>
      <c r="D53" s="4" t="s">
        <v>859</v>
      </c>
      <c r="E53" s="27" t="str">
        <f>IF(OR($B53="",$AF53=""),"",HYPERLINK(IF(AND(Paramètres!$C$13&lt;&gt;"",$AJ53="Éditeur (abonnement)"),Paramètres!$C$13&amp;$AF53,$AF53),"Ouvrir : "&amp;$AE53))</f>
        <v>Ouvrir : Page éditeur (DOI)</v>
      </c>
      <c r="F53" s="28" t="s">
        <v>235</v>
      </c>
      <c r="G53" s="28">
        <v>3</v>
      </c>
      <c r="H53" s="25" t="s">
        <v>338</v>
      </c>
      <c r="I53" s="28">
        <v>3</v>
      </c>
      <c r="J53" s="29" t="s">
        <v>234</v>
      </c>
      <c r="K53" s="26" t="str">
        <f ca="1">IF($B53="","",IF($J53="Lu","Lu",IF($J53="Écarté","Écarté",IF($I53&lt;Paramètres!$C$8,"EN RETARD",IF($I53=Paramètres!$C$8,"Ce mois-ci",IF($I53=Paramètres!$C$8+1,"Mois prochain","À venir"))))))</f>
        <v>À venir</v>
      </c>
      <c r="L53" s="30" t="str">
        <f t="shared" si="8"/>
        <v>À télécharger via l'accès ENTPE</v>
      </c>
      <c r="M53" s="31">
        <f ca="1">IF($B53="","",IF(OR($J53="Lu",$J53="Écarté"),0,IFERROR(INDEX(Paramètres!$C$17:$C$19,MATCH($H53,Paramètres!$B$17:$B$19,0)),0)+Paramètres!$C$20*(7-$I53)+IF($I53&lt;Paramètres!$C$8,Paramètres!$C$21,0)+IF($F53="Oui",Paramètres!$C$22,0)+IF($AL53&lt;&gt;"Vérifié",Paramètres!$C$23,0)+IF(AND($O53&lt;&gt;"Oui",OR($AJ53="PDF libre",$AJ53="PDF libre (dépôt)")),Paramètres!$C$24,0)))</f>
        <v>80</v>
      </c>
      <c r="N53" s="32"/>
      <c r="O53" s="33" t="str">
        <f>IF($BB53="","Non",HYPERLINK(DossierPDF&amp;$BB53,"Oui"))</f>
        <v>Oui</v>
      </c>
      <c r="P53" s="33" t="s">
        <v>235</v>
      </c>
      <c r="Q53" s="33" t="s">
        <v>235</v>
      </c>
      <c r="R53" s="33"/>
      <c r="S53" s="34"/>
      <c r="T53" s="25" t="s">
        <v>236</v>
      </c>
      <c r="U53" s="26" t="str">
        <f>IF($B53="","",IFERROR(INDEX(Paramètres!$N$6:$N$13,MATCH($T53,Paramètres!$M$6:$M$13,0)),$T53))</f>
        <v>Article de revue</v>
      </c>
      <c r="V53" s="4" t="s">
        <v>860</v>
      </c>
      <c r="W53" s="28">
        <v>2015</v>
      </c>
      <c r="X53" s="4" t="s">
        <v>825</v>
      </c>
      <c r="Y53" s="25" t="s">
        <v>861</v>
      </c>
      <c r="Z53" s="25" t="s">
        <v>368</v>
      </c>
      <c r="AA53" s="25" t="s">
        <v>862</v>
      </c>
      <c r="AB53" s="25"/>
      <c r="AC53" s="25" t="s">
        <v>863</v>
      </c>
      <c r="AD53" s="25"/>
      <c r="AE53" s="25" t="s">
        <v>243</v>
      </c>
      <c r="AF53" s="35" t="s">
        <v>864</v>
      </c>
      <c r="AG53" s="27" t="str">
        <f t="shared" si="9"/>
        <v>doi.org</v>
      </c>
      <c r="AH53" s="27" t="str">
        <f t="shared" si="10"/>
        <v>Scholar</v>
      </c>
      <c r="AI53" s="28" t="s">
        <v>245</v>
      </c>
      <c r="AJ53" s="25" t="s">
        <v>185</v>
      </c>
      <c r="AK53" s="4" t="s">
        <v>831</v>
      </c>
      <c r="AL53" s="25" t="s">
        <v>247</v>
      </c>
      <c r="AM53" s="4" t="s">
        <v>264</v>
      </c>
      <c r="AN53" s="25" t="s">
        <v>249</v>
      </c>
      <c r="AO53" s="4" t="s">
        <v>865</v>
      </c>
      <c r="AP53" s="4" t="s">
        <v>866</v>
      </c>
      <c r="AQ53" s="25" t="s">
        <v>235</v>
      </c>
      <c r="AR53" s="26" t="str">
        <f>IF($B53="","",IFERROR(INDEX(Paramètres!$Q$6:$Q$13,MATCH($G53,Paramètres!$P$6:$P$13,0)),""))</f>
        <v>Viscoélasticité des enrobés</v>
      </c>
      <c r="AS53" s="26" t="str">
        <f>IF($B53="","",IFERROR(INDEX(Paramètres!$T$6:$T$11,MATCH($I53,Paramètres!$S$6:$S$11,0)),""))</f>
        <v>décembre 2026</v>
      </c>
      <c r="AT53" s="31">
        <f>IF($B53="","",IFERROR(INDEX(Paramètres!$C$27:$C$29,MATCH($H53,Paramètres!$B$27:$B$29,0)),0))</f>
        <v>3</v>
      </c>
      <c r="AU53" s="29"/>
      <c r="AV53" s="32"/>
      <c r="AW53" s="26" t="str">
        <f t="shared" si="11"/>
        <v>pham2015_3d.md</v>
      </c>
      <c r="AX53" s="26">
        <f>IF($B53="","",COUNTIF($I$2:I53,$I53))</f>
        <v>8</v>
      </c>
      <c r="AY53" s="26" t="str">
        <f t="shared" si="12"/>
        <v>3-8</v>
      </c>
      <c r="AZ53" s="26" t="s">
        <v>867</v>
      </c>
      <c r="BA53" s="36">
        <f t="shared" ca="1" si="13"/>
        <v>80.009469999999993</v>
      </c>
      <c r="BB53" t="inlineStr">
        <is>
          <t>BIB-052_Pham-etal_2015_3D-complex-modulus-hot-warm-mixtures.pdf</t>
        </is>
      </c>
    </row>
    <row r="54" spans="1:54" ht="45" hidden="1" customHeight="1" x14ac:dyDescent="0.25">
      <c r="A54" s="25" t="s">
        <v>868</v>
      </c>
      <c r="B54" s="25" t="s">
        <v>869</v>
      </c>
      <c r="C54" s="26" t="str">
        <f t="shared" si="7"/>
        <v>Di Benedetto et al. (2001)</v>
      </c>
      <c r="D54" s="4" t="s">
        <v>870</v>
      </c>
      <c r="E54" s="27" t="str">
        <f>IF(OR($B54="",$AF54=""),"",HYPERLINK(IF(AND(Paramètres!$C$13&lt;&gt;"",$AJ54="Éditeur (abonnement)"),Paramètres!$C$13&amp;$AF54,$AF54),"Ouvrir : "&amp;$AE54))</f>
        <v>Ouvrir : Texte intégral libre</v>
      </c>
      <c r="F54" s="28" t="s">
        <v>235</v>
      </c>
      <c r="G54" s="28">
        <v>4</v>
      </c>
      <c r="H54" s="25" t="s">
        <v>338</v>
      </c>
      <c r="I54" s="28">
        <v>3</v>
      </c>
      <c r="J54" s="29" t="s">
        <v>234</v>
      </c>
      <c r="K54" s="26" t="str">
        <f ca="1">IF($B54="","",IF($J54="Lu","Lu",IF($J54="Écarté","Écarté",IF($I54&lt;Paramètres!$C$8,"EN RETARD",IF($I54=Paramètres!$C$8,"Ce mois-ci",IF($I54=Paramètres!$C$8+1,"Mois prochain","À venir"))))))</f>
        <v>À venir</v>
      </c>
      <c r="L54" s="30" t="str">
        <f t="shared" si="8"/>
        <v>PDF libre à télécharger</v>
      </c>
      <c r="M54" s="31">
        <f ca="1">IF($B54="","",IF(OR($J54="Lu",$J54="Écarté"),0,IFERROR(INDEX(Paramètres!$C$17:$C$19,MATCH($H54,Paramètres!$B$17:$B$19,0)),0)+Paramètres!$C$20*(7-$I54)+IF($I54&lt;Paramètres!$C$8,Paramètres!$C$21,0)+IF($F54="Oui",Paramètres!$C$22,0)+IF($AL54&lt;&gt;"Vérifié",Paramètres!$C$23,0)+IF(AND($O54&lt;&gt;"Oui",OR($AJ54="PDF libre",$AJ54="PDF libre (dépôt)")),Paramètres!$C$24,0)))</f>
        <v>85</v>
      </c>
      <c r="N54" s="32"/>
      <c r="O54" s="33" t="str">
        <f>IF($BB54="","Non",HYPERLINK(DossierPDF&amp;$BB54,"Oui"))</f>
        <v>Oui</v>
      </c>
      <c r="P54" s="33" t="s">
        <v>235</v>
      </c>
      <c r="Q54" s="33" t="s">
        <v>235</v>
      </c>
      <c r="R54" s="33"/>
      <c r="S54" s="34"/>
      <c r="T54" s="25" t="s">
        <v>236</v>
      </c>
      <c r="U54" s="26" t="str">
        <f>IF($B54="","",IFERROR(INDEX(Paramètres!$N$6:$N$13,MATCH($T54,Paramètres!$M$6:$M$13,0)),$T54))</f>
        <v>Article de revue</v>
      </c>
      <c r="V54" s="4" t="s">
        <v>871</v>
      </c>
      <c r="W54" s="28">
        <v>2001</v>
      </c>
      <c r="X54" s="4" t="s">
        <v>801</v>
      </c>
      <c r="Y54" s="25" t="s">
        <v>872</v>
      </c>
      <c r="Z54" s="25" t="s">
        <v>368</v>
      </c>
      <c r="AA54" s="25" t="s">
        <v>873</v>
      </c>
      <c r="AB54" s="25"/>
      <c r="AC54" s="25" t="s">
        <v>874</v>
      </c>
      <c r="AD54" s="25"/>
      <c r="AE54" s="25" t="s">
        <v>275</v>
      </c>
      <c r="AF54" s="35" t="s">
        <v>875</v>
      </c>
      <c r="AG54" s="27" t="str">
        <f t="shared" si="9"/>
        <v>doi.org</v>
      </c>
      <c r="AH54" s="27" t="str">
        <f t="shared" si="10"/>
        <v>Scholar</v>
      </c>
      <c r="AI54" s="28" t="s">
        <v>277</v>
      </c>
      <c r="AJ54" s="25" t="s">
        <v>183</v>
      </c>
      <c r="AK54" s="4" t="s">
        <v>853</v>
      </c>
      <c r="AL54" s="25" t="s">
        <v>247</v>
      </c>
      <c r="AM54" s="4" t="s">
        <v>264</v>
      </c>
      <c r="AN54" s="25" t="s">
        <v>249</v>
      </c>
      <c r="AO54" s="4" t="s">
        <v>876</v>
      </c>
      <c r="AP54" s="4"/>
      <c r="AQ54" s="25" t="s">
        <v>235</v>
      </c>
      <c r="AR54" s="26" t="str">
        <f>IF($B54="","",IFERROR(INDEX(Paramètres!$Q$6:$Q$13,MATCH($G54,Paramètres!$P$6:$P$13,0)),""))</f>
        <v>Caractérisation expérimentale du module complexe</v>
      </c>
      <c r="AS54" s="26" t="str">
        <f>IF($B54="","",IFERROR(INDEX(Paramètres!$T$6:$T$11,MATCH($I54,Paramètres!$S$6:$S$11,0)),""))</f>
        <v>décembre 2026</v>
      </c>
      <c r="AT54" s="31">
        <f>IF($B54="","",IFERROR(INDEX(Paramètres!$C$27:$C$29,MATCH($H54,Paramètres!$B$27:$B$29,0)),0))</f>
        <v>3</v>
      </c>
      <c r="AU54" s="29"/>
      <c r="AV54" s="32"/>
      <c r="AW54" s="26" t="str">
        <f t="shared" si="11"/>
        <v>dibenedetto2001stiffness.md</v>
      </c>
      <c r="AX54" s="26">
        <f>IF($B54="","",COUNTIF($I$2:I54,$I54))</f>
        <v>9</v>
      </c>
      <c r="AY54" s="26" t="str">
        <f t="shared" si="12"/>
        <v>3-9</v>
      </c>
      <c r="AZ54" s="26" t="s">
        <v>877</v>
      </c>
      <c r="BA54" s="36">
        <f t="shared" ca="1" si="13"/>
        <v>85.009460000000004</v>
      </c>
      <c r="BB54" t="inlineStr">
        <is>
          <t>BIB-053_DiBenedetto-etal_2001_Stiffness-testing-bituminous-mixtures.pdf</t>
        </is>
      </c>
    </row>
    <row r="55" spans="1:54" ht="45" hidden="1" customHeight="1" x14ac:dyDescent="0.25">
      <c r="A55" s="25" t="s">
        <v>878</v>
      </c>
      <c r="B55" s="25" t="s">
        <v>879</v>
      </c>
      <c r="C55" s="26" t="str">
        <f t="shared" si="7"/>
        <v>Gayte et al. (2016)</v>
      </c>
      <c r="D55" s="4" t="s">
        <v>880</v>
      </c>
      <c r="E55" s="27" t="str">
        <f>IF(OR($B55="",$AF55=""),"",HYPERLINK(IF(AND(Paramètres!$C$13&lt;&gt;"",$AJ55="Éditeur (abonnement)"),Paramètres!$C$13&amp;$AF55,$AF55),"Ouvrir : "&amp;$AE55))</f>
        <v>Ouvrir : Texte intégral (dépôt)</v>
      </c>
      <c r="F55" s="28" t="s">
        <v>235</v>
      </c>
      <c r="G55" s="28">
        <v>4</v>
      </c>
      <c r="H55" s="25" t="s">
        <v>338</v>
      </c>
      <c r="I55" s="28">
        <v>3</v>
      </c>
      <c r="J55" s="29" t="s">
        <v>234</v>
      </c>
      <c r="K55" s="26" t="str">
        <f ca="1">IF($B55="","",IF($J55="Lu","Lu",IF($J55="Écarté","Écarté",IF($I55&lt;Paramètres!$C$8,"EN RETARD",IF($I55=Paramètres!$C$8,"Ce mois-ci",IF($I55=Paramètres!$C$8+1,"Mois prochain","À venir"))))))</f>
        <v>À venir</v>
      </c>
      <c r="L55" s="30" t="str">
        <f t="shared" si="8"/>
        <v>PDF libre à télécharger</v>
      </c>
      <c r="M55" s="31">
        <f ca="1">IF($B55="","",IF(OR($J55="Lu",$J55="Écarté"),0,IFERROR(INDEX(Paramètres!$C$17:$C$19,MATCH($H55,Paramètres!$B$17:$B$19,0)),0)+Paramètres!$C$20*(7-$I55)+IF($I55&lt;Paramètres!$C$8,Paramètres!$C$21,0)+IF($F55="Oui",Paramètres!$C$22,0)+IF($AL55&lt;&gt;"Vérifié",Paramètres!$C$23,0)+IF(AND($O55&lt;&gt;"Oui",OR($AJ55="PDF libre",$AJ55="PDF libre (dépôt)")),Paramètres!$C$24,0)))</f>
        <v>85</v>
      </c>
      <c r="N55" s="32"/>
      <c r="O55" s="33" t="str">
        <f>IF($BB55="","Non",HYPERLINK(DossierPDF&amp;$BB55,"Oui"))</f>
        <v>Oui</v>
      </c>
      <c r="P55" s="33" t="s">
        <v>235</v>
      </c>
      <c r="Q55" s="33" t="s">
        <v>235</v>
      </c>
      <c r="R55" s="33"/>
      <c r="S55" s="34"/>
      <c r="T55" s="25" t="s">
        <v>236</v>
      </c>
      <c r="U55" s="26" t="str">
        <f>IF($B55="","",IFERROR(INDEX(Paramètres!$N$6:$N$13,MATCH($T55,Paramètres!$M$6:$M$13,0)),$T55))</f>
        <v>Article de revue</v>
      </c>
      <c r="V55" s="4" t="s">
        <v>881</v>
      </c>
      <c r="W55" s="28">
        <v>2016</v>
      </c>
      <c r="X55" s="4" t="s">
        <v>474</v>
      </c>
      <c r="Y55" s="25" t="s">
        <v>882</v>
      </c>
      <c r="Z55" s="25" t="s">
        <v>368</v>
      </c>
      <c r="AA55" s="25" t="s">
        <v>883</v>
      </c>
      <c r="AB55" s="25"/>
      <c r="AC55" s="25" t="s">
        <v>884</v>
      </c>
      <c r="AD55" s="25"/>
      <c r="AE55" s="25" t="s">
        <v>355</v>
      </c>
      <c r="AF55" s="35" t="s">
        <v>885</v>
      </c>
      <c r="AG55" s="27" t="str">
        <f t="shared" si="9"/>
        <v>doi.org</v>
      </c>
      <c r="AH55" s="27" t="str">
        <f t="shared" si="10"/>
        <v>Scholar</v>
      </c>
      <c r="AI55" s="28" t="s">
        <v>277</v>
      </c>
      <c r="AJ55" s="25" t="s">
        <v>184</v>
      </c>
      <c r="AK55" s="4" t="s">
        <v>886</v>
      </c>
      <c r="AL55" s="25" t="s">
        <v>247</v>
      </c>
      <c r="AM55" s="4" t="s">
        <v>887</v>
      </c>
      <c r="AN55" s="25" t="s">
        <v>249</v>
      </c>
      <c r="AO55" s="4" t="s">
        <v>888</v>
      </c>
      <c r="AP55" s="4" t="s">
        <v>889</v>
      </c>
      <c r="AQ55" s="25" t="s">
        <v>235</v>
      </c>
      <c r="AR55" s="26" t="str">
        <f>IF($B55="","",IFERROR(INDEX(Paramètres!$Q$6:$Q$13,MATCH($G55,Paramètres!$P$6:$P$13,0)),""))</f>
        <v>Caractérisation expérimentale du module complexe</v>
      </c>
      <c r="AS55" s="26" t="str">
        <f>IF($B55="","",IFERROR(INDEX(Paramètres!$T$6:$T$11,MATCH($I55,Paramètres!$S$6:$S$11,0)),""))</f>
        <v>décembre 2026</v>
      </c>
      <c r="AT55" s="31">
        <f>IF($B55="","",IFERROR(INDEX(Paramètres!$C$27:$C$29,MATCH($H55,Paramètres!$B$27:$B$29,0)),0))</f>
        <v>3</v>
      </c>
      <c r="AU55" s="29"/>
      <c r="AV55" s="32"/>
      <c r="AW55" s="26" t="str">
        <f t="shared" si="11"/>
        <v>gayte2016transient.md</v>
      </c>
      <c r="AX55" s="26">
        <f>IF($B55="","",COUNTIF($I$2:I55,$I55))</f>
        <v>10</v>
      </c>
      <c r="AY55" s="26" t="str">
        <f t="shared" si="12"/>
        <v>3-10</v>
      </c>
      <c r="AZ55" s="26" t="s">
        <v>890</v>
      </c>
      <c r="BA55" s="36">
        <f t="shared" ca="1" si="13"/>
        <v>85.009450000000001</v>
      </c>
      <c r="BB55" t="inlineStr">
        <is>
          <t>BIB-054_Gayte-etal_2016_Transient-effects-complex-modulus-tests.pdf</t>
        </is>
      </c>
    </row>
    <row r="56" spans="1:54" ht="45" customHeight="1" x14ac:dyDescent="0.25">
      <c r="A56" s="25" t="s">
        <v>891</v>
      </c>
      <c r="B56" s="25" t="s">
        <v>892</v>
      </c>
      <c r="C56" s="26" t="str">
        <f t="shared" si="7"/>
        <v>Nguyen et al. (2013)</v>
      </c>
      <c r="D56" s="4" t="s">
        <v>893</v>
      </c>
      <c r="E56" s="27" t="str">
        <f>IF(OR($B56="",$AF56=""),"",HYPERLINK(IF(AND(Paramètres!$C$13&lt;&gt;"",$AJ56="Éditeur (abonnement)"),Paramètres!$C$13&amp;$AF56,$AF56),"Ouvrir : "&amp;$AE56))</f>
        <v>Ouvrir : Page éditeur (DOI)</v>
      </c>
      <c r="F56" s="28" t="s">
        <v>235</v>
      </c>
      <c r="G56" s="28">
        <v>4</v>
      </c>
      <c r="H56" s="25" t="s">
        <v>338</v>
      </c>
      <c r="I56" s="28">
        <v>3</v>
      </c>
      <c r="J56" s="29" t="s">
        <v>234</v>
      </c>
      <c r="K56" s="26" t="str">
        <f ca="1">IF($B56="","",IF($J56="Lu","Lu",IF($J56="Écarté","Écarté",IF($I56&lt;Paramètres!$C$8,"EN RETARD",IF($I56=Paramètres!$C$8,"Ce mois-ci",IF($I56=Paramètres!$C$8+1,"Mois prochain","À venir"))))))</f>
        <v>À venir</v>
      </c>
      <c r="L56" s="30" t="str">
        <f t="shared" si="8"/>
        <v>À télécharger via l'accès ENTPE</v>
      </c>
      <c r="M56" s="31">
        <f ca="1">IF($B56="","",IF(OR($J56="Lu",$J56="Écarté"),0,IFERROR(INDEX(Paramètres!$C$17:$C$19,MATCH($H56,Paramètres!$B$17:$B$19,0)),0)+Paramètres!$C$20*(7-$I56)+IF($I56&lt;Paramètres!$C$8,Paramètres!$C$21,0)+IF($F56="Oui",Paramètres!$C$22,0)+IF($AL56&lt;&gt;"Vérifié",Paramètres!$C$23,0)+IF(AND($O56&lt;&gt;"Oui",OR($AJ56="PDF libre",$AJ56="PDF libre (dépôt)")),Paramètres!$C$24,0)))</f>
        <v>80</v>
      </c>
      <c r="N56" s="32"/>
      <c r="O56" s="33" t="str">
        <f>IF($BB56="","Non",HYPERLINK(DossierPDF&amp;$BB56,"Oui"))</f>
        <v>Oui</v>
      </c>
      <c r="P56" s="33" t="s">
        <v>235</v>
      </c>
      <c r="Q56" s="33" t="s">
        <v>235</v>
      </c>
      <c r="R56" s="33"/>
      <c r="S56" s="34"/>
      <c r="T56" s="25" t="s">
        <v>236</v>
      </c>
      <c r="U56" s="26" t="str">
        <f>IF($B56="","",IFERROR(INDEX(Paramètres!$N$6:$N$13,MATCH($T56,Paramètres!$M$6:$M$13,0)),$T56))</f>
        <v>Article de revue</v>
      </c>
      <c r="V56" s="4" t="s">
        <v>894</v>
      </c>
      <c r="W56" s="28">
        <v>2013</v>
      </c>
      <c r="X56" s="4" t="s">
        <v>895</v>
      </c>
      <c r="Y56" s="25" t="s">
        <v>550</v>
      </c>
      <c r="Z56" s="25" t="s">
        <v>896</v>
      </c>
      <c r="AA56" s="25" t="s">
        <v>897</v>
      </c>
      <c r="AB56" s="25"/>
      <c r="AC56" s="25" t="s">
        <v>898</v>
      </c>
      <c r="AD56" s="25"/>
      <c r="AE56" s="25" t="s">
        <v>243</v>
      </c>
      <c r="AF56" s="35" t="s">
        <v>899</v>
      </c>
      <c r="AG56" s="27" t="str">
        <f t="shared" si="9"/>
        <v>doi.org</v>
      </c>
      <c r="AH56" s="27" t="str">
        <f t="shared" si="10"/>
        <v>Scholar</v>
      </c>
      <c r="AI56" s="28" t="s">
        <v>245</v>
      </c>
      <c r="AJ56" s="25" t="s">
        <v>185</v>
      </c>
      <c r="AK56" s="4" t="s">
        <v>677</v>
      </c>
      <c r="AL56" s="25" t="s">
        <v>247</v>
      </c>
      <c r="AM56" s="4" t="s">
        <v>900</v>
      </c>
      <c r="AN56" s="25" t="s">
        <v>249</v>
      </c>
      <c r="AO56" s="4" t="s">
        <v>901</v>
      </c>
      <c r="AP56" s="4"/>
      <c r="AQ56" s="25" t="s">
        <v>235</v>
      </c>
      <c r="AR56" s="26" t="str">
        <f>IF($B56="","",IFERROR(INDEX(Paramètres!$Q$6:$Q$13,MATCH($G56,Paramètres!$P$6:$P$13,0)),""))</f>
        <v>Caractérisation expérimentale du module complexe</v>
      </c>
      <c r="AS56" s="26" t="str">
        <f>IF($B56="","",IFERROR(INDEX(Paramètres!$T$6:$T$11,MATCH($I56,Paramètres!$S$6:$S$11,0)),""))</f>
        <v>décembre 2026</v>
      </c>
      <c r="AT56" s="31">
        <f>IF($B56="","",IFERROR(INDEX(Paramètres!$C$27:$C$29,MATCH($H56,Paramètres!$B$27:$B$29,0)),0))</f>
        <v>3</v>
      </c>
      <c r="AU56" s="29"/>
      <c r="AV56" s="32"/>
      <c r="AW56" s="26" t="str">
        <f t="shared" si="11"/>
        <v>nguyen2013ttsp.md</v>
      </c>
      <c r="AX56" s="26">
        <f>IF($B56="","",COUNTIF($I$2:I56,$I56))</f>
        <v>11</v>
      </c>
      <c r="AY56" s="26" t="str">
        <f t="shared" si="12"/>
        <v>3-11</v>
      </c>
      <c r="AZ56" s="26" t="s">
        <v>902</v>
      </c>
      <c r="BA56" s="36">
        <f t="shared" ca="1" si="13"/>
        <v>80.009439999999998</v>
      </c>
      <c r="BB56" t="inlineStr">
        <is>
          <t>BIB-055_Nguyen-etal_2013_TTSP-validation-linear-nonlinear.pdf</t>
        </is>
      </c>
    </row>
    <row r="57" spans="1:53" ht="45" hidden="1" customHeight="1" x14ac:dyDescent="0.25">
      <c r="A57" s="25" t="s">
        <v>903</v>
      </c>
      <c r="B57" s="25" t="s">
        <v>904</v>
      </c>
      <c r="C57" s="26" t="str">
        <f t="shared" si="7"/>
        <v>Di Benedetto (1990)</v>
      </c>
      <c r="D57" s="4" t="s">
        <v>905</v>
      </c>
      <c r="E57" s="27" t="str">
        <f>IF(OR($B57="",$AF57=""),"",HYPERLINK(IF(AND(Paramètres!$C$13&lt;&gt;"",$AJ57="Éditeur (abonnement)"),Paramètres!$C$13&amp;$AF57,$AF57),"Ouvrir : "&amp;$AE57))</f>
        <v>Ouvrir : Notice (document à demander)</v>
      </c>
      <c r="F57" s="28" t="s">
        <v>233</v>
      </c>
      <c r="G57" s="28">
        <v>3</v>
      </c>
      <c r="H57" s="25" t="s">
        <v>405</v>
      </c>
      <c r="I57" s="28">
        <v>3</v>
      </c>
      <c r="J57" s="29" t="s">
        <v>234</v>
      </c>
      <c r="K57" s="26" t="str">
        <f ca="1">IF($B57="","",IF($J57="Lu","Lu",IF($J57="Écarté","Écarté",IF($I57&lt;Paramètres!$C$8,"EN RETARD",IF($I57=Paramètres!$C$8,"Ce mois-ci",IF($I57=Paramètres!$C$8+1,"Mois prochain","À venir"))))))</f>
        <v>À venir</v>
      </c>
      <c r="L57" s="30" t="str">
        <f t="shared" si="8"/>
        <v>Vérification à compléter avant de citer</v>
      </c>
      <c r="M57" s="31">
        <f ca="1">IF($B57="","",IF(OR($J57="Lu",$J57="Écarté"),0,IFERROR(INDEX(Paramètres!$C$17:$C$19,MATCH($H57,Paramètres!$B$17:$B$19,0)),0)+Paramètres!$C$20*(7-$I57)+IF($I57&lt;Paramètres!$C$8,Paramètres!$C$21,0)+IF($F57="Oui",Paramètres!$C$22,0)+IF($AL57&lt;&gt;"Vérifié",Paramètres!$C$23,0)+IF(AND($O57&lt;&gt;"Oui",OR($AJ57="PDF libre",$AJ57="PDF libre (dépôt)")),Paramètres!$C$24,0)))</f>
        <v>75</v>
      </c>
      <c r="N57" s="32"/>
      <c r="O57" s="33" t="str">
        <f>IF($BB57="","Non",HYPERLINK(DossierPDF&amp;$BB57,"Oui"))</f>
        <v>Non</v>
      </c>
      <c r="P57" s="33" t="s">
        <v>235</v>
      </c>
      <c r="Q57" s="33" t="s">
        <v>235</v>
      </c>
      <c r="R57" s="33"/>
      <c r="S57" s="34"/>
      <c r="T57" s="25" t="s">
        <v>286</v>
      </c>
      <c r="U57" s="26" t="str">
        <f>IF($B57="","",IFERROR(INDEX(Paramètres!$N$6:$N$13,MATCH($T57,Paramètres!$M$6:$M$13,0)),$T57))</f>
        <v>Communication (actes)</v>
      </c>
      <c r="V57" s="4" t="s">
        <v>906</v>
      </c>
      <c r="W57" s="28">
        <v>1990</v>
      </c>
      <c r="X57" s="4" t="s">
        <v>907</v>
      </c>
      <c r="Y57" s="25"/>
      <c r="Z57" s="25"/>
      <c r="AA57" s="25" t="s">
        <v>908</v>
      </c>
      <c r="AB57" s="25" t="s">
        <v>909</v>
      </c>
      <c r="AC57" s="25"/>
      <c r="AD57" s="25" t="s">
        <v>910</v>
      </c>
      <c r="AE57" s="25" t="s">
        <v>527</v>
      </c>
      <c r="AF57" s="35" t="s">
        <v>911</v>
      </c>
      <c r="AG57" s="27" t="str">
        <f t="shared" si="9"/>
        <v/>
      </c>
      <c r="AH57" s="27" t="str">
        <f t="shared" si="10"/>
        <v>Scholar</v>
      </c>
      <c r="AI57" s="28" t="s">
        <v>343</v>
      </c>
      <c r="AJ57" s="25" t="s">
        <v>187</v>
      </c>
      <c r="AK57" s="4" t="s">
        <v>912</v>
      </c>
      <c r="AL57" s="25" t="s">
        <v>517</v>
      </c>
      <c r="AM57" s="4" t="s">
        <v>913</v>
      </c>
      <c r="AN57" s="25" t="s">
        <v>249</v>
      </c>
      <c r="AO57" s="4" t="s">
        <v>914</v>
      </c>
      <c r="AP57" s="4" t="s">
        <v>889</v>
      </c>
      <c r="AQ57" s="25" t="s">
        <v>233</v>
      </c>
      <c r="AR57" s="26" t="str">
        <f>IF($B57="","",IFERROR(INDEX(Paramètres!$Q$6:$Q$13,MATCH($G57,Paramètres!$P$6:$P$13,0)),""))</f>
        <v>Viscoélasticité des enrobés</v>
      </c>
      <c r="AS57" s="26" t="str">
        <f>IF($B57="","",IFERROR(INDEX(Paramètres!$T$6:$T$11,MATCH($I57,Paramètres!$S$6:$S$11,0)),""))</f>
        <v>décembre 2026</v>
      </c>
      <c r="AT57" s="31">
        <f>IF($B57="","",IFERROR(INDEX(Paramètres!$C$27:$C$29,MATCH($H57,Paramètres!$B$27:$B$29,0)),0))</f>
        <v>1</v>
      </c>
      <c r="AU57" s="29"/>
      <c r="AV57" s="32"/>
      <c r="AW57" s="26" t="str">
        <f t="shared" si="11"/>
        <v>dibenedetto1990approche.md</v>
      </c>
      <c r="AX57" s="26">
        <f>IF($B57="","",COUNTIF($I$2:I57,$I57))</f>
        <v>12</v>
      </c>
      <c r="AY57" s="26" t="str">
        <f t="shared" si="12"/>
        <v>3-12</v>
      </c>
      <c r="AZ57" s="26" t="s">
        <v>915</v>
      </c>
      <c r="BA57" s="36">
        <f t="shared" ca="1" si="13"/>
        <v>75.009429999999995</v>
      </c>
    </row>
    <row r="58" spans="1:54" ht="45" customHeight="1" x14ac:dyDescent="0.25">
      <c r="A58" s="25" t="s">
        <v>916</v>
      </c>
      <c r="B58" s="25" t="s">
        <v>917</v>
      </c>
      <c r="C58" s="26" t="str">
        <f t="shared" si="7"/>
        <v>Nilsson et al. (2002)</v>
      </c>
      <c r="D58" s="4" t="s">
        <v>918</v>
      </c>
      <c r="E58" s="27" t="str">
        <f>IF(OR($B58="",$AF58=""),"",HYPERLINK(IF(AND(Paramètres!$C$13&lt;&gt;"",$AJ58="Éditeur (abonnement)"),Paramètres!$C$13&amp;$AF58,$AF58),"Ouvrir : "&amp;$AE58))</f>
        <v>Ouvrir : Page éditeur (DOI)</v>
      </c>
      <c r="F58" s="28" t="s">
        <v>235</v>
      </c>
      <c r="G58" s="28">
        <v>3</v>
      </c>
      <c r="H58" s="25" t="s">
        <v>405</v>
      </c>
      <c r="I58" s="28">
        <v>3</v>
      </c>
      <c r="J58" s="29" t="s">
        <v>234</v>
      </c>
      <c r="K58" s="26" t="str">
        <f ca="1">IF($B58="","",IF($J58="Lu","Lu",IF($J58="Écarté","Écarté",IF($I58&lt;Paramètres!$C$8,"EN RETARD",IF($I58=Paramètres!$C$8,"Ce mois-ci",IF($I58=Paramètres!$C$8+1,"Mois prochain","À venir"))))))</f>
        <v>À venir</v>
      </c>
      <c r="L58" s="30" t="str">
        <f t="shared" si="8"/>
        <v>À télécharger via l'accès ENTPE</v>
      </c>
      <c r="M58" s="31">
        <f ca="1">IF($B58="","",IF(OR($J58="Lu",$J58="Écarté"),0,IFERROR(INDEX(Paramètres!$C$17:$C$19,MATCH($H58,Paramètres!$B$17:$B$19,0)),0)+Paramètres!$C$20*(7-$I58)+IF($I58&lt;Paramètres!$C$8,Paramètres!$C$21,0)+IF($F58="Oui",Paramètres!$C$22,0)+IF($AL58&lt;&gt;"Vérifié",Paramètres!$C$23,0)+IF(AND($O58&lt;&gt;"Oui",OR($AJ58="PDF libre",$AJ58="PDF libre (dépôt)")),Paramètres!$C$24,0)))</f>
        <v>50</v>
      </c>
      <c r="N58" s="32"/>
      <c r="O58" s="33" t="str">
        <f>IF($BB58="","Non",HYPERLINK(DossierPDF&amp;$BB58,"Oui"))</f>
        <v>Oui</v>
      </c>
      <c r="P58" s="33" t="s">
        <v>235</v>
      </c>
      <c r="Q58" s="33" t="s">
        <v>235</v>
      </c>
      <c r="R58" s="33"/>
      <c r="S58" s="34"/>
      <c r="T58" s="25" t="s">
        <v>236</v>
      </c>
      <c r="U58" s="26" t="str">
        <f>IF($B58="","",IFERROR(INDEX(Paramètres!$N$6:$N$13,MATCH($T58,Paramètres!$M$6:$M$13,0)),$T58))</f>
        <v>Article de revue</v>
      </c>
      <c r="V58" s="4" t="s">
        <v>919</v>
      </c>
      <c r="W58" s="28">
        <v>2002</v>
      </c>
      <c r="X58" s="4" t="s">
        <v>474</v>
      </c>
      <c r="Y58" s="25" t="s">
        <v>827</v>
      </c>
      <c r="Z58" s="25" t="s">
        <v>368</v>
      </c>
      <c r="AA58" s="25" t="s">
        <v>920</v>
      </c>
      <c r="AB58" s="25"/>
      <c r="AC58" s="25" t="s">
        <v>921</v>
      </c>
      <c r="AD58" s="25"/>
      <c r="AE58" s="25" t="s">
        <v>243</v>
      </c>
      <c r="AF58" s="35" t="s">
        <v>922</v>
      </c>
      <c r="AG58" s="27" t="str">
        <f t="shared" si="9"/>
        <v>doi.org</v>
      </c>
      <c r="AH58" s="27" t="str">
        <f t="shared" si="10"/>
        <v>Scholar</v>
      </c>
      <c r="AI58" s="28" t="s">
        <v>245</v>
      </c>
      <c r="AJ58" s="25" t="s">
        <v>185</v>
      </c>
      <c r="AK58" s="4" t="s">
        <v>480</v>
      </c>
      <c r="AL58" s="25" t="s">
        <v>247</v>
      </c>
      <c r="AM58" s="4" t="s">
        <v>264</v>
      </c>
      <c r="AN58" s="25" t="s">
        <v>249</v>
      </c>
      <c r="AO58" s="4" t="s">
        <v>923</v>
      </c>
      <c r="AP58" s="4" t="s">
        <v>924</v>
      </c>
      <c r="AQ58" s="25" t="s">
        <v>235</v>
      </c>
      <c r="AR58" s="26" t="str">
        <f>IF($B58="","",IFERROR(INDEX(Paramètres!$Q$6:$Q$13,MATCH($G58,Paramètres!$P$6:$P$13,0)),""))</f>
        <v>Viscoélasticité des enrobés</v>
      </c>
      <c r="AS58" s="26" t="str">
        <f>IF($B58="","",IFERROR(INDEX(Paramètres!$T$6:$T$11,MATCH($I58,Paramètres!$S$6:$S$11,0)),""))</f>
        <v>décembre 2026</v>
      </c>
      <c r="AT58" s="31">
        <f>IF($B58="","",IFERROR(INDEX(Paramètres!$C$27:$C$29,MATCH($H58,Paramètres!$B$27:$B$29,0)),0))</f>
        <v>1</v>
      </c>
      <c r="AU58" s="29"/>
      <c r="AV58" s="32"/>
      <c r="AW58" s="26" t="str">
        <f t="shared" si="11"/>
        <v>nilsson2002rheological.md</v>
      </c>
      <c r="AX58" s="26">
        <f>IF($B58="","",COUNTIF($I$2:I58,$I58))</f>
        <v>13</v>
      </c>
      <c r="AY58" s="26" t="str">
        <f t="shared" si="12"/>
        <v>3-13</v>
      </c>
      <c r="AZ58" s="26" t="s">
        <v>925</v>
      </c>
      <c r="BA58" s="36">
        <f t="shared" ca="1" si="13"/>
        <v>50.009419999999999</v>
      </c>
      <c r="BB58" t="inlineStr">
        <is>
          <t>BIB-057_Nilsson-etal_2002_Rheological-models-pavement-responses.pdf</t>
        </is>
      </c>
    </row>
    <row r="59" spans="1:54" ht="45" customHeight="1" x14ac:dyDescent="0.25">
      <c r="A59" s="25" t="s">
        <v>926</v>
      </c>
      <c r="B59" s="25" t="s">
        <v>927</v>
      </c>
      <c r="C59" s="26" t="str">
        <f t="shared" si="7"/>
        <v>Williams et al. (1955)</v>
      </c>
      <c r="D59" s="4" t="s">
        <v>928</v>
      </c>
      <c r="E59" s="27" t="str">
        <f>IF(OR($B59="",$AF59=""),"",HYPERLINK(IF(AND(Paramètres!$C$13&lt;&gt;"",$AJ59="Éditeur (abonnement)"),Paramètres!$C$13&amp;$AF59,$AF59),"Ouvrir : "&amp;$AE59))</f>
        <v>Ouvrir : Page éditeur (DOI)</v>
      </c>
      <c r="F59" s="28" t="s">
        <v>233</v>
      </c>
      <c r="G59" s="28">
        <v>3</v>
      </c>
      <c r="H59" s="25" t="s">
        <v>405</v>
      </c>
      <c r="I59" s="28">
        <v>3</v>
      </c>
      <c r="J59" s="29" t="s">
        <v>234</v>
      </c>
      <c r="K59" s="26" t="str">
        <f ca="1">IF($B59="","",IF($J59="Lu","Lu",IF($J59="Écarté","Écarté",IF($I59&lt;Paramètres!$C$8,"EN RETARD",IF($I59=Paramètres!$C$8,"Ce mois-ci",IF($I59=Paramètres!$C$8+1,"Mois prochain","À venir"))))))</f>
        <v>À venir</v>
      </c>
      <c r="L59" s="30" t="str">
        <f t="shared" si="8"/>
        <v>À télécharger via l'accès ENTPE</v>
      </c>
      <c r="M59" s="31">
        <f ca="1">IF($B59="","",IF(OR($J59="Lu",$J59="Écarté"),0,IFERROR(INDEX(Paramètres!$C$17:$C$19,MATCH($H59,Paramètres!$B$17:$B$19,0)),0)+Paramètres!$C$20*(7-$I59)+IF($I59&lt;Paramètres!$C$8,Paramètres!$C$21,0)+IF($F59="Oui",Paramètres!$C$22,0)+IF($AL59&lt;&gt;"Vérifié",Paramètres!$C$23,0)+IF(AND($O59&lt;&gt;"Oui",OR($AJ59="PDF libre",$AJ59="PDF libre (dépôt)")),Paramètres!$C$24,0)))</f>
        <v>60</v>
      </c>
      <c r="N59" s="32"/>
      <c r="O59" s="33" t="str">
        <f>IF($BB59="","Non",HYPERLINK(DossierPDF&amp;$BB59,"Oui"))</f>
        <v>Oui</v>
      </c>
      <c r="P59" s="33" t="s">
        <v>235</v>
      </c>
      <c r="Q59" s="33" t="s">
        <v>235</v>
      </c>
      <c r="R59" s="33"/>
      <c r="S59" s="34"/>
      <c r="T59" s="25" t="s">
        <v>236</v>
      </c>
      <c r="U59" s="26" t="str">
        <f>IF($B59="","",IFERROR(INDEX(Paramètres!$N$6:$N$13,MATCH($T59,Paramètres!$M$6:$M$13,0)),$T59))</f>
        <v>Article de revue</v>
      </c>
      <c r="V59" s="4" t="s">
        <v>929</v>
      </c>
      <c r="W59" s="28">
        <v>1955</v>
      </c>
      <c r="X59" s="4" t="s">
        <v>930</v>
      </c>
      <c r="Y59" s="25" t="s">
        <v>931</v>
      </c>
      <c r="Z59" s="25" t="s">
        <v>367</v>
      </c>
      <c r="AA59" s="25" t="s">
        <v>932</v>
      </c>
      <c r="AB59" s="25"/>
      <c r="AC59" s="25" t="s">
        <v>933</v>
      </c>
      <c r="AD59" s="25"/>
      <c r="AE59" s="25" t="s">
        <v>243</v>
      </c>
      <c r="AF59" s="35" t="s">
        <v>934</v>
      </c>
      <c r="AG59" s="27" t="str">
        <f t="shared" si="9"/>
        <v>doi.org</v>
      </c>
      <c r="AH59" s="27" t="str">
        <f t="shared" si="10"/>
        <v>Scholar</v>
      </c>
      <c r="AI59" s="28" t="s">
        <v>245</v>
      </c>
      <c r="AJ59" s="25" t="s">
        <v>185</v>
      </c>
      <c r="AK59" s="4" t="s">
        <v>935</v>
      </c>
      <c r="AL59" s="25" t="s">
        <v>247</v>
      </c>
      <c r="AM59" s="4" t="s">
        <v>264</v>
      </c>
      <c r="AN59" s="25" t="s">
        <v>249</v>
      </c>
      <c r="AO59" s="4" t="s">
        <v>936</v>
      </c>
      <c r="AP59" s="4"/>
      <c r="AQ59" s="25" t="s">
        <v>235</v>
      </c>
      <c r="AR59" s="26" t="str">
        <f>IF($B59="","",IFERROR(INDEX(Paramètres!$Q$6:$Q$13,MATCH($G59,Paramètres!$P$6:$P$13,0)),""))</f>
        <v>Viscoélasticité des enrobés</v>
      </c>
      <c r="AS59" s="26" t="str">
        <f>IF($B59="","",IFERROR(INDEX(Paramètres!$T$6:$T$11,MATCH($I59,Paramètres!$S$6:$S$11,0)),""))</f>
        <v>décembre 2026</v>
      </c>
      <c r="AT59" s="31">
        <f>IF($B59="","",IFERROR(INDEX(Paramètres!$C$27:$C$29,MATCH($H59,Paramètres!$B$27:$B$29,0)),0))</f>
        <v>1</v>
      </c>
      <c r="AU59" s="29"/>
      <c r="AV59" s="32"/>
      <c r="AW59" s="26" t="str">
        <f t="shared" si="11"/>
        <v>williams1955wlf.md</v>
      </c>
      <c r="AX59" s="26">
        <f>IF($B59="","",COUNTIF($I$2:I59,$I59))</f>
        <v>14</v>
      </c>
      <c r="AY59" s="26" t="str">
        <f t="shared" si="12"/>
        <v>3-14</v>
      </c>
      <c r="AZ59" s="26" t="s">
        <v>937</v>
      </c>
      <c r="BA59" s="36">
        <f t="shared" ca="1" si="13"/>
        <v>60.009410000000003</v>
      </c>
      <c r="BB59" t="inlineStr">
        <is>
          <t>BIB-058_Williams-etal_1955_Temperature-dependence-relaxation-WLF.pdf</t>
        </is>
      </c>
    </row>
    <row r="60" spans="1:54" ht="45" hidden="1" customHeight="1" x14ac:dyDescent="0.25">
      <c r="A60" s="25" t="s">
        <v>938</v>
      </c>
      <c r="B60" s="25" t="s">
        <v>939</v>
      </c>
      <c r="C60" s="26" t="str">
        <f t="shared" si="7"/>
        <v>AFNOR (2015)</v>
      </c>
      <c r="D60" s="4" t="s">
        <v>940</v>
      </c>
      <c r="E60" s="27" t="str">
        <f>IF(OR($B60="",$AF60=""),"",HYPERLINK(IF(AND(Paramètres!$C$13&lt;&gt;"",$AJ60="Éditeur (abonnement)"),Paramètres!$C$13&amp;$AF60,$AF60),"Ouvrir : "&amp;$AE60))</f>
        <v>Ouvrir : Page de vente / notice</v>
      </c>
      <c r="F60" s="28" t="s">
        <v>233</v>
      </c>
      <c r="G60" s="28">
        <v>4</v>
      </c>
      <c r="H60" s="25" t="s">
        <v>405</v>
      </c>
      <c r="I60" s="28">
        <v>3</v>
      </c>
      <c r="J60" s="29" t="s">
        <v>234</v>
      </c>
      <c r="K60" s="26" t="str">
        <f ca="1">IF($B60="","",IF($J60="Lu","Lu",IF($J60="Écarté","Écarté",IF($I60&lt;Paramètres!$C$8,"EN RETARD",IF($I60=Paramètres!$C$8,"Ce mois-ci",IF($I60=Paramètres!$C$8+1,"Mois prochain","À venir"))))))</f>
        <v>À venir</v>
      </c>
      <c r="L60" s="30" t="str">
        <f t="shared" si="8"/>
        <v>À consulter via l'abonnement de l'école</v>
      </c>
      <c r="M60" s="31">
        <f ca="1">IF($B60="","",IF(OR($J60="Lu",$J60="Écarté"),0,IFERROR(INDEX(Paramètres!$C$17:$C$19,MATCH($H60,Paramètres!$B$17:$B$19,0)),0)+Paramètres!$C$20*(7-$I60)+IF($I60&lt;Paramètres!$C$8,Paramètres!$C$21,0)+IF($F60="Oui",Paramètres!$C$22,0)+IF($AL60&lt;&gt;"Vérifié",Paramètres!$C$23,0)+IF(AND($O60&lt;&gt;"Oui",OR($AJ60="PDF libre",$AJ60="PDF libre (dépôt)")),Paramètres!$C$24,0)))</f>
        <v>60</v>
      </c>
      <c r="N60" s="32"/>
      <c r="O60" s="33" t="str">
        <f>IF($BB60="","Non",HYPERLINK(DossierPDF&amp;$BB60,"Oui"))</f>
        <v>Oui</v>
      </c>
      <c r="P60" s="33" t="s">
        <v>235</v>
      </c>
      <c r="Q60" s="33" t="s">
        <v>235</v>
      </c>
      <c r="R60" s="33"/>
      <c r="S60" s="34"/>
      <c r="T60" s="25" t="s">
        <v>777</v>
      </c>
      <c r="U60" s="26" t="str">
        <f>IF($B60="","",IFERROR(INDEX(Paramètres!$N$6:$N$13,MATCH($T60,Paramètres!$M$6:$M$13,0)),$T60))</f>
        <v>Norme</v>
      </c>
      <c r="V60" s="4" t="s">
        <v>778</v>
      </c>
      <c r="W60" s="28">
        <v>2015</v>
      </c>
      <c r="X60" s="4"/>
      <c r="Y60" s="25"/>
      <c r="Z60" s="25"/>
      <c r="AA60" s="25"/>
      <c r="AB60" s="25" t="s">
        <v>779</v>
      </c>
      <c r="AC60" s="25"/>
      <c r="AD60" s="25" t="s">
        <v>941</v>
      </c>
      <c r="AE60" s="25" t="s">
        <v>745</v>
      </c>
      <c r="AF60" s="35" t="s">
        <v>942</v>
      </c>
      <c r="AG60" s="27" t="str">
        <f t="shared" si="9"/>
        <v/>
      </c>
      <c r="AH60" s="27" t="str">
        <f t="shared" si="10"/>
        <v>Scholar</v>
      </c>
      <c r="AI60" s="28" t="s">
        <v>245</v>
      </c>
      <c r="AJ60" s="25" t="s">
        <v>186</v>
      </c>
      <c r="AK60" s="4" t="s">
        <v>782</v>
      </c>
      <c r="AL60" s="25" t="s">
        <v>247</v>
      </c>
      <c r="AM60" s="4" t="s">
        <v>943</v>
      </c>
      <c r="AN60" s="25" t="s">
        <v>249</v>
      </c>
      <c r="AO60" s="4" t="s">
        <v>944</v>
      </c>
      <c r="AP60" s="4"/>
      <c r="AQ60" s="25" t="s">
        <v>233</v>
      </c>
      <c r="AR60" s="26" t="str">
        <f>IF($B60="","",IFERROR(INDEX(Paramètres!$Q$6:$Q$13,MATCH($G60,Paramètres!$P$6:$P$13,0)),""))</f>
        <v>Caractérisation expérimentale du module complexe</v>
      </c>
      <c r="AS60" s="26" t="str">
        <f>IF($B60="","",IFERROR(INDEX(Paramètres!$T$6:$T$11,MATCH($I60,Paramètres!$S$6:$S$11,0)),""))</f>
        <v>décembre 2026</v>
      </c>
      <c r="AT60" s="31">
        <f>IF($B60="","",IFERROR(INDEX(Paramètres!$C$27:$C$29,MATCH($H60,Paramètres!$B$27:$B$29,0)),0))</f>
        <v>1</v>
      </c>
      <c r="AU60" s="29"/>
      <c r="AV60" s="32"/>
      <c r="AW60" s="26" t="str">
        <f t="shared" si="11"/>
        <v>afnor2015en12593.md</v>
      </c>
      <c r="AX60" s="26">
        <f>IF($B60="","",COUNTIF($I$2:I60,$I60))</f>
        <v>15</v>
      </c>
      <c r="AY60" s="26" t="str">
        <f t="shared" si="12"/>
        <v>3-15</v>
      </c>
      <c r="AZ60" s="26" t="s">
        <v>945</v>
      </c>
      <c r="BA60" s="36">
        <f t="shared" ca="1" si="13"/>
        <v>60.009399999999999</v>
      </c>
      <c r="BB60" t="inlineStr">
        <is>
          <t>BIB-059_AFNOR_2015_NF-EN-12593-Point-de-fragilite-Fraass.pdf</t>
        </is>
      </c>
    </row>
    <row r="61" spans="1:54" ht="45" hidden="1" customHeight="1" x14ac:dyDescent="0.25">
      <c r="A61" s="25" t="s">
        <v>946</v>
      </c>
      <c r="B61" s="25" t="s">
        <v>947</v>
      </c>
      <c r="C61" s="26" t="str">
        <f t="shared" si="7"/>
        <v>AFNOR (2018)</v>
      </c>
      <c r="D61" s="4" t="s">
        <v>948</v>
      </c>
      <c r="E61" s="27" t="str">
        <f>IF(OR($B61="",$AF61=""),"",HYPERLINK(IF(AND(Paramètres!$C$13&lt;&gt;"",$AJ61="Éditeur (abonnement)"),Paramètres!$C$13&amp;$AF61,$AF61),"Ouvrir : "&amp;$AE61))</f>
        <v>Ouvrir : Page de vente / notice</v>
      </c>
      <c r="F61" s="28" t="s">
        <v>233</v>
      </c>
      <c r="G61" s="28">
        <v>4</v>
      </c>
      <c r="H61" s="25" t="s">
        <v>405</v>
      </c>
      <c r="I61" s="28">
        <v>3</v>
      </c>
      <c r="J61" s="29" t="s">
        <v>234</v>
      </c>
      <c r="K61" s="26" t="str">
        <f ca="1">IF($B61="","",IF($J61="Lu","Lu",IF($J61="Écarté","Écarté",IF($I61&lt;Paramètres!$C$8,"EN RETARD",IF($I61=Paramètres!$C$8,"Ce mois-ci",IF($I61=Paramètres!$C$8+1,"Mois prochain","À venir"))))))</f>
        <v>À venir</v>
      </c>
      <c r="L61" s="30" t="str">
        <f t="shared" si="8"/>
        <v>À consulter via l'abonnement de l'école</v>
      </c>
      <c r="M61" s="31">
        <f ca="1">IF($B61="","",IF(OR($J61="Lu",$J61="Écarté"),0,IFERROR(INDEX(Paramètres!$C$17:$C$19,MATCH($H61,Paramètres!$B$17:$B$19,0)),0)+Paramètres!$C$20*(7-$I61)+IF($I61&lt;Paramètres!$C$8,Paramètres!$C$21,0)+IF($F61="Oui",Paramètres!$C$22,0)+IF($AL61&lt;&gt;"Vérifié",Paramètres!$C$23,0)+IF(AND($O61&lt;&gt;"Oui",OR($AJ61="PDF libre",$AJ61="PDF libre (dépôt)")),Paramètres!$C$24,0)))</f>
        <v>60</v>
      </c>
      <c r="N61" s="32"/>
      <c r="O61" s="33" t="str">
        <f>IF($BB61="","Non",HYPERLINK(DossierPDF&amp;$BB61,"Oui"))</f>
        <v>Oui</v>
      </c>
      <c r="P61" s="33" t="s">
        <v>235</v>
      </c>
      <c r="Q61" s="33" t="s">
        <v>235</v>
      </c>
      <c r="R61" s="33"/>
      <c r="S61" s="34"/>
      <c r="T61" s="25" t="s">
        <v>777</v>
      </c>
      <c r="U61" s="26" t="str">
        <f>IF($B61="","",IFERROR(INDEX(Paramètres!$N$6:$N$13,MATCH($T61,Paramètres!$M$6:$M$13,0)),$T61))</f>
        <v>Norme</v>
      </c>
      <c r="V61" s="4" t="s">
        <v>778</v>
      </c>
      <c r="W61" s="28">
        <v>2018</v>
      </c>
      <c r="X61" s="4"/>
      <c r="Y61" s="25"/>
      <c r="Z61" s="25"/>
      <c r="AA61" s="25"/>
      <c r="AB61" s="25" t="s">
        <v>779</v>
      </c>
      <c r="AC61" s="25"/>
      <c r="AD61" s="25" t="s">
        <v>949</v>
      </c>
      <c r="AE61" s="25" t="s">
        <v>745</v>
      </c>
      <c r="AF61" s="35" t="s">
        <v>950</v>
      </c>
      <c r="AG61" s="27" t="str">
        <f t="shared" si="9"/>
        <v/>
      </c>
      <c r="AH61" s="27" t="str">
        <f t="shared" si="10"/>
        <v>Scholar</v>
      </c>
      <c r="AI61" s="28" t="s">
        <v>245</v>
      </c>
      <c r="AJ61" s="25" t="s">
        <v>186</v>
      </c>
      <c r="AK61" s="4" t="s">
        <v>782</v>
      </c>
      <c r="AL61" s="25" t="s">
        <v>247</v>
      </c>
      <c r="AM61" s="4" t="s">
        <v>951</v>
      </c>
      <c r="AN61" s="25" t="s">
        <v>249</v>
      </c>
      <c r="AO61" s="4" t="s">
        <v>952</v>
      </c>
      <c r="AP61" s="4"/>
      <c r="AQ61" s="25" t="s">
        <v>233</v>
      </c>
      <c r="AR61" s="26" t="str">
        <f>IF($B61="","",IFERROR(INDEX(Paramètres!$Q$6:$Q$13,MATCH($G61,Paramètres!$P$6:$P$13,0)),""))</f>
        <v>Caractérisation expérimentale du module complexe</v>
      </c>
      <c r="AS61" s="26" t="str">
        <f>IF($B61="","",IFERROR(INDEX(Paramètres!$T$6:$T$11,MATCH($I61,Paramètres!$S$6:$S$11,0)),""))</f>
        <v>décembre 2026</v>
      </c>
      <c r="AT61" s="31">
        <f>IF($B61="","",IFERROR(INDEX(Paramètres!$C$27:$C$29,MATCH($H61,Paramètres!$B$27:$B$29,0)),0))</f>
        <v>1</v>
      </c>
      <c r="AU61" s="29"/>
      <c r="AV61" s="32"/>
      <c r="AW61" s="26" t="str">
        <f t="shared" si="11"/>
        <v>afnor2018en1427.md</v>
      </c>
      <c r="AX61" s="26">
        <f>IF($B61="","",COUNTIF($I$2:I61,$I61))</f>
        <v>16</v>
      </c>
      <c r="AY61" s="26" t="str">
        <f t="shared" si="12"/>
        <v>3-16</v>
      </c>
      <c r="AZ61" s="26" t="s">
        <v>953</v>
      </c>
      <c r="BA61" s="36">
        <f t="shared" ca="1" si="13"/>
        <v>60.009390000000003</v>
      </c>
      <c r="BB61" t="inlineStr">
        <is>
          <t>BIB-060_AFNOR_2026_NF-EN-1427-Point-de-ramollissement-TBA.pdf</t>
        </is>
      </c>
    </row>
    <row r="62" spans="1:54" ht="45" hidden="1" customHeight="1" x14ac:dyDescent="0.25">
      <c r="A62" s="25" t="s">
        <v>954</v>
      </c>
      <c r="B62" s="25" t="s">
        <v>955</v>
      </c>
      <c r="C62" s="26" t="str">
        <f t="shared" si="7"/>
        <v>AFNOR (2024)</v>
      </c>
      <c r="D62" s="4" t="s">
        <v>956</v>
      </c>
      <c r="E62" s="27" t="str">
        <f>IF(OR($B62="",$AF62=""),"",HYPERLINK(IF(AND(Paramètres!$C$13&lt;&gt;"",$AJ62="Éditeur (abonnement)"),Paramètres!$C$13&amp;$AF62,$AF62),"Ouvrir : "&amp;$AE62))</f>
        <v>Ouvrir : Page de vente / notice</v>
      </c>
      <c r="F62" s="28" t="s">
        <v>235</v>
      </c>
      <c r="G62" s="28">
        <v>4</v>
      </c>
      <c r="H62" s="25" t="s">
        <v>405</v>
      </c>
      <c r="I62" s="28">
        <v>3</v>
      </c>
      <c r="J62" s="29" t="s">
        <v>234</v>
      </c>
      <c r="K62" s="26" t="str">
        <f ca="1">IF($B62="","",IF($J62="Lu","Lu",IF($J62="Écarté","Écarté",IF($I62&lt;Paramètres!$C$8,"EN RETARD",IF($I62=Paramètres!$C$8,"Ce mois-ci",IF($I62=Paramètres!$C$8+1,"Mois prochain","À venir"))))))</f>
        <v>À venir</v>
      </c>
      <c r="L62" s="30" t="str">
        <f t="shared" si="8"/>
        <v>À consulter via l'abonnement de l'école</v>
      </c>
      <c r="M62" s="31">
        <f ca="1">IF($B62="","",IF(OR($J62="Lu",$J62="Écarté"),0,IFERROR(INDEX(Paramètres!$C$17:$C$19,MATCH($H62,Paramètres!$B$17:$B$19,0)),0)+Paramètres!$C$20*(7-$I62)+IF($I62&lt;Paramètres!$C$8,Paramètres!$C$21,0)+IF($F62="Oui",Paramètres!$C$22,0)+IF($AL62&lt;&gt;"Vérifié",Paramètres!$C$23,0)+IF(AND($O62&lt;&gt;"Oui",OR($AJ62="PDF libre",$AJ62="PDF libre (dépôt)")),Paramètres!$C$24,0)))</f>
        <v>50</v>
      </c>
      <c r="N62" s="32"/>
      <c r="O62" s="33" t="str">
        <f>IF($BB62="","Non",HYPERLINK(DossierPDF&amp;$BB62,"Oui"))</f>
        <v>Oui</v>
      </c>
      <c r="P62" s="33" t="s">
        <v>235</v>
      </c>
      <c r="Q62" s="33" t="s">
        <v>235</v>
      </c>
      <c r="R62" s="33"/>
      <c r="S62" s="34"/>
      <c r="T62" s="25" t="s">
        <v>777</v>
      </c>
      <c r="U62" s="26" t="str">
        <f>IF($B62="","",IFERROR(INDEX(Paramètres!$N$6:$N$13,MATCH($T62,Paramètres!$M$6:$M$13,0)),$T62))</f>
        <v>Norme</v>
      </c>
      <c r="V62" s="4" t="s">
        <v>778</v>
      </c>
      <c r="W62" s="28">
        <v>2024</v>
      </c>
      <c r="X62" s="4"/>
      <c r="Y62" s="25"/>
      <c r="Z62" s="25"/>
      <c r="AA62" s="25"/>
      <c r="AB62" s="25" t="s">
        <v>779</v>
      </c>
      <c r="AC62" s="25"/>
      <c r="AD62" s="25" t="s">
        <v>957</v>
      </c>
      <c r="AE62" s="25" t="s">
        <v>745</v>
      </c>
      <c r="AF62" s="35" t="s">
        <v>958</v>
      </c>
      <c r="AG62" s="27" t="str">
        <f t="shared" si="9"/>
        <v/>
      </c>
      <c r="AH62" s="27" t="str">
        <f t="shared" si="10"/>
        <v>Scholar</v>
      </c>
      <c r="AI62" s="28" t="s">
        <v>245</v>
      </c>
      <c r="AJ62" s="25" t="s">
        <v>186</v>
      </c>
      <c r="AK62" s="4" t="s">
        <v>782</v>
      </c>
      <c r="AL62" s="25" t="s">
        <v>247</v>
      </c>
      <c r="AM62" s="4" t="s">
        <v>959</v>
      </c>
      <c r="AN62" s="25" t="s">
        <v>249</v>
      </c>
      <c r="AO62" s="4" t="s">
        <v>960</v>
      </c>
      <c r="AP62" s="4" t="s">
        <v>961</v>
      </c>
      <c r="AQ62" s="25" t="s">
        <v>233</v>
      </c>
      <c r="AR62" s="26" t="str">
        <f>IF($B62="","",IFERROR(INDEX(Paramètres!$Q$6:$Q$13,MATCH($G62,Paramètres!$P$6:$P$13,0)),""))</f>
        <v>Caractérisation expérimentale du module complexe</v>
      </c>
      <c r="AS62" s="26" t="str">
        <f>IF($B62="","",IFERROR(INDEX(Paramètres!$T$6:$T$11,MATCH($I62,Paramètres!$S$6:$S$11,0)),""))</f>
        <v>décembre 2026</v>
      </c>
      <c r="AT62" s="31">
        <f>IF($B62="","",IFERROR(INDEX(Paramètres!$C$27:$C$29,MATCH($H62,Paramètres!$B$27:$B$29,0)),0))</f>
        <v>1</v>
      </c>
      <c r="AU62" s="29"/>
      <c r="AV62" s="32"/>
      <c r="AW62" s="26" t="str">
        <f t="shared" si="11"/>
        <v>afnor2024en1426.md</v>
      </c>
      <c r="AX62" s="26">
        <f>IF($B62="","",COUNTIF($I$2:I62,$I62))</f>
        <v>17</v>
      </c>
      <c r="AY62" s="26" t="str">
        <f t="shared" si="12"/>
        <v>3-17</v>
      </c>
      <c r="AZ62" s="26" t="s">
        <v>962</v>
      </c>
      <c r="BA62" s="36">
        <f t="shared" ca="1" si="13"/>
        <v>50.00938</v>
      </c>
      <c r="BB62" t="inlineStr">
        <is>
          <t>BIB-061_AFNOR_2024_NF-EN-1426-Penetrabilite-aiguille.pdf</t>
        </is>
      </c>
    </row>
    <row r="63" spans="1:54" ht="45" customHeight="1" x14ac:dyDescent="0.25">
      <c r="A63" s="25" t="s">
        <v>963</v>
      </c>
      <c r="B63" s="25" t="s">
        <v>964</v>
      </c>
      <c r="C63" s="26" t="str">
        <f t="shared" si="7"/>
        <v>Chailleux et al. (2006)</v>
      </c>
      <c r="D63" s="4" t="s">
        <v>965</v>
      </c>
      <c r="E63" s="27" t="str">
        <f>IF(OR($B63="",$AF63=""),"",HYPERLINK(IF(AND(Paramètres!$C$13&lt;&gt;"",$AJ63="Éditeur (abonnement)"),Paramètres!$C$13&amp;$AF63,$AF63),"Ouvrir : "&amp;$AE63))</f>
        <v>Ouvrir : Page éditeur (DOI)</v>
      </c>
      <c r="F63" s="28" t="s">
        <v>235</v>
      </c>
      <c r="G63" s="28">
        <v>4</v>
      </c>
      <c r="H63" s="25" t="s">
        <v>405</v>
      </c>
      <c r="I63" s="28">
        <v>3</v>
      </c>
      <c r="J63" s="29" t="s">
        <v>234</v>
      </c>
      <c r="K63" s="26" t="str">
        <f ca="1">IF($B63="","",IF($J63="Lu","Lu",IF($J63="Écarté","Écarté",IF($I63&lt;Paramètres!$C$8,"EN RETARD",IF($I63=Paramètres!$C$8,"Ce mois-ci",IF($I63=Paramètres!$C$8+1,"Mois prochain","À venir"))))))</f>
        <v>À venir</v>
      </c>
      <c r="L63" s="30" t="str">
        <f t="shared" si="8"/>
        <v>À télécharger via l'accès ENTPE</v>
      </c>
      <c r="M63" s="31">
        <f ca="1">IF($B63="","",IF(OR($J63="Lu",$J63="Écarté"),0,IFERROR(INDEX(Paramètres!$C$17:$C$19,MATCH($H63,Paramètres!$B$17:$B$19,0)),0)+Paramètres!$C$20*(7-$I63)+IF($I63&lt;Paramètres!$C$8,Paramètres!$C$21,0)+IF($F63="Oui",Paramètres!$C$22,0)+IF($AL63&lt;&gt;"Vérifié",Paramètres!$C$23,0)+IF(AND($O63&lt;&gt;"Oui",OR($AJ63="PDF libre",$AJ63="PDF libre (dépôt)")),Paramètres!$C$24,0)))</f>
        <v>50</v>
      </c>
      <c r="N63" s="32"/>
      <c r="O63" s="33" t="str">
        <f>IF($BB63="","Non",HYPERLINK(DossierPDF&amp;$BB63,"Oui"))</f>
        <v>Oui</v>
      </c>
      <c r="P63" s="33" t="s">
        <v>235</v>
      </c>
      <c r="Q63" s="33" t="s">
        <v>235</v>
      </c>
      <c r="R63" s="33"/>
      <c r="S63" s="34"/>
      <c r="T63" s="25" t="s">
        <v>236</v>
      </c>
      <c r="U63" s="26" t="str">
        <f>IF($B63="","",IFERROR(INDEX(Paramètres!$N$6:$N$13,MATCH($T63,Paramètres!$M$6:$M$13,0)),$T63))</f>
        <v>Article de revue</v>
      </c>
      <c r="V63" s="4" t="s">
        <v>966</v>
      </c>
      <c r="W63" s="28">
        <v>2006</v>
      </c>
      <c r="X63" s="4" t="s">
        <v>474</v>
      </c>
      <c r="Y63" s="25" t="s">
        <v>259</v>
      </c>
      <c r="Z63" s="25" t="s">
        <v>476</v>
      </c>
      <c r="AA63" s="25" t="s">
        <v>967</v>
      </c>
      <c r="AB63" s="25"/>
      <c r="AC63" s="25" t="s">
        <v>968</v>
      </c>
      <c r="AD63" s="25"/>
      <c r="AE63" s="25" t="s">
        <v>243</v>
      </c>
      <c r="AF63" s="35" t="s">
        <v>969</v>
      </c>
      <c r="AG63" s="27" t="str">
        <f t="shared" si="9"/>
        <v>doi.org</v>
      </c>
      <c r="AH63" s="27" t="str">
        <f t="shared" si="10"/>
        <v>Scholar</v>
      </c>
      <c r="AI63" s="28" t="s">
        <v>245</v>
      </c>
      <c r="AJ63" s="25" t="s">
        <v>185</v>
      </c>
      <c r="AK63" s="4" t="s">
        <v>480</v>
      </c>
      <c r="AL63" s="25" t="s">
        <v>247</v>
      </c>
      <c r="AM63" s="4" t="s">
        <v>264</v>
      </c>
      <c r="AN63" s="25" t="s">
        <v>249</v>
      </c>
      <c r="AO63" s="4" t="s">
        <v>970</v>
      </c>
      <c r="AP63" s="4"/>
      <c r="AQ63" s="25" t="s">
        <v>235</v>
      </c>
      <c r="AR63" s="26" t="str">
        <f>IF($B63="","",IFERROR(INDEX(Paramètres!$Q$6:$Q$13,MATCH($G63,Paramètres!$P$6:$P$13,0)),""))</f>
        <v>Caractérisation expérimentale du module complexe</v>
      </c>
      <c r="AS63" s="26" t="str">
        <f>IF($B63="","",IFERROR(INDEX(Paramètres!$T$6:$T$11,MATCH($I63,Paramètres!$S$6:$S$11,0)),""))</f>
        <v>décembre 2026</v>
      </c>
      <c r="AT63" s="31">
        <f>IF($B63="","",IFERROR(INDEX(Paramètres!$C$27:$C$29,MATCH($H63,Paramètres!$B$27:$B$29,0)),0))</f>
        <v>1</v>
      </c>
      <c r="AU63" s="29"/>
      <c r="AV63" s="32"/>
      <c r="AW63" s="26" t="str">
        <f t="shared" si="11"/>
        <v>chailleux2006mastercurve.md</v>
      </c>
      <c r="AX63" s="26">
        <f>IF($B63="","",COUNTIF($I$2:I63,$I63))</f>
        <v>18</v>
      </c>
      <c r="AY63" s="26" t="str">
        <f t="shared" si="12"/>
        <v>3-18</v>
      </c>
      <c r="AZ63" s="26" t="s">
        <v>971</v>
      </c>
      <c r="BA63" s="36">
        <f t="shared" ca="1" si="13"/>
        <v>50.009369999999997</v>
      </c>
      <c r="BB63" t="inlineStr">
        <is>
          <t>BIB-062_Chailleux-etal_2006_Master-curve-construction-method.pdf</t>
        </is>
      </c>
    </row>
    <row r="64" spans="1:54" ht="45" hidden="1" customHeight="1" x14ac:dyDescent="0.25">
      <c r="A64" s="25" t="s">
        <v>972</v>
      </c>
      <c r="B64" s="25" t="s">
        <v>973</v>
      </c>
      <c r="C64" s="26" t="str">
        <f t="shared" si="7"/>
        <v>Roussel (2020)</v>
      </c>
      <c r="D64" s="4" t="s">
        <v>974</v>
      </c>
      <c r="E64" s="27" t="str">
        <f>IF(OR($B64="",$AF64=""),"",HYPERLINK(IF(AND(Paramètres!$C$13&lt;&gt;"",$AJ64="Éditeur (abonnement)"),Paramètres!$C$13&amp;$AF64,$AF64),"Ouvrir : "&amp;$AE64))</f>
        <v>Ouvrir : Texte intégral (dépôt)</v>
      </c>
      <c r="F64" s="28" t="s">
        <v>233</v>
      </c>
      <c r="G64" s="28">
        <v>5</v>
      </c>
      <c r="H64" s="25" t="s">
        <v>122</v>
      </c>
      <c r="I64" s="28">
        <v>4</v>
      </c>
      <c r="J64" s="29" t="s">
        <v>234</v>
      </c>
      <c r="K64" s="26" t="str">
        <f ca="1">IF($B64="","",IF($J64="Lu","Lu",IF($J64="Écarté","Écarté",IF($I64&lt;Paramètres!$C$8,"EN RETARD",IF($I64=Paramètres!$C$8,"Ce mois-ci",IF($I64=Paramètres!$C$8+1,"Mois prochain","À venir"))))))</f>
        <v>À venir</v>
      </c>
      <c r="L64" s="30" t="str">
        <f t="shared" si="8"/>
        <v>PDF libre à télécharger</v>
      </c>
      <c r="M64" s="31">
        <f ca="1">IF($B64="","",IF(OR($J64="Lu",$J64="Écarté"),0,IFERROR(INDEX(Paramètres!$C$17:$C$19,MATCH($H64,Paramètres!$B$17:$B$19,0)),0)+Paramètres!$C$20*(7-$I64)+IF($I64&lt;Paramètres!$C$8,Paramètres!$C$21,0)+IF($F64="Oui",Paramètres!$C$22,0)+IF($AL64&lt;&gt;"Vérifié",Paramètres!$C$23,0)+IF(AND($O64&lt;&gt;"Oui",OR($AJ64="PDF libre",$AJ64="PDF libre (dépôt)")),Paramètres!$C$24,0)))</f>
        <v>130</v>
      </c>
      <c r="N64" s="32"/>
      <c r="O64" s="33" t="str">
        <f>IF($BB64="","Non",HYPERLINK(DossierPDF&amp;$BB64,"Oui"))</f>
        <v>Oui</v>
      </c>
      <c r="P64" s="33" t="s">
        <v>235</v>
      </c>
      <c r="Q64" s="33" t="s">
        <v>235</v>
      </c>
      <c r="R64" s="33"/>
      <c r="S64" s="34"/>
      <c r="T64" s="25" t="s">
        <v>594</v>
      </c>
      <c r="U64" s="26" t="str">
        <f>IF($B64="","",IFERROR(INDEX(Paramètres!$N$6:$N$13,MATCH($T64,Paramètres!$M$6:$M$13,0)),$T64))</f>
        <v>Thèse</v>
      </c>
      <c r="V64" s="4" t="s">
        <v>975</v>
      </c>
      <c r="W64" s="28">
        <v>2020</v>
      </c>
      <c r="X64" s="4"/>
      <c r="Y64" s="25"/>
      <c r="Z64" s="25"/>
      <c r="AA64" s="25"/>
      <c r="AB64" s="25" t="s">
        <v>976</v>
      </c>
      <c r="AC64" s="25" t="s">
        <v>977</v>
      </c>
      <c r="AD64" s="25" t="s">
        <v>978</v>
      </c>
      <c r="AE64" s="25" t="s">
        <v>355</v>
      </c>
      <c r="AF64" s="35" t="s">
        <v>979</v>
      </c>
      <c r="AG64" s="27" t="str">
        <f t="shared" si="9"/>
        <v>doi.org</v>
      </c>
      <c r="AH64" s="27" t="str">
        <f t="shared" si="10"/>
        <v>Scholar</v>
      </c>
      <c r="AI64" s="28" t="s">
        <v>277</v>
      </c>
      <c r="AJ64" s="25" t="s">
        <v>184</v>
      </c>
      <c r="AK64" s="4" t="s">
        <v>980</v>
      </c>
      <c r="AL64" s="25" t="s">
        <v>247</v>
      </c>
      <c r="AM64" s="4" t="s">
        <v>981</v>
      </c>
      <c r="AN64" s="25" t="s">
        <v>249</v>
      </c>
      <c r="AO64" s="4" t="s">
        <v>982</v>
      </c>
      <c r="AP64" s="4" t="s">
        <v>983</v>
      </c>
      <c r="AQ64" s="25" t="s">
        <v>233</v>
      </c>
      <c r="AR64" s="26" t="str">
        <f>IF($B64="","",IFERROR(INDEX(Paramètres!$Q$6:$Q$13,MATCH($G64,Paramètres!$P$6:$P$13,0)),""))</f>
        <v>Calcul de structures viscoélastiques</v>
      </c>
      <c r="AS64" s="26" t="str">
        <f>IF($B64="","",IFERROR(INDEX(Paramètres!$T$6:$T$11,MATCH($I64,Paramètres!$S$6:$S$11,0)),""))</f>
        <v>janvier 2027</v>
      </c>
      <c r="AT64" s="31">
        <f>IF($B64="","",IFERROR(INDEX(Paramètres!$C$27:$C$29,MATCH($H64,Paramètres!$B$27:$B$29,0)),0))</f>
        <v>6</v>
      </c>
      <c r="AU64" s="29"/>
      <c r="AV64" s="32"/>
      <c r="AW64" s="26" t="str">
        <f t="shared" si="11"/>
        <v>roussel2020hwd.md</v>
      </c>
      <c r="AX64" s="26">
        <f>IF($B64="","",COUNTIF($I$2:I64,$I64))</f>
        <v>1</v>
      </c>
      <c r="AY64" s="26" t="str">
        <f t="shared" si="12"/>
        <v>4-1</v>
      </c>
      <c r="AZ64" s="26" t="s">
        <v>984</v>
      </c>
      <c r="BA64" s="36">
        <f t="shared" ca="1" si="13"/>
        <v>130.00935999999999</v>
      </c>
      <c r="BB64" t="inlineStr">
        <is>
          <t>BIB-063_Roussel_2020_Viscoelasticite-analyse-dynamique-HWD-these.pdf</t>
        </is>
      </c>
    </row>
    <row r="65" spans="1:54" ht="45" hidden="1" customHeight="1" x14ac:dyDescent="0.25">
      <c r="A65" s="25" t="s">
        <v>985</v>
      </c>
      <c r="B65" s="25" t="s">
        <v>986</v>
      </c>
      <c r="C65" s="26" t="str">
        <f t="shared" si="7"/>
        <v>STAC (2016)</v>
      </c>
      <c r="D65" s="4" t="s">
        <v>987</v>
      </c>
      <c r="E65" s="27" t="str">
        <f>IF(OR($B65="",$AF65=""),"",HYPERLINK(IF(AND(Paramètres!$C$13&lt;&gt;"",$AJ65="Éditeur (abonnement)"),Paramètres!$C$13&amp;$AF65,$AF65),"Ouvrir : "&amp;$AE65))</f>
        <v>Ouvrir : Texte intégral libre</v>
      </c>
      <c r="F65" s="28" t="s">
        <v>235</v>
      </c>
      <c r="G65" s="28">
        <v>7</v>
      </c>
      <c r="H65" s="25" t="s">
        <v>122</v>
      </c>
      <c r="I65" s="28">
        <v>4</v>
      </c>
      <c r="J65" s="29" t="s">
        <v>234</v>
      </c>
      <c r="K65" s="26" t="str">
        <f ca="1">IF($B65="","",IF($J65="Lu","Lu",IF($J65="Écarté","Écarté",IF($I65&lt;Paramètres!$C$8,"EN RETARD",IF($I65=Paramètres!$C$8,"Ce mois-ci",IF($I65=Paramètres!$C$8+1,"Mois prochain","À venir"))))))</f>
        <v>À venir</v>
      </c>
      <c r="L65" s="30" t="str">
        <f t="shared" si="8"/>
        <v>PDF libre à télécharger</v>
      </c>
      <c r="M65" s="31">
        <f ca="1">IF($B65="","",IF(OR($J65="Lu",$J65="Écarté"),0,IFERROR(INDEX(Paramètres!$C$17:$C$19,MATCH($H65,Paramètres!$B$17:$B$19,0)),0)+Paramètres!$C$20*(7-$I65)+IF($I65&lt;Paramètres!$C$8,Paramètres!$C$21,0)+IF($F65="Oui",Paramètres!$C$22,0)+IF($AL65&lt;&gt;"Vérifié",Paramètres!$C$23,0)+IF(AND($O65&lt;&gt;"Oui",OR($AJ65="PDF libre",$AJ65="PDF libre (dépôt)")),Paramètres!$C$24,0)))</f>
        <v>120</v>
      </c>
      <c r="N65" s="32"/>
      <c r="O65" s="33" t="str">
        <f>IF($BB65="","Non",HYPERLINK(DossierPDF&amp;$BB65,"Oui"))</f>
        <v>Oui</v>
      </c>
      <c r="P65" s="33" t="s">
        <v>235</v>
      </c>
      <c r="Q65" s="33" t="s">
        <v>235</v>
      </c>
      <c r="R65" s="33"/>
      <c r="S65" s="34"/>
      <c r="T65" s="25" t="s">
        <v>661</v>
      </c>
      <c r="U65" s="26" t="str">
        <f>IF($B65="","",IFERROR(INDEX(Paramètres!$N$6:$N$13,MATCH($T65,Paramètres!$M$6:$M$13,0)),$T65))</f>
        <v>Ouvrage / guide</v>
      </c>
      <c r="V65" s="4" t="s">
        <v>327</v>
      </c>
      <c r="W65" s="28">
        <v>2016</v>
      </c>
      <c r="X65" s="4"/>
      <c r="Y65" s="25"/>
      <c r="Z65" s="25"/>
      <c r="AA65" s="25"/>
      <c r="AB65" s="25" t="s">
        <v>328</v>
      </c>
      <c r="AC65" s="25"/>
      <c r="AD65" s="25" t="s">
        <v>988</v>
      </c>
      <c r="AE65" s="25" t="s">
        <v>275</v>
      </c>
      <c r="AF65" s="35" t="s">
        <v>989</v>
      </c>
      <c r="AG65" s="27" t="str">
        <f t="shared" si="9"/>
        <v/>
      </c>
      <c r="AH65" s="27" t="str">
        <f t="shared" si="10"/>
        <v>Scholar</v>
      </c>
      <c r="AI65" s="28" t="s">
        <v>277</v>
      </c>
      <c r="AJ65" s="25" t="s">
        <v>183</v>
      </c>
      <c r="AK65" s="4" t="s">
        <v>990</v>
      </c>
      <c r="AL65" s="25" t="s">
        <v>247</v>
      </c>
      <c r="AM65" s="4" t="s">
        <v>332</v>
      </c>
      <c r="AN65" s="25" t="s">
        <v>249</v>
      </c>
      <c r="AO65" s="4" t="s">
        <v>991</v>
      </c>
      <c r="AP65" s="4" t="s">
        <v>992</v>
      </c>
      <c r="AQ65" s="25" t="s">
        <v>233</v>
      </c>
      <c r="AR65" s="26" t="str">
        <f>IF($B65="","",IFERROR(INDEX(Paramètres!$Q$6:$Q$13,MATCH($G65,Paramètres!$P$6:$P$13,0)),""))</f>
        <v>Chaussées aéronautiques</v>
      </c>
      <c r="AS65" s="26" t="str">
        <f>IF($B65="","",IFERROR(INDEX(Paramètres!$T$6:$T$11,MATCH($I65,Paramètres!$S$6:$S$11,0)),""))</f>
        <v>janvier 2027</v>
      </c>
      <c r="AT65" s="31">
        <f>IF($B65="","",IFERROR(INDEX(Paramètres!$C$27:$C$29,MATCH($H65,Paramètres!$B$27:$B$29,0)),0))</f>
        <v>6</v>
      </c>
      <c r="AU65" s="29"/>
      <c r="AV65" s="32"/>
      <c r="AW65" s="26" t="str">
        <f t="shared" si="11"/>
        <v>stac2016methode.md</v>
      </c>
      <c r="AX65" s="26">
        <f>IF($B65="","",COUNTIF($I$2:I65,$I65))</f>
        <v>2</v>
      </c>
      <c r="AY65" s="26" t="str">
        <f t="shared" si="12"/>
        <v>4-2</v>
      </c>
      <c r="AZ65" s="26" t="s">
        <v>993</v>
      </c>
      <c r="BA65" s="36">
        <f t="shared" ca="1" si="13"/>
        <v>120.00935</v>
      </c>
      <c r="BB65" t="inlineStr">
        <is>
          <t>BIB-064_STAC_2016_Methode-rationnelle-dimensionnement-chaussees-aeronautiques.pdf</t>
        </is>
      </c>
    </row>
    <row r="66" spans="1:54" ht="45" customHeight="1" x14ac:dyDescent="0.25">
      <c r="A66" s="25" t="s">
        <v>994</v>
      </c>
      <c r="B66" s="25" t="s">
        <v>995</v>
      </c>
      <c r="C66" s="26" t="str">
        <f t="shared" ref="C66:C97" si="14">IF($B66="","",IFERROR(LEFT(LEFT($V66,FIND(";",$V66&amp;";")-1),FIND(",",LEFT($V66,FIND(";",$V66&amp;";")-1))-1),LEFT($V66,FIND(";",$V66&amp;";")-1))&amp;IF((LEN($V66)-LEN(SUBSTITUTE($V66,";",""))+1)=1,"",IF((LEN($V66)-LEN(SUBSTITUTE($V66,";",""))+1)=2," &amp; "&amp;IFERROR(LEFT(TRIM(MID($V66,FIND(";",$V66)+1,FIND(";",$V66&amp;";",FIND(";",$V66)+1)-FIND(";",$V66)-1)),FIND(",",TRIM(MID($V66,FIND(";",$V66)+1,FIND(";",$V66&amp;";",FIND(";",$V66)+1)-FIND(";",$V66)-1)))-1),TRIM(MID($V66,FIND(";",$V66)+1,FIND(";",$V66&amp;";",FIND(";",$V66)+1)-FIND(";",$V66)-1)))," et al."))&amp;" ("&amp;$W66&amp;")")</f>
        <v>Burmister (1945)</v>
      </c>
      <c r="D66" s="4" t="s">
        <v>996</v>
      </c>
      <c r="E66" s="27" t="str">
        <f>IF(OR($B66="",$AF66=""),"",HYPERLINK(IF(AND(Paramètres!$C$13&lt;&gt;"",$AJ66="Éditeur (abonnement)"),Paramètres!$C$13&amp;$AF66,$AF66),"Ouvrir : "&amp;$AE66))</f>
        <v>Ouvrir : Page éditeur (DOI)</v>
      </c>
      <c r="F66" s="28" t="s">
        <v>233</v>
      </c>
      <c r="G66" s="28">
        <v>5</v>
      </c>
      <c r="H66" s="25" t="s">
        <v>338</v>
      </c>
      <c r="I66" s="28">
        <v>4</v>
      </c>
      <c r="J66" s="29" t="s">
        <v>234</v>
      </c>
      <c r="K66" s="26" t="str">
        <f ca="1">IF($B66="","",IF($J66="Lu","Lu",IF($J66="Écarté","Écarté",IF($I66&lt;Paramètres!$C$8,"EN RETARD",IF($I66=Paramètres!$C$8,"Ce mois-ci",IF($I66=Paramètres!$C$8+1,"Mois prochain","À venir"))))))</f>
        <v>À venir</v>
      </c>
      <c r="L66" s="30" t="str">
        <f t="shared" ref="L66:L97" si="15">IF($B66="","",IF($AL66="Non vérifié","Ne pas citer en l'état : métadonnées non vérifiées",IF($AL66="Partiel","Vérification à compléter avant de citer",IF($O66="Oui","",IF(OR($AJ66="PDF libre",$AJ66="PDF libre (dépôt)"),"PDF libre à télécharger",IF($AJ66="Éditeur (abonnement)","À télécharger via l'accès ENTPE",IF($AJ66="Payant (boutique)","À consulter via l'abonnement de l'école",IF($AJ66="Non diffusé (à demander)","Document à demander (feuille Demandes)","Texte intégral à localiser"))))))))</f>
        <v>À télécharger via l'accès ENTPE</v>
      </c>
      <c r="M66" s="31">
        <f ca="1">IF($B66="","",IF(OR($J66="Lu",$J66="Écarté"),0,IFERROR(INDEX(Paramètres!$C$17:$C$19,MATCH($H66,Paramètres!$B$17:$B$19,0)),0)+Paramètres!$C$20*(7-$I66)+IF($I66&lt;Paramètres!$C$8,Paramètres!$C$21,0)+IF($F66="Oui",Paramètres!$C$22,0)+IF($AL66&lt;&gt;"Vérifié",Paramètres!$C$23,0)+IF(AND($O66&lt;&gt;"Oui",OR($AJ66="PDF libre",$AJ66="PDF libre (dépôt)")),Paramètres!$C$24,0)))</f>
        <v>85</v>
      </c>
      <c r="N66" s="32"/>
      <c r="O66" s="33" t="str">
        <f>IF($BB66="","Non",HYPERLINK(DossierPDF&amp;$BB66,"Oui"))</f>
        <v>Oui</v>
      </c>
      <c r="P66" s="33" t="s">
        <v>235</v>
      </c>
      <c r="Q66" s="33" t="s">
        <v>235</v>
      </c>
      <c r="R66" s="33"/>
      <c r="S66" s="34"/>
      <c r="T66" s="25" t="s">
        <v>236</v>
      </c>
      <c r="U66" s="26" t="str">
        <f>IF($B66="","",IFERROR(INDEX(Paramètres!$N$6:$N$13,MATCH($T66,Paramètres!$M$6:$M$13,0)),$T66))</f>
        <v>Article de revue</v>
      </c>
      <c r="V66" s="4" t="s">
        <v>997</v>
      </c>
      <c r="W66" s="28">
        <v>1945</v>
      </c>
      <c r="X66" s="4" t="s">
        <v>998</v>
      </c>
      <c r="Y66" s="25" t="s">
        <v>999</v>
      </c>
      <c r="Z66" s="25" t="s">
        <v>368</v>
      </c>
      <c r="AA66" s="25" t="s">
        <v>1000</v>
      </c>
      <c r="AB66" s="25"/>
      <c r="AC66" s="25" t="s">
        <v>1001</v>
      </c>
      <c r="AD66" s="25"/>
      <c r="AE66" s="25" t="s">
        <v>243</v>
      </c>
      <c r="AF66" s="35" t="s">
        <v>1002</v>
      </c>
      <c r="AG66" s="27" t="str">
        <f t="shared" ref="AG66:AG97" si="16">IF($AC66="","",HYPERLINK("https://doi.org/"&amp;$AC66,"doi.org"))</f>
        <v>doi.org</v>
      </c>
      <c r="AH66" s="27" t="str">
        <f t="shared" ref="AH66:AH97" si="17">IF($AZ66="","",HYPERLINK($AZ66,"Scholar"))</f>
        <v>Scholar</v>
      </c>
      <c r="AI66" s="28" t="s">
        <v>245</v>
      </c>
      <c r="AJ66" s="25" t="s">
        <v>185</v>
      </c>
      <c r="AK66" s="4" t="s">
        <v>1003</v>
      </c>
      <c r="AL66" s="25" t="s">
        <v>247</v>
      </c>
      <c r="AM66" s="4" t="s">
        <v>264</v>
      </c>
      <c r="AN66" s="25" t="s">
        <v>249</v>
      </c>
      <c r="AO66" s="4" t="s">
        <v>1004</v>
      </c>
      <c r="AP66" s="4" t="s">
        <v>1005</v>
      </c>
      <c r="AQ66" s="25" t="s">
        <v>235</v>
      </c>
      <c r="AR66" s="26" t="str">
        <f>IF($B66="","",IFERROR(INDEX(Paramètres!$Q$6:$Q$13,MATCH($G66,Paramètres!$P$6:$P$13,0)),""))</f>
        <v>Calcul de structures viscoélastiques</v>
      </c>
      <c r="AS66" s="26" t="str">
        <f>IF($B66="","",IFERROR(INDEX(Paramètres!$T$6:$T$11,MATCH($I66,Paramètres!$S$6:$S$11,0)),""))</f>
        <v>janvier 2027</v>
      </c>
      <c r="AT66" s="31">
        <f>IF($B66="","",IFERROR(INDEX(Paramètres!$C$27:$C$29,MATCH($H66,Paramètres!$B$27:$B$29,0)),0))</f>
        <v>3</v>
      </c>
      <c r="AU66" s="29"/>
      <c r="AV66" s="32"/>
      <c r="AW66" s="26" t="str">
        <f t="shared" ref="AW66:AW97" si="18">IF($B66="","",$B66&amp;".md")</f>
        <v>burmister1945layered.md</v>
      </c>
      <c r="AX66" s="26">
        <f>IF($B66="","",COUNTIF($I$2:I66,$I66))</f>
        <v>3</v>
      </c>
      <c r="AY66" s="26" t="str">
        <f t="shared" ref="AY66:AY97" si="19">IF($B66="","",$I66&amp;"-"&amp;$AX66)</f>
        <v>4-3</v>
      </c>
      <c r="AZ66" s="26" t="s">
        <v>1006</v>
      </c>
      <c r="BA66" s="36">
        <f t="shared" ref="BA66:BA97" ca="1" si="20">IF($B66="","",$M66+(1000-ROW())/100000)</f>
        <v>85.009339999999995</v>
      </c>
      <c r="BB66" t="inlineStr">
        <is>
          <t>BIB-065_Burmister_1945_Theory-stresses-displacements-layered-systems.pdf</t>
        </is>
      </c>
    </row>
    <row r="67" spans="1:54" ht="45" customHeight="1" x14ac:dyDescent="0.25">
      <c r="A67" s="25" t="s">
        <v>1007</v>
      </c>
      <c r="B67" s="25" t="s">
        <v>1008</v>
      </c>
      <c r="C67" s="26" t="str">
        <f t="shared" si="14"/>
        <v>Elseifi et al. (2006)</v>
      </c>
      <c r="D67" s="4" t="s">
        <v>1009</v>
      </c>
      <c r="E67" s="27" t="str">
        <f>IF(OR($B67="",$AF67=""),"",HYPERLINK(IF(AND(Paramètres!$C$13&lt;&gt;"",$AJ67="Éditeur (abonnement)"),Paramètres!$C$13&amp;$AF67,$AF67),"Ouvrir : "&amp;$AE67))</f>
        <v>Ouvrir : Page éditeur (DOI)</v>
      </c>
      <c r="F67" s="28" t="s">
        <v>235</v>
      </c>
      <c r="G67" s="28">
        <v>5</v>
      </c>
      <c r="H67" s="25" t="s">
        <v>338</v>
      </c>
      <c r="I67" s="28">
        <v>4</v>
      </c>
      <c r="J67" s="29" t="s">
        <v>234</v>
      </c>
      <c r="K67" s="26" t="str">
        <f ca="1">IF($B67="","",IF($J67="Lu","Lu",IF($J67="Écarté","Écarté",IF($I67&lt;Paramètres!$C$8,"EN RETARD",IF($I67=Paramètres!$C$8,"Ce mois-ci",IF($I67=Paramètres!$C$8+1,"Mois prochain","À venir"))))))</f>
        <v>À venir</v>
      </c>
      <c r="L67" s="30" t="str">
        <f t="shared" si="15"/>
        <v>À télécharger via l'accès ENTPE</v>
      </c>
      <c r="M67" s="31">
        <f ca="1">IF($B67="","",IF(OR($J67="Lu",$J67="Écarté"),0,IFERROR(INDEX(Paramètres!$C$17:$C$19,MATCH($H67,Paramètres!$B$17:$B$19,0)),0)+Paramètres!$C$20*(7-$I67)+IF($I67&lt;Paramètres!$C$8,Paramètres!$C$21,0)+IF($F67="Oui",Paramètres!$C$22,0)+IF($AL67&lt;&gt;"Vérifié",Paramètres!$C$23,0)+IF(AND($O67&lt;&gt;"Oui",OR($AJ67="PDF libre",$AJ67="PDF libre (dépôt)")),Paramètres!$C$24,0)))</f>
        <v>75</v>
      </c>
      <c r="N67" s="32"/>
      <c r="O67" s="33" t="str">
        <f>IF($BB67="","Non",HYPERLINK(DossierPDF&amp;$BB67,"Oui"))</f>
        <v>Oui</v>
      </c>
      <c r="P67" s="33" t="s">
        <v>235</v>
      </c>
      <c r="Q67" s="33" t="s">
        <v>235</v>
      </c>
      <c r="R67" s="33"/>
      <c r="S67" s="34"/>
      <c r="T67" s="25" t="s">
        <v>236</v>
      </c>
      <c r="U67" s="26" t="str">
        <f>IF($B67="","",IFERROR(INDEX(Paramètres!$N$6:$N$13,MATCH($T67,Paramètres!$M$6:$M$13,0)),$T67))</f>
        <v>Article de revue</v>
      </c>
      <c r="V67" s="4" t="s">
        <v>1010</v>
      </c>
      <c r="W67" s="28">
        <v>2006</v>
      </c>
      <c r="X67" s="4" t="s">
        <v>1011</v>
      </c>
      <c r="Y67" s="25" t="s">
        <v>1012</v>
      </c>
      <c r="Z67" s="25" t="s">
        <v>368</v>
      </c>
      <c r="AA67" s="25" t="s">
        <v>1013</v>
      </c>
      <c r="AB67" s="25"/>
      <c r="AC67" s="25" t="s">
        <v>1014</v>
      </c>
      <c r="AD67" s="25"/>
      <c r="AE67" s="25" t="s">
        <v>243</v>
      </c>
      <c r="AF67" s="35" t="s">
        <v>1015</v>
      </c>
      <c r="AG67" s="27" t="str">
        <f t="shared" si="16"/>
        <v>doi.org</v>
      </c>
      <c r="AH67" s="27" t="str">
        <f t="shared" si="17"/>
        <v>Scholar</v>
      </c>
      <c r="AI67" s="28" t="s">
        <v>245</v>
      </c>
      <c r="AJ67" s="25" t="s">
        <v>185</v>
      </c>
      <c r="AK67" s="4" t="s">
        <v>677</v>
      </c>
      <c r="AL67" s="25" t="s">
        <v>247</v>
      </c>
      <c r="AM67" s="4" t="s">
        <v>264</v>
      </c>
      <c r="AN67" s="25" t="s">
        <v>249</v>
      </c>
      <c r="AO67" s="4" t="s">
        <v>1016</v>
      </c>
      <c r="AP67" s="4" t="s">
        <v>1017</v>
      </c>
      <c r="AQ67" s="25" t="s">
        <v>235</v>
      </c>
      <c r="AR67" s="26" t="str">
        <f>IF($B67="","",IFERROR(INDEX(Paramètres!$Q$6:$Q$13,MATCH($G67,Paramètres!$P$6:$P$13,0)),""))</f>
        <v>Calcul de structures viscoélastiques</v>
      </c>
      <c r="AS67" s="26" t="str">
        <f>IF($B67="","",IFERROR(INDEX(Paramètres!$T$6:$T$11,MATCH($I67,Paramètres!$S$6:$S$11,0)),""))</f>
        <v>janvier 2027</v>
      </c>
      <c r="AT67" s="31">
        <f>IF($B67="","",IFERROR(INDEX(Paramètres!$C$27:$C$29,MATCH($H67,Paramètres!$B$27:$B$29,0)),0))</f>
        <v>3</v>
      </c>
      <c r="AU67" s="29"/>
      <c r="AV67" s="32"/>
      <c r="AW67" s="26" t="str">
        <f t="shared" si="18"/>
        <v>elseifi2006viscoelastic.md</v>
      </c>
      <c r="AX67" s="26">
        <f>IF($B67="","",COUNTIF($I$2:I67,$I67))</f>
        <v>4</v>
      </c>
      <c r="AY67" s="26" t="str">
        <f t="shared" si="19"/>
        <v>4-4</v>
      </c>
      <c r="AZ67" s="26" t="s">
        <v>1018</v>
      </c>
      <c r="BA67" s="36">
        <f t="shared" ca="1" si="20"/>
        <v>75.009330000000006</v>
      </c>
      <c r="BB67" t="inlineStr">
        <is>
          <t>BIB-066_Elseifi-etal_2006_Viscoelastic-modeling-field-validation.pdf</t>
        </is>
      </c>
    </row>
    <row r="68" spans="1:53" ht="45" customHeight="1" x14ac:dyDescent="0.25">
      <c r="A68" s="25" t="s">
        <v>1019</v>
      </c>
      <c r="B68" s="25" t="s">
        <v>1020</v>
      </c>
      <c r="C68" s="26" t="str">
        <f t="shared" si="14"/>
        <v>Jiang et al. (2019)</v>
      </c>
      <c r="D68" s="4" t="s">
        <v>1021</v>
      </c>
      <c r="E68" s="27" t="str">
        <f>IF(OR($B68="",$AF68=""),"",HYPERLINK(IF(AND(Paramètres!$C$13&lt;&gt;"",$AJ68="Éditeur (abonnement)"),Paramètres!$C$13&amp;$AF68,$AF68),"Ouvrir : "&amp;$AE68))</f>
        <v>Ouvrir : Page éditeur (DOI)</v>
      </c>
      <c r="F68" s="28" t="s">
        <v>233</v>
      </c>
      <c r="G68" s="28">
        <v>5</v>
      </c>
      <c r="H68" s="25" t="s">
        <v>338</v>
      </c>
      <c r="I68" s="28">
        <v>4</v>
      </c>
      <c r="J68" s="29" t="s">
        <v>234</v>
      </c>
      <c r="K68" s="26" t="str">
        <f ca="1">IF($B68="","",IF($J68="Lu","Lu",IF($J68="Écarté","Écarté",IF($I68&lt;Paramètres!$C$8,"EN RETARD",IF($I68=Paramètres!$C$8,"Ce mois-ci",IF($I68=Paramètres!$C$8+1,"Mois prochain","À venir"))))))</f>
        <v>À venir</v>
      </c>
      <c r="L68" s="30" t="str">
        <f t="shared" si="15"/>
        <v>À télécharger via l'accès ENTPE</v>
      </c>
      <c r="M68" s="31">
        <f ca="1">IF($B68="","",IF(OR($J68="Lu",$J68="Écarté"),0,IFERROR(INDEX(Paramètres!$C$17:$C$19,MATCH($H68,Paramètres!$B$17:$B$19,0)),0)+Paramètres!$C$20*(7-$I68)+IF($I68&lt;Paramètres!$C$8,Paramètres!$C$21,0)+IF($F68="Oui",Paramètres!$C$22,0)+IF($AL68&lt;&gt;"Vérifié",Paramètres!$C$23,0)+IF(AND($O68&lt;&gt;"Oui",OR($AJ68="PDF libre",$AJ68="PDF libre (dépôt)")),Paramètres!$C$24,0)))</f>
        <v>85</v>
      </c>
      <c r="N68" s="32"/>
      <c r="O68" s="33" t="str">
        <f>IF($BB68="","Non",HYPERLINK(DossierPDF&amp;$BB68,"Oui"))</f>
        <v>Non</v>
      </c>
      <c r="P68" s="33" t="s">
        <v>235</v>
      </c>
      <c r="Q68" s="33" t="s">
        <v>235</v>
      </c>
      <c r="R68" s="33"/>
      <c r="S68" s="34"/>
      <c r="T68" s="25" t="s">
        <v>236</v>
      </c>
      <c r="U68" s="26" t="str">
        <f>IF($B68="","",IFERROR(INDEX(Paramètres!$N$6:$N$13,MATCH($T68,Paramètres!$M$6:$M$13,0)),$T68))</f>
        <v>Article de revue</v>
      </c>
      <c r="V68" s="4" t="s">
        <v>1022</v>
      </c>
      <c r="W68" s="28">
        <v>2019</v>
      </c>
      <c r="X68" s="4" t="s">
        <v>573</v>
      </c>
      <c r="Y68" s="25" t="s">
        <v>584</v>
      </c>
      <c r="Z68" s="25" t="s">
        <v>896</v>
      </c>
      <c r="AA68" s="25" t="s">
        <v>1023</v>
      </c>
      <c r="AB68" s="25"/>
      <c r="AC68" s="25" t="s">
        <v>1024</v>
      </c>
      <c r="AD68" s="25"/>
      <c r="AE68" s="25" t="s">
        <v>243</v>
      </c>
      <c r="AF68" s="35" t="s">
        <v>1025</v>
      </c>
      <c r="AG68" s="27" t="str">
        <f t="shared" si="16"/>
        <v>doi.org</v>
      </c>
      <c r="AH68" s="27" t="str">
        <f t="shared" si="17"/>
        <v>Scholar</v>
      </c>
      <c r="AI68" s="28" t="s">
        <v>245</v>
      </c>
      <c r="AJ68" s="25" t="s">
        <v>185</v>
      </c>
      <c r="AK68" s="4" t="s">
        <v>480</v>
      </c>
      <c r="AL68" s="25" t="s">
        <v>247</v>
      </c>
      <c r="AM68" s="4" t="s">
        <v>1026</v>
      </c>
      <c r="AN68" s="25" t="s">
        <v>249</v>
      </c>
      <c r="AO68" s="4" t="s">
        <v>1027</v>
      </c>
      <c r="AP68" s="4" t="s">
        <v>1028</v>
      </c>
      <c r="AQ68" s="25" t="s">
        <v>235</v>
      </c>
      <c r="AR68" s="26" t="str">
        <f>IF($B68="","",IFERROR(INDEX(Paramètres!$Q$6:$Q$13,MATCH($G68,Paramètres!$P$6:$P$13,0)),""))</f>
        <v>Calcul de structures viscoélastiques</v>
      </c>
      <c r="AS68" s="26" t="str">
        <f>IF($B68="","",IFERROR(INDEX(Paramètres!$T$6:$T$11,MATCH($I68,Paramètres!$S$6:$S$11,0)),""))</f>
        <v>janvier 2027</v>
      </c>
      <c r="AT68" s="31">
        <f>IF($B68="","",IFERROR(INDEX(Paramètres!$C$27:$C$29,MATCH($H68,Paramètres!$B$27:$B$29,0)),0))</f>
        <v>3</v>
      </c>
      <c r="AU68" s="29"/>
      <c r="AV68" s="32"/>
      <c r="AW68" s="26" t="str">
        <f t="shared" si="18"/>
        <v>jiang2019fem3d.md</v>
      </c>
      <c r="AX68" s="26">
        <f>IF($B68="","",COUNTIF($I$2:I68,$I68))</f>
        <v>5</v>
      </c>
      <c r="AY68" s="26" t="str">
        <f t="shared" si="19"/>
        <v>4-5</v>
      </c>
      <c r="AZ68" s="26" t="s">
        <v>1029</v>
      </c>
      <c r="BA68" s="36">
        <f t="shared" ca="1" si="20"/>
        <v>85.009320000000002</v>
      </c>
    </row>
    <row r="69" spans="1:54" ht="45" hidden="1" customHeight="1" x14ac:dyDescent="0.25">
      <c r="A69" s="25" t="s">
        <v>1030</v>
      </c>
      <c r="B69" s="25" t="s">
        <v>1031</v>
      </c>
      <c r="C69" s="26" t="str">
        <f t="shared" si="14"/>
        <v>Perret (2003)</v>
      </c>
      <c r="D69" s="4" t="s">
        <v>1032</v>
      </c>
      <c r="E69" s="27" t="str">
        <f>IF(OR($B69="",$AF69=""),"",HYPERLINK(IF(AND(Paramètres!$C$13&lt;&gt;"",$AJ69="Éditeur (abonnement)"),Paramètres!$C$13&amp;$AF69,$AF69),"Ouvrir : "&amp;$AE69))</f>
        <v>Ouvrir : Texte intégral (dépôt)</v>
      </c>
      <c r="F69" s="28" t="s">
        <v>233</v>
      </c>
      <c r="G69" s="28">
        <v>5</v>
      </c>
      <c r="H69" s="25" t="s">
        <v>338</v>
      </c>
      <c r="I69" s="28">
        <v>4</v>
      </c>
      <c r="J69" s="29" t="s">
        <v>234</v>
      </c>
      <c r="K69" s="26" t="str">
        <f ca="1">IF($B69="","",IF($J69="Lu","Lu",IF($J69="Écarté","Écarté",IF($I69&lt;Paramètres!$C$8,"EN RETARD",IF($I69=Paramètres!$C$8,"Ce mois-ci",IF($I69=Paramètres!$C$8+1,"Mois prochain","À venir"))))))</f>
        <v>À venir</v>
      </c>
      <c r="L69" s="30" t="str">
        <f t="shared" si="15"/>
        <v>PDF libre à télécharger</v>
      </c>
      <c r="M69" s="31">
        <f ca="1">IF($B69="","",IF(OR($J69="Lu",$J69="Écarté"),0,IFERROR(INDEX(Paramètres!$C$17:$C$19,MATCH($H69,Paramètres!$B$17:$B$19,0)),0)+Paramètres!$C$20*(7-$I69)+IF($I69&lt;Paramètres!$C$8,Paramètres!$C$21,0)+IF($F69="Oui",Paramètres!$C$22,0)+IF($AL69&lt;&gt;"Vérifié",Paramètres!$C$23,0)+IF(AND($O69&lt;&gt;"Oui",OR($AJ69="PDF libre",$AJ69="PDF libre (dépôt)")),Paramètres!$C$24,0)))</f>
        <v>90</v>
      </c>
      <c r="N69" s="32"/>
      <c r="O69" s="33" t="str">
        <f>IF($BB69="","Non",HYPERLINK(DossierPDF&amp;$BB69,"Oui"))</f>
        <v>Oui</v>
      </c>
      <c r="P69" s="33" t="s">
        <v>235</v>
      </c>
      <c r="Q69" s="33" t="s">
        <v>235</v>
      </c>
      <c r="R69" s="33"/>
      <c r="S69" s="34"/>
      <c r="T69" s="25" t="s">
        <v>594</v>
      </c>
      <c r="U69" s="26" t="str">
        <f>IF($B69="","",IFERROR(INDEX(Paramètres!$N$6:$N$13,MATCH($T69,Paramètres!$M$6:$M$13,0)),$T69))</f>
        <v>Thèse</v>
      </c>
      <c r="V69" s="4" t="s">
        <v>1033</v>
      </c>
      <c r="W69" s="28">
        <v>2003</v>
      </c>
      <c r="X69" s="4"/>
      <c r="Y69" s="25"/>
      <c r="Z69" s="25"/>
      <c r="AA69" s="25"/>
      <c r="AB69" s="25" t="s">
        <v>1034</v>
      </c>
      <c r="AC69" s="25" t="s">
        <v>1035</v>
      </c>
      <c r="AD69" s="25" t="s">
        <v>1036</v>
      </c>
      <c r="AE69" s="25" t="s">
        <v>355</v>
      </c>
      <c r="AF69" s="35" t="s">
        <v>1037</v>
      </c>
      <c r="AG69" s="27" t="str">
        <f t="shared" si="16"/>
        <v>doi.org</v>
      </c>
      <c r="AH69" s="27" t="str">
        <f t="shared" si="17"/>
        <v>Scholar</v>
      </c>
      <c r="AI69" s="28" t="s">
        <v>277</v>
      </c>
      <c r="AJ69" s="25" t="s">
        <v>184</v>
      </c>
      <c r="AK69" s="4" t="s">
        <v>1038</v>
      </c>
      <c r="AL69" s="25" t="s">
        <v>247</v>
      </c>
      <c r="AM69" s="4" t="s">
        <v>1039</v>
      </c>
      <c r="AN69" s="25" t="s">
        <v>249</v>
      </c>
      <c r="AO69" s="4" t="s">
        <v>1040</v>
      </c>
      <c r="AP69" s="4" t="s">
        <v>1041</v>
      </c>
      <c r="AQ69" s="25" t="s">
        <v>233</v>
      </c>
      <c r="AR69" s="26" t="str">
        <f>IF($B69="","",IFERROR(INDEX(Paramètres!$Q$6:$Q$13,MATCH($G69,Paramètres!$P$6:$P$13,0)),""))</f>
        <v>Calcul de structures viscoélastiques</v>
      </c>
      <c r="AS69" s="26" t="str">
        <f>IF($B69="","",IFERROR(INDEX(Paramètres!$T$6:$T$11,MATCH($I69,Paramètres!$S$6:$S$11,0)),""))</f>
        <v>janvier 2027</v>
      </c>
      <c r="AT69" s="31">
        <f>IF($B69="","",IFERROR(INDEX(Paramètres!$C$27:$C$29,MATCH($H69,Paramètres!$B$27:$B$29,0)),0))</f>
        <v>3</v>
      </c>
      <c r="AU69" s="29"/>
      <c r="AV69" s="32"/>
      <c r="AW69" s="26" t="str">
        <f t="shared" si="18"/>
        <v>perret2003deformations.md</v>
      </c>
      <c r="AX69" s="26">
        <f>IF($B69="","",COUNTIF($I$2:I69,$I69))</f>
        <v>6</v>
      </c>
      <c r="AY69" s="26" t="str">
        <f t="shared" si="19"/>
        <v>4-6</v>
      </c>
      <c r="AZ69" s="26" t="s">
        <v>1042</v>
      </c>
      <c r="BA69" s="36">
        <f t="shared" ca="1" si="20"/>
        <v>90.009309999999999</v>
      </c>
      <c r="BB69" t="inlineStr">
        <is>
          <t>BIB-068_Perret_2003_Deformations-couches-bitumineuses-charge-trafic-these.pdf</t>
        </is>
      </c>
    </row>
    <row r="70" spans="1:54" ht="45" hidden="1" customHeight="1" x14ac:dyDescent="0.25">
      <c r="A70" s="25" t="s">
        <v>1043</v>
      </c>
      <c r="B70" s="25" t="s">
        <v>1044</v>
      </c>
      <c r="C70" s="26" t="str">
        <f t="shared" si="14"/>
        <v>Pouget (2011)</v>
      </c>
      <c r="D70" s="4" t="s">
        <v>1045</v>
      </c>
      <c r="E70" s="27" t="str">
        <f>IF(OR($B70="",$AF70=""),"",HYPERLINK(IF(AND(Paramètres!$C$13&lt;&gt;"",$AJ70="Éditeur (abonnement)"),Paramètres!$C$13&amp;$AF70,$AF70),"Ouvrir : "&amp;$AE70))</f>
        <v>Ouvrir : Recherche Google Scholar</v>
      </c>
      <c r="F70" s="28" t="s">
        <v>233</v>
      </c>
      <c r="G70" s="28">
        <v>5</v>
      </c>
      <c r="H70" s="25" t="s">
        <v>338</v>
      </c>
      <c r="I70" s="28">
        <v>4</v>
      </c>
      <c r="J70" s="29" t="s">
        <v>234</v>
      </c>
      <c r="K70" s="26" t="str">
        <f ca="1">IF($B70="","",IF($J70="Lu","Lu",IF($J70="Écarté","Écarté",IF($I70&lt;Paramètres!$C$8,"EN RETARD",IF($I70=Paramètres!$C$8,"Ce mois-ci",IF($I70=Paramètres!$C$8+1,"Mois prochain","À venir"))))))</f>
        <v>À venir</v>
      </c>
      <c r="L70" s="30" t="str">
        <f t="shared" si="15"/>
        <v>Vérification à compléter avant de citer</v>
      </c>
      <c r="M70" s="31">
        <f ca="1">IF($B70="","",IF(OR($J70="Lu",$J70="Écarté"),0,IFERROR(INDEX(Paramètres!$C$17:$C$19,MATCH($H70,Paramètres!$B$17:$B$19,0)),0)+Paramètres!$C$20*(7-$I70)+IF($I70&lt;Paramètres!$C$8,Paramètres!$C$21,0)+IF($F70="Oui",Paramètres!$C$22,0)+IF($AL70&lt;&gt;"Vérifié",Paramètres!$C$23,0)+IF(AND($O70&lt;&gt;"Oui",OR($AJ70="PDF libre",$AJ70="PDF libre (dépôt)")),Paramètres!$C$24,0)))</f>
        <v>100</v>
      </c>
      <c r="N70" s="32"/>
      <c r="O70" s="33" t="str">
        <f>IF($BB70="","Non",HYPERLINK(DossierPDF&amp;$BB70,"Oui"))</f>
        <v>Oui</v>
      </c>
      <c r="P70" s="33" t="s">
        <v>235</v>
      </c>
      <c r="Q70" s="33" t="s">
        <v>235</v>
      </c>
      <c r="R70" s="33"/>
      <c r="S70" s="34"/>
      <c r="T70" s="25" t="s">
        <v>594</v>
      </c>
      <c r="U70" s="26" t="str">
        <f>IF($B70="","",IFERROR(INDEX(Paramètres!$N$6:$N$13,MATCH($T70,Paramètres!$M$6:$M$13,0)),$T70))</f>
        <v>Thèse</v>
      </c>
      <c r="V70" s="4" t="s">
        <v>1046</v>
      </c>
      <c r="W70" s="28">
        <v>2011</v>
      </c>
      <c r="X70" s="4"/>
      <c r="Y70" s="25"/>
      <c r="Z70" s="25"/>
      <c r="AA70" s="25"/>
      <c r="AB70" s="25" t="s">
        <v>1047</v>
      </c>
      <c r="AC70" s="25"/>
      <c r="AD70" s="25" t="s">
        <v>1048</v>
      </c>
      <c r="AE70" s="25" t="s">
        <v>341</v>
      </c>
      <c r="AF70" s="35" t="s">
        <v>1049</v>
      </c>
      <c r="AG70" s="27" t="str">
        <f t="shared" si="16"/>
        <v/>
      </c>
      <c r="AH70" s="27" t="str">
        <f t="shared" si="17"/>
        <v>Scholar</v>
      </c>
      <c r="AI70" s="28" t="s">
        <v>343</v>
      </c>
      <c r="AJ70" s="25" t="s">
        <v>187</v>
      </c>
      <c r="AK70" s="4" t="s">
        <v>1050</v>
      </c>
      <c r="AL70" s="25" t="s">
        <v>517</v>
      </c>
      <c r="AM70" s="4" t="s">
        <v>1051</v>
      </c>
      <c r="AN70" s="25" t="s">
        <v>249</v>
      </c>
      <c r="AO70" s="4" t="s">
        <v>1052</v>
      </c>
      <c r="AP70" s="4" t="s">
        <v>1053</v>
      </c>
      <c r="AQ70" s="25" t="s">
        <v>233</v>
      </c>
      <c r="AR70" s="26" t="str">
        <f>IF($B70="","",IFERROR(INDEX(Paramètres!$Q$6:$Q$13,MATCH($G70,Paramètres!$P$6:$P$13,0)),""))</f>
        <v>Calcul de structures viscoélastiques</v>
      </c>
      <c r="AS70" s="26" t="str">
        <f>IF($B70="","",IFERROR(INDEX(Paramètres!$T$6:$T$11,MATCH($I70,Paramètres!$S$6:$S$11,0)),""))</f>
        <v>janvier 2027</v>
      </c>
      <c r="AT70" s="31">
        <f>IF($B70="","",IFERROR(INDEX(Paramètres!$C$27:$C$29,MATCH($H70,Paramètres!$B$27:$B$29,0)),0))</f>
        <v>3</v>
      </c>
      <c r="AU70" s="29"/>
      <c r="AV70" s="32"/>
      <c r="AW70" s="26" t="str">
        <f t="shared" si="18"/>
        <v>pouget2011orthotrope.md</v>
      </c>
      <c r="AX70" s="26">
        <f>IF($B70="","",COUNTIF($I$2:I70,$I70))</f>
        <v>7</v>
      </c>
      <c r="AY70" s="26" t="str">
        <f t="shared" si="19"/>
        <v>4-7</v>
      </c>
      <c r="AZ70" s="26" t="s">
        <v>1049</v>
      </c>
      <c r="BA70" s="36">
        <f t="shared" ca="1" si="20"/>
        <v>100.0093</v>
      </c>
      <c r="BB70" t="inlineStr">
        <is>
          <t>BIB-069_Pouget_2011_Revetements-viscoelastiques-ponts-dalle-orthotrope-these.pdf</t>
        </is>
      </c>
    </row>
    <row r="71" spans="1:54" ht="45" hidden="1" customHeight="1" x14ac:dyDescent="0.25">
      <c r="A71" s="25" t="s">
        <v>1054</v>
      </c>
      <c r="B71" s="25" t="s">
        <v>1055</v>
      </c>
      <c r="C71" s="26" t="str">
        <f t="shared" si="14"/>
        <v>Roussel et al. (2019)</v>
      </c>
      <c r="D71" s="4" t="s">
        <v>1056</v>
      </c>
      <c r="E71" s="27" t="str">
        <f>IF(OR($B71="",$AF71=""),"",HYPERLINK(IF(AND(Paramètres!$C$13&lt;&gt;"",$AJ71="Éditeur (abonnement)"),Paramètres!$C$13&amp;$AF71,$AF71),"Ouvrir : "&amp;$AE71))</f>
        <v>Ouvrir : Texte intégral (dépôt)</v>
      </c>
      <c r="F71" s="28" t="s">
        <v>235</v>
      </c>
      <c r="G71" s="28">
        <v>5</v>
      </c>
      <c r="H71" s="25" t="s">
        <v>338</v>
      </c>
      <c r="I71" s="28">
        <v>4</v>
      </c>
      <c r="J71" s="29" t="s">
        <v>234</v>
      </c>
      <c r="K71" s="26" t="str">
        <f ca="1">IF($B71="","",IF($J71="Lu","Lu",IF($J71="Écarté","Écarté",IF($I71&lt;Paramètres!$C$8,"EN RETARD",IF($I71=Paramètres!$C$8,"Ce mois-ci",IF($I71=Paramètres!$C$8+1,"Mois prochain","À venir"))))))</f>
        <v>À venir</v>
      </c>
      <c r="L71" s="30" t="str">
        <f t="shared" si="15"/>
        <v>PDF libre à télécharger</v>
      </c>
      <c r="M71" s="31">
        <f ca="1">IF($B71="","",IF(OR($J71="Lu",$J71="Écarté"),0,IFERROR(INDEX(Paramètres!$C$17:$C$19,MATCH($H71,Paramètres!$B$17:$B$19,0)),0)+Paramètres!$C$20*(7-$I71)+IF($I71&lt;Paramètres!$C$8,Paramètres!$C$21,0)+IF($F71="Oui",Paramètres!$C$22,0)+IF($AL71&lt;&gt;"Vérifié",Paramètres!$C$23,0)+IF(AND($O71&lt;&gt;"Oui",OR($AJ71="PDF libre",$AJ71="PDF libre (dépôt)")),Paramètres!$C$24,0)))</f>
        <v>80</v>
      </c>
      <c r="N71" s="32"/>
      <c r="O71" s="33" t="str">
        <f>IF($BB71="","Non",HYPERLINK(DossierPDF&amp;$BB71,"Oui"))</f>
        <v>Oui</v>
      </c>
      <c r="P71" s="33" t="s">
        <v>235</v>
      </c>
      <c r="Q71" s="33" t="s">
        <v>235</v>
      </c>
      <c r="R71" s="33"/>
      <c r="S71" s="34"/>
      <c r="T71" s="25" t="s">
        <v>236</v>
      </c>
      <c r="U71" s="26" t="str">
        <f>IF($B71="","",IFERROR(INDEX(Paramètres!$N$6:$N$13,MATCH($T71,Paramètres!$M$6:$M$13,0)),$T71))</f>
        <v>Article de revue</v>
      </c>
      <c r="V71" s="4" t="s">
        <v>1057</v>
      </c>
      <c r="W71" s="28">
        <v>2019</v>
      </c>
      <c r="X71" s="4" t="s">
        <v>474</v>
      </c>
      <c r="Y71" s="25" t="s">
        <v>584</v>
      </c>
      <c r="Z71" s="25" t="s">
        <v>476</v>
      </c>
      <c r="AA71" s="25" t="s">
        <v>1058</v>
      </c>
      <c r="AB71" s="25"/>
      <c r="AC71" s="25" t="s">
        <v>1059</v>
      </c>
      <c r="AD71" s="25"/>
      <c r="AE71" s="25" t="s">
        <v>355</v>
      </c>
      <c r="AF71" s="35" t="s">
        <v>1060</v>
      </c>
      <c r="AG71" s="27" t="str">
        <f t="shared" si="16"/>
        <v>doi.org</v>
      </c>
      <c r="AH71" s="27" t="str">
        <f t="shared" si="17"/>
        <v>Scholar</v>
      </c>
      <c r="AI71" s="28" t="s">
        <v>277</v>
      </c>
      <c r="AJ71" s="25" t="s">
        <v>184</v>
      </c>
      <c r="AK71" s="4" t="s">
        <v>1061</v>
      </c>
      <c r="AL71" s="25" t="s">
        <v>247</v>
      </c>
      <c r="AM71" s="4" t="s">
        <v>1062</v>
      </c>
      <c r="AN71" s="25" t="s">
        <v>249</v>
      </c>
      <c r="AO71" s="4" t="s">
        <v>1063</v>
      </c>
      <c r="AP71" s="4" t="s">
        <v>1064</v>
      </c>
      <c r="AQ71" s="25" t="s">
        <v>235</v>
      </c>
      <c r="AR71" s="26" t="str">
        <f>IF($B71="","",IFERROR(INDEX(Paramètres!$Q$6:$Q$13,MATCH($G71,Paramètres!$P$6:$P$13,0)),""))</f>
        <v>Calcul de structures viscoélastiques</v>
      </c>
      <c r="AS71" s="26" t="str">
        <f>IF($B71="","",IFERROR(INDEX(Paramètres!$T$6:$T$11,MATCH($I71,Paramètres!$S$6:$S$11,0)),""))</f>
        <v>janvier 2027</v>
      </c>
      <c r="AT71" s="31">
        <f>IF($B71="","",IFERROR(INDEX(Paramètres!$C$27:$C$29,MATCH($H71,Paramètres!$B$27:$B$29,0)),0))</f>
        <v>3</v>
      </c>
      <c r="AU71" s="29"/>
      <c r="AV71" s="32"/>
      <c r="AW71" s="26" t="str">
        <f t="shared" si="18"/>
        <v>roussel2019fwd.md</v>
      </c>
      <c r="AX71" s="26">
        <f>IF($B71="","",COUNTIF($I$2:I71,$I71))</f>
        <v>8</v>
      </c>
      <c r="AY71" s="26" t="str">
        <f t="shared" si="19"/>
        <v>4-8</v>
      </c>
      <c r="AZ71" s="26" t="s">
        <v>1065</v>
      </c>
      <c r="BA71" s="36">
        <f t="shared" ca="1" si="20"/>
        <v>80.009289999999993</v>
      </c>
      <c r="BB71" t="inlineStr">
        <is>
          <t>BIB-070_Roussel-etal_2019_Simulation-FWD-HWD-viscoelasticity-inertia.pdf</t>
        </is>
      </c>
    </row>
    <row r="72" spans="1:54" ht="45" customHeight="1" x14ac:dyDescent="0.25">
      <c r="A72" s="25" t="s">
        <v>1066</v>
      </c>
      <c r="B72" s="25" t="s">
        <v>1067</v>
      </c>
      <c r="C72" s="26" t="str">
        <f t="shared" si="14"/>
        <v>Wang &amp; Al-Qadi (2009)</v>
      </c>
      <c r="D72" s="4" t="s">
        <v>1068</v>
      </c>
      <c r="E72" s="27" t="str">
        <f>IF(OR($B72="",$AF72=""),"",HYPERLINK(IF(AND(Paramètres!$C$13&lt;&gt;"",$AJ72="Éditeur (abonnement)"),Paramètres!$C$13&amp;$AF72,$AF72),"Ouvrir : "&amp;$AE72))</f>
        <v>Ouvrir : Page éditeur (DOI)</v>
      </c>
      <c r="F72" s="28" t="s">
        <v>235</v>
      </c>
      <c r="G72" s="28">
        <v>5</v>
      </c>
      <c r="H72" s="25" t="s">
        <v>338</v>
      </c>
      <c r="I72" s="28">
        <v>4</v>
      </c>
      <c r="J72" s="29" t="s">
        <v>234</v>
      </c>
      <c r="K72" s="26" t="str">
        <f ca="1">IF($B72="","",IF($J72="Lu","Lu",IF($J72="Écarté","Écarté",IF($I72&lt;Paramètres!$C$8,"EN RETARD",IF($I72=Paramètres!$C$8,"Ce mois-ci",IF($I72=Paramètres!$C$8+1,"Mois prochain","À venir"))))))</f>
        <v>À venir</v>
      </c>
      <c r="L72" s="30" t="str">
        <f t="shared" si="15"/>
        <v>À télécharger via l'accès ENTPE</v>
      </c>
      <c r="M72" s="31">
        <f ca="1">IF($B72="","",IF(OR($J72="Lu",$J72="Écarté"),0,IFERROR(INDEX(Paramètres!$C$17:$C$19,MATCH($H72,Paramètres!$B$17:$B$19,0)),0)+Paramètres!$C$20*(7-$I72)+IF($I72&lt;Paramètres!$C$8,Paramètres!$C$21,0)+IF($F72="Oui",Paramètres!$C$22,0)+IF($AL72&lt;&gt;"Vérifié",Paramètres!$C$23,0)+IF(AND($O72&lt;&gt;"Oui",OR($AJ72="PDF libre",$AJ72="PDF libre (dépôt)")),Paramètres!$C$24,0)))</f>
        <v>75</v>
      </c>
      <c r="N72" s="32"/>
      <c r="O72" s="33" t="str">
        <f>IF($BB72="","Non",HYPERLINK(DossierPDF&amp;$BB72,"Oui"))</f>
        <v>Oui</v>
      </c>
      <c r="P72" s="33" t="s">
        <v>235</v>
      </c>
      <c r="Q72" s="33" t="s">
        <v>235</v>
      </c>
      <c r="R72" s="33"/>
      <c r="S72" s="34"/>
      <c r="T72" s="25" t="s">
        <v>236</v>
      </c>
      <c r="U72" s="26" t="str">
        <f>IF($B72="","",IFERROR(INDEX(Paramètres!$N$6:$N$13,MATCH($T72,Paramètres!$M$6:$M$13,0)),$T72))</f>
        <v>Article de revue</v>
      </c>
      <c r="V72" s="4" t="s">
        <v>1069</v>
      </c>
      <c r="W72" s="28">
        <v>2009</v>
      </c>
      <c r="X72" s="4" t="s">
        <v>1070</v>
      </c>
      <c r="Y72" s="25" t="s">
        <v>1071</v>
      </c>
      <c r="Z72" s="25"/>
      <c r="AA72" s="25" t="s">
        <v>1072</v>
      </c>
      <c r="AB72" s="25"/>
      <c r="AC72" s="25" t="s">
        <v>1073</v>
      </c>
      <c r="AD72" s="25"/>
      <c r="AE72" s="25" t="s">
        <v>243</v>
      </c>
      <c r="AF72" s="35" t="s">
        <v>1074</v>
      </c>
      <c r="AG72" s="27" t="str">
        <f t="shared" si="16"/>
        <v>doi.org</v>
      </c>
      <c r="AH72" s="27" t="str">
        <f t="shared" si="17"/>
        <v>Scholar</v>
      </c>
      <c r="AI72" s="28" t="s">
        <v>245</v>
      </c>
      <c r="AJ72" s="25" t="s">
        <v>185</v>
      </c>
      <c r="AK72" s="4" t="s">
        <v>1075</v>
      </c>
      <c r="AL72" s="25" t="s">
        <v>247</v>
      </c>
      <c r="AM72" s="4" t="s">
        <v>264</v>
      </c>
      <c r="AN72" s="25" t="s">
        <v>249</v>
      </c>
      <c r="AO72" s="4" t="s">
        <v>1076</v>
      </c>
      <c r="AP72" s="4" t="s">
        <v>1077</v>
      </c>
      <c r="AQ72" s="25" t="s">
        <v>235</v>
      </c>
      <c r="AR72" s="26" t="str">
        <f>IF($B72="","",IFERROR(INDEX(Paramètres!$Q$6:$Q$13,MATCH($G72,Paramètres!$P$6:$P$13,0)),""))</f>
        <v>Calcul de structures viscoélastiques</v>
      </c>
      <c r="AS72" s="26" t="str">
        <f>IF($B72="","",IFERROR(INDEX(Paramètres!$T$6:$T$11,MATCH($I72,Paramètres!$S$6:$S$11,0)),""))</f>
        <v>janvier 2027</v>
      </c>
      <c r="AT72" s="31">
        <f>IF($B72="","",IFERROR(INDEX(Paramètres!$C$27:$C$29,MATCH($H72,Paramètres!$B$27:$B$29,0)),0))</f>
        <v>3</v>
      </c>
      <c r="AU72" s="29"/>
      <c r="AV72" s="32"/>
      <c r="AW72" s="26" t="str">
        <f t="shared" si="18"/>
        <v>wang2009perpetual.md</v>
      </c>
      <c r="AX72" s="26">
        <f>IF($B72="","",COUNTIF($I$2:I72,$I72))</f>
        <v>9</v>
      </c>
      <c r="AY72" s="26" t="str">
        <f t="shared" si="19"/>
        <v>4-9</v>
      </c>
      <c r="AZ72" s="26" t="s">
        <v>1078</v>
      </c>
      <c r="BA72" s="36">
        <f t="shared" ca="1" si="20"/>
        <v>75.009280000000004</v>
      </c>
      <c r="BB72" t="inlineStr">
        <is>
          <t>BIB-071_Wang-AlQadi_2009_Moving-load-3D-contact-stresses-perpetual-pavement.pdf</t>
        </is>
      </c>
    </row>
    <row r="73" spans="1:54" ht="45" hidden="1" customHeight="1" x14ac:dyDescent="0.25">
      <c r="A73" s="25" t="s">
        <v>1079</v>
      </c>
      <c r="B73" s="25" t="s">
        <v>1080</v>
      </c>
      <c r="C73" s="26" t="str">
        <f t="shared" si="14"/>
        <v>Wu et al. (2020)</v>
      </c>
      <c r="D73" s="4" t="s">
        <v>1081</v>
      </c>
      <c r="E73" s="27" t="str">
        <f>IF(OR($B73="",$AF73=""),"",HYPERLINK(IF(AND(Paramètres!$C$13&lt;&gt;"",$AJ73="Éditeur (abonnement)"),Paramètres!$C$13&amp;$AF73,$AF73),"Ouvrir : "&amp;$AE73))</f>
        <v>Ouvrir : Texte intégral libre</v>
      </c>
      <c r="F73" s="28" t="s">
        <v>235</v>
      </c>
      <c r="G73" s="28">
        <v>5</v>
      </c>
      <c r="H73" s="25" t="s">
        <v>338</v>
      </c>
      <c r="I73" s="28">
        <v>4</v>
      </c>
      <c r="J73" s="29" t="s">
        <v>234</v>
      </c>
      <c r="K73" s="26" t="str">
        <f ca="1">IF($B73="","",IF($J73="Lu","Lu",IF($J73="Écarté","Écarté",IF($I73&lt;Paramètres!$C$8,"EN RETARD",IF($I73=Paramètres!$C$8,"Ce mois-ci",IF($I73=Paramètres!$C$8+1,"Mois prochain","À venir"))))))</f>
        <v>À venir</v>
      </c>
      <c r="L73" s="30" t="str">
        <f t="shared" si="15"/>
        <v>PDF libre à télécharger</v>
      </c>
      <c r="M73" s="31">
        <f ca="1">IF($B73="","",IF(OR($J73="Lu",$J73="Écarté"),0,IFERROR(INDEX(Paramètres!$C$17:$C$19,MATCH($H73,Paramètres!$B$17:$B$19,0)),0)+Paramètres!$C$20*(7-$I73)+IF($I73&lt;Paramètres!$C$8,Paramètres!$C$21,0)+IF($F73="Oui",Paramètres!$C$22,0)+IF($AL73&lt;&gt;"Vérifié",Paramètres!$C$23,0)+IF(AND($O73&lt;&gt;"Oui",OR($AJ73="PDF libre",$AJ73="PDF libre (dépôt)")),Paramètres!$C$24,0)))</f>
        <v>80</v>
      </c>
      <c r="N73" s="32"/>
      <c r="O73" s="33" t="str">
        <f>IF($BB73="","Non",HYPERLINK(DossierPDF&amp;$BB73,"Oui"))</f>
        <v>Oui</v>
      </c>
      <c r="P73" s="33" t="s">
        <v>235</v>
      </c>
      <c r="Q73" s="33" t="s">
        <v>235</v>
      </c>
      <c r="R73" s="33"/>
      <c r="S73" s="34"/>
      <c r="T73" s="25" t="s">
        <v>236</v>
      </c>
      <c r="U73" s="26" t="str">
        <f>IF($B73="","",IFERROR(INDEX(Paramètres!$N$6:$N$13,MATCH($T73,Paramètres!$M$6:$M$13,0)),$T73))</f>
        <v>Article de revue</v>
      </c>
      <c r="V73" s="4" t="s">
        <v>1082</v>
      </c>
      <c r="W73" s="28">
        <v>2020</v>
      </c>
      <c r="X73" s="4" t="s">
        <v>1083</v>
      </c>
      <c r="Y73" s="25" t="s">
        <v>1084</v>
      </c>
      <c r="Z73" s="25"/>
      <c r="AA73" s="25" t="s">
        <v>1085</v>
      </c>
      <c r="AB73" s="25"/>
      <c r="AC73" s="25" t="s">
        <v>1086</v>
      </c>
      <c r="AD73" s="25"/>
      <c r="AE73" s="25" t="s">
        <v>275</v>
      </c>
      <c r="AF73" s="35" t="s">
        <v>1087</v>
      </c>
      <c r="AG73" s="27" t="str">
        <f t="shared" si="16"/>
        <v>doi.org</v>
      </c>
      <c r="AH73" s="27" t="str">
        <f t="shared" si="17"/>
        <v>Scholar</v>
      </c>
      <c r="AI73" s="28" t="s">
        <v>277</v>
      </c>
      <c r="AJ73" s="25" t="s">
        <v>183</v>
      </c>
      <c r="AK73" s="4" t="s">
        <v>1088</v>
      </c>
      <c r="AL73" s="25" t="s">
        <v>247</v>
      </c>
      <c r="AM73" s="4" t="s">
        <v>1089</v>
      </c>
      <c r="AN73" s="25" t="s">
        <v>249</v>
      </c>
      <c r="AO73" s="4" t="s">
        <v>1090</v>
      </c>
      <c r="AP73" s="4" t="s">
        <v>1091</v>
      </c>
      <c r="AQ73" s="25" t="s">
        <v>235</v>
      </c>
      <c r="AR73" s="26" t="str">
        <f>IF($B73="","",IFERROR(INDEX(Paramètres!$Q$6:$Q$13,MATCH($G73,Paramètres!$P$6:$P$13,0)),""))</f>
        <v>Calcul de structures viscoélastiques</v>
      </c>
      <c r="AS73" s="26" t="str">
        <f>IF($B73="","",IFERROR(INDEX(Paramètres!$T$6:$T$11,MATCH($I73,Paramètres!$S$6:$S$11,0)),""))</f>
        <v>janvier 2027</v>
      </c>
      <c r="AT73" s="31">
        <f>IF($B73="","",IFERROR(INDEX(Paramètres!$C$27:$C$29,MATCH($H73,Paramètres!$B$27:$B$29,0)),0))</f>
        <v>3</v>
      </c>
      <c r="AU73" s="29"/>
      <c r="AV73" s="32"/>
      <c r="AW73" s="26" t="str">
        <f t="shared" si="18"/>
        <v>wu2020fem25d.md</v>
      </c>
      <c r="AX73" s="26">
        <f>IF($B73="","",COUNTIF($I$2:I73,$I73))</f>
        <v>10</v>
      </c>
      <c r="AY73" s="26" t="str">
        <f t="shared" si="19"/>
        <v>4-10</v>
      </c>
      <c r="AZ73" s="26" t="s">
        <v>1092</v>
      </c>
      <c r="BA73" s="36">
        <f t="shared" ca="1" si="20"/>
        <v>80.009270000000001</v>
      </c>
      <c r="BB73" t="inlineStr">
        <is>
          <t>BIB-072_Wu-etal_2020_Viscoelastic-responses-2.5D-FEM-nonuniform-stresses.pdf</t>
        </is>
      </c>
    </row>
    <row r="74" spans="1:54" ht="45" customHeight="1" x14ac:dyDescent="0.25">
      <c r="A74" s="25" t="s">
        <v>1093</v>
      </c>
      <c r="B74" s="25" t="s">
        <v>1094</v>
      </c>
      <c r="C74" s="26" t="str">
        <f t="shared" si="14"/>
        <v>Yoo et al. (2006)</v>
      </c>
      <c r="D74" s="4" t="s">
        <v>1095</v>
      </c>
      <c r="E74" s="27" t="str">
        <f>IF(OR($B74="",$AF74=""),"",HYPERLINK(IF(AND(Paramètres!$C$13&lt;&gt;"",$AJ74="Éditeur (abonnement)"),Paramètres!$C$13&amp;$AF74,$AF74),"Ouvrir : "&amp;$AE74))</f>
        <v>Ouvrir : Page éditeur (DOI)</v>
      </c>
      <c r="F74" s="28" t="s">
        <v>235</v>
      </c>
      <c r="G74" s="28">
        <v>5</v>
      </c>
      <c r="H74" s="25" t="s">
        <v>338</v>
      </c>
      <c r="I74" s="28">
        <v>4</v>
      </c>
      <c r="J74" s="29" t="s">
        <v>234</v>
      </c>
      <c r="K74" s="26" t="str">
        <f ca="1">IF($B74="","",IF($J74="Lu","Lu",IF($J74="Écarté","Écarté",IF($I74&lt;Paramètres!$C$8,"EN RETARD",IF($I74=Paramètres!$C$8,"Ce mois-ci",IF($I74=Paramètres!$C$8+1,"Mois prochain","À venir"))))))</f>
        <v>À venir</v>
      </c>
      <c r="L74" s="30" t="str">
        <f t="shared" si="15"/>
        <v>À télécharger via l'accès ENTPE</v>
      </c>
      <c r="M74" s="31">
        <f ca="1">IF($B74="","",IF(OR($J74="Lu",$J74="Écarté"),0,IFERROR(INDEX(Paramètres!$C$17:$C$19,MATCH($H74,Paramètres!$B$17:$B$19,0)),0)+Paramètres!$C$20*(7-$I74)+IF($I74&lt;Paramètres!$C$8,Paramètres!$C$21,0)+IF($F74="Oui",Paramètres!$C$22,0)+IF($AL74&lt;&gt;"Vérifié",Paramètres!$C$23,0)+IF(AND($O74&lt;&gt;"Oui",OR($AJ74="PDF libre",$AJ74="PDF libre (dépôt)")),Paramètres!$C$24,0)))</f>
        <v>75</v>
      </c>
      <c r="N74" s="32"/>
      <c r="O74" s="33" t="str">
        <f>IF($BB74="","Non",HYPERLINK(DossierPDF&amp;$BB74,"Oui"))</f>
        <v>Oui</v>
      </c>
      <c r="P74" s="33" t="s">
        <v>235</v>
      </c>
      <c r="Q74" s="33" t="s">
        <v>235</v>
      </c>
      <c r="R74" s="33"/>
      <c r="S74" s="34"/>
      <c r="T74" s="25" t="s">
        <v>236</v>
      </c>
      <c r="U74" s="26" t="str">
        <f>IF($B74="","",IFERROR(INDEX(Paramètres!$N$6:$N$13,MATCH($T74,Paramètres!$M$6:$M$13,0)),$T74))</f>
        <v>Article de revue</v>
      </c>
      <c r="V74" s="4" t="s">
        <v>1096</v>
      </c>
      <c r="W74" s="28">
        <v>2006</v>
      </c>
      <c r="X74" s="4" t="s">
        <v>573</v>
      </c>
      <c r="Y74" s="25" t="s">
        <v>259</v>
      </c>
      <c r="Z74" s="25" t="s">
        <v>394</v>
      </c>
      <c r="AA74" s="25" t="s">
        <v>1097</v>
      </c>
      <c r="AB74" s="25"/>
      <c r="AC74" s="25" t="s">
        <v>1098</v>
      </c>
      <c r="AD74" s="25"/>
      <c r="AE74" s="25" t="s">
        <v>243</v>
      </c>
      <c r="AF74" s="35" t="s">
        <v>1099</v>
      </c>
      <c r="AG74" s="27" t="str">
        <f t="shared" si="16"/>
        <v>doi.org</v>
      </c>
      <c r="AH74" s="27" t="str">
        <f t="shared" si="17"/>
        <v>Scholar</v>
      </c>
      <c r="AI74" s="28" t="s">
        <v>245</v>
      </c>
      <c r="AJ74" s="25" t="s">
        <v>185</v>
      </c>
      <c r="AK74" s="4" t="s">
        <v>480</v>
      </c>
      <c r="AL74" s="25" t="s">
        <v>247</v>
      </c>
      <c r="AM74" s="4" t="s">
        <v>264</v>
      </c>
      <c r="AN74" s="25" t="s">
        <v>249</v>
      </c>
      <c r="AO74" s="4" t="s">
        <v>1100</v>
      </c>
      <c r="AP74" s="4" t="s">
        <v>1101</v>
      </c>
      <c r="AQ74" s="25" t="s">
        <v>235</v>
      </c>
      <c r="AR74" s="26" t="str">
        <f>IF($B74="","",IFERROR(INDEX(Paramètres!$Q$6:$Q$13,MATCH($G74,Paramètres!$P$6:$P$13,0)),""))</f>
        <v>Calcul de structures viscoélastiques</v>
      </c>
      <c r="AS74" s="26" t="str">
        <f>IF($B74="","",IFERROR(INDEX(Paramètres!$T$6:$T$11,MATCH($I74,Paramètres!$S$6:$S$11,0)),""))</f>
        <v>janvier 2027</v>
      </c>
      <c r="AT74" s="31">
        <f>IF($B74="","",IFERROR(INDEX(Paramètres!$C$27:$C$29,MATCH($H74,Paramètres!$B$27:$B$29,0)),0))</f>
        <v>3</v>
      </c>
      <c r="AU74" s="29"/>
      <c r="AV74" s="32"/>
      <c r="AW74" s="26" t="str">
        <f t="shared" si="18"/>
        <v>yoo2006shear.md</v>
      </c>
      <c r="AX74" s="26">
        <f>IF($B74="","",COUNTIF($I$2:I74,$I74))</f>
        <v>11</v>
      </c>
      <c r="AY74" s="26" t="str">
        <f t="shared" si="19"/>
        <v>4-11</v>
      </c>
      <c r="AZ74" s="26" t="s">
        <v>1102</v>
      </c>
      <c r="BA74" s="36">
        <f t="shared" ca="1" si="20"/>
        <v>75.009259999999998</v>
      </c>
      <c r="BB74" t="inlineStr">
        <is>
          <t>BIB-073_Yoo-etal_2006_Pavement-responses-loading-amplitudes-shear.pdf</t>
        </is>
      </c>
    </row>
    <row r="75" spans="1:54" ht="45" hidden="1" customHeight="1" x14ac:dyDescent="0.25">
      <c r="A75" s="25" t="s">
        <v>1103</v>
      </c>
      <c r="B75" s="25" t="s">
        <v>1104</v>
      </c>
      <c r="C75" s="26" t="str">
        <f t="shared" si="14"/>
        <v>Blanc et al. (2016)</v>
      </c>
      <c r="D75" s="4" t="s">
        <v>1105</v>
      </c>
      <c r="E75" s="27" t="str">
        <f>IF(OR($B75="",$AF75=""),"",HYPERLINK(IF(AND(Paramètres!$C$13&lt;&gt;"",$AJ75="Éditeur (abonnement)"),Paramètres!$C$13&amp;$AF75,$AF75),"Ouvrir : "&amp;$AE75))</f>
        <v>Ouvrir : Texte intégral libre</v>
      </c>
      <c r="F75" s="28" t="s">
        <v>235</v>
      </c>
      <c r="G75" s="28">
        <v>7</v>
      </c>
      <c r="H75" s="25" t="s">
        <v>338</v>
      </c>
      <c r="I75" s="28">
        <v>4</v>
      </c>
      <c r="J75" s="29" t="s">
        <v>234</v>
      </c>
      <c r="K75" s="26" t="str">
        <f ca="1">IF($B75="","",IF($J75="Lu","Lu",IF($J75="Écarté","Écarté",IF($I75&lt;Paramètres!$C$8,"EN RETARD",IF($I75=Paramètres!$C$8,"Ce mois-ci",IF($I75=Paramètres!$C$8+1,"Mois prochain","À venir"))))))</f>
        <v>À venir</v>
      </c>
      <c r="L75" s="30" t="str">
        <f t="shared" si="15"/>
        <v>PDF libre à télécharger</v>
      </c>
      <c r="M75" s="31">
        <f ca="1">IF($B75="","",IF(OR($J75="Lu",$J75="Écarté"),0,IFERROR(INDEX(Paramètres!$C$17:$C$19,MATCH($H75,Paramètres!$B$17:$B$19,0)),0)+Paramètres!$C$20*(7-$I75)+IF($I75&lt;Paramètres!$C$8,Paramètres!$C$21,0)+IF($F75="Oui",Paramètres!$C$22,0)+IF($AL75&lt;&gt;"Vérifié",Paramètres!$C$23,0)+IF(AND($O75&lt;&gt;"Oui",OR($AJ75="PDF libre",$AJ75="PDF libre (dépôt)")),Paramètres!$C$24,0)))</f>
        <v>80</v>
      </c>
      <c r="N75" s="32"/>
      <c r="O75" s="33" t="str">
        <f>IF($BB75="","Non",HYPERLINK(DossierPDF&amp;$BB75,"Oui"))</f>
        <v>Oui</v>
      </c>
      <c r="P75" s="33" t="s">
        <v>235</v>
      </c>
      <c r="Q75" s="33" t="s">
        <v>235</v>
      </c>
      <c r="R75" s="33"/>
      <c r="S75" s="34"/>
      <c r="T75" s="25" t="s">
        <v>1106</v>
      </c>
      <c r="U75" s="26" t="str">
        <f>IF($B75="","",IFERROR(INDEX(Paramètres!$N$6:$N$13,MATCH($T75,Paramètres!$M$6:$M$13,0)),$T75))</f>
        <v>Logiciel / manuel</v>
      </c>
      <c r="V75" s="4" t="s">
        <v>1107</v>
      </c>
      <c r="W75" s="28">
        <v>2016</v>
      </c>
      <c r="X75" s="4"/>
      <c r="Y75" s="25"/>
      <c r="Z75" s="25"/>
      <c r="AA75" s="25"/>
      <c r="AB75" s="25" t="s">
        <v>1108</v>
      </c>
      <c r="AC75" s="25"/>
      <c r="AD75" s="25" t="s">
        <v>1109</v>
      </c>
      <c r="AE75" s="25" t="s">
        <v>275</v>
      </c>
      <c r="AF75" s="35" t="s">
        <v>1110</v>
      </c>
      <c r="AG75" s="27" t="str">
        <f t="shared" si="16"/>
        <v/>
      </c>
      <c r="AH75" s="27" t="str">
        <f t="shared" si="17"/>
        <v>Scholar</v>
      </c>
      <c r="AI75" s="28" t="s">
        <v>277</v>
      </c>
      <c r="AJ75" s="25" t="s">
        <v>183</v>
      </c>
      <c r="AK75" s="4" t="s">
        <v>1111</v>
      </c>
      <c r="AL75" s="25" t="s">
        <v>247</v>
      </c>
      <c r="AM75" s="4" t="s">
        <v>1112</v>
      </c>
      <c r="AN75" s="25" t="s">
        <v>249</v>
      </c>
      <c r="AO75" s="4" t="s">
        <v>1113</v>
      </c>
      <c r="AP75" s="4" t="s">
        <v>1114</v>
      </c>
      <c r="AQ75" s="25" t="s">
        <v>233</v>
      </c>
      <c r="AR75" s="26" t="str">
        <f>IF($B75="","",IFERROR(INDEX(Paramètres!$Q$6:$Q$13,MATCH($G75,Paramètres!$P$6:$P$13,0)),""))</f>
        <v>Chaussées aéronautiques</v>
      </c>
      <c r="AS75" s="26" t="str">
        <f>IF($B75="","",IFERROR(INDEX(Paramètres!$T$6:$T$11,MATCH($I75,Paramètres!$S$6:$S$11,0)),""))</f>
        <v>janvier 2027</v>
      </c>
      <c r="AT75" s="31">
        <f>IF($B75="","",IFERROR(INDEX(Paramètres!$C$27:$C$29,MATCH($H75,Paramètres!$B$27:$B$29,0)),0))</f>
        <v>3</v>
      </c>
      <c r="AU75" s="29"/>
      <c r="AV75" s="32"/>
      <c r="AW75" s="26" t="str">
        <f t="shared" si="18"/>
        <v>ifsttar2016alizeaero.md</v>
      </c>
      <c r="AX75" s="26">
        <f>IF($B75="","",COUNTIF($I$2:I75,$I75))</f>
        <v>12</v>
      </c>
      <c r="AY75" s="26" t="str">
        <f t="shared" si="19"/>
        <v>4-12</v>
      </c>
      <c r="AZ75" s="26" t="s">
        <v>1115</v>
      </c>
      <c r="BA75" s="36">
        <f t="shared" ca="1" si="20"/>
        <v>80.009249999999994</v>
      </c>
      <c r="BB75" t="inlineStr">
        <is>
          <t>BIB-074_Blanc-etal_2016_Alize-Aeronautique-v1.5-manuel.pdf</t>
        </is>
      </c>
    </row>
    <row r="76" spans="1:54" ht="45" hidden="1" customHeight="1" x14ac:dyDescent="0.25">
      <c r="A76" s="25" t="s">
        <v>1116</v>
      </c>
      <c r="B76" s="25" t="s">
        <v>1117</v>
      </c>
      <c r="C76" s="26" t="str">
        <f t="shared" si="14"/>
        <v>Broutin (2010)</v>
      </c>
      <c r="D76" s="4" t="s">
        <v>1118</v>
      </c>
      <c r="E76" s="27" t="str">
        <f>IF(OR($B76="",$AF76=""),"",HYPERLINK(IF(AND(Paramètres!$C$13&lt;&gt;"",$AJ76="Éditeur (abonnement)"),Paramètres!$C$13&amp;$AF76,$AF76),"Ouvrir : "&amp;$AE76))</f>
        <v>Ouvrir : Notice officielle</v>
      </c>
      <c r="F76" s="28" t="s">
        <v>235</v>
      </c>
      <c r="G76" s="28">
        <v>7</v>
      </c>
      <c r="H76" s="25" t="s">
        <v>338</v>
      </c>
      <c r="I76" s="28">
        <v>4</v>
      </c>
      <c r="J76" s="29" t="s">
        <v>234</v>
      </c>
      <c r="K76" s="26" t="str">
        <f ca="1">IF($B76="","",IF($J76="Lu","Lu",IF($J76="Écarté","Écarté",IF($I76&lt;Paramètres!$C$8,"EN RETARD",IF($I76=Paramètres!$C$8,"Ce mois-ci",IF($I76=Paramètres!$C$8+1,"Mois prochain","À venir"))))))</f>
        <v>À venir</v>
      </c>
      <c r="L76" s="30" t="str">
        <f t="shared" si="15"/>
        <v>Texte intégral à localiser</v>
      </c>
      <c r="M76" s="31">
        <f ca="1">IF($B76="","",IF(OR($J76="Lu",$J76="Écarté"),0,IFERROR(INDEX(Paramètres!$C$17:$C$19,MATCH($H76,Paramètres!$B$17:$B$19,0)),0)+Paramètres!$C$20*(7-$I76)+IF($I76&lt;Paramètres!$C$8,Paramètres!$C$21,0)+IF($F76="Oui",Paramètres!$C$22,0)+IF($AL76&lt;&gt;"Vérifié",Paramètres!$C$23,0)+IF(AND($O76&lt;&gt;"Oui",OR($AJ76="PDF libre",$AJ76="PDF libre (dépôt)")),Paramètres!$C$24,0)))</f>
        <v>75</v>
      </c>
      <c r="N76" s="32"/>
      <c r="O76" s="33" t="str">
        <f>IF($BB76="","Non",HYPERLINK(DossierPDF&amp;$BB76,"Oui"))</f>
        <v>Oui</v>
      </c>
      <c r="P76" s="33" t="s">
        <v>235</v>
      </c>
      <c r="Q76" s="33" t="s">
        <v>235</v>
      </c>
      <c r="R76" s="33"/>
      <c r="S76" s="34"/>
      <c r="T76" s="25" t="s">
        <v>594</v>
      </c>
      <c r="U76" s="26" t="str">
        <f>IF($B76="","",IFERROR(INDEX(Paramètres!$N$6:$N$13,MATCH($T76,Paramètres!$M$6:$M$13,0)),$T76))</f>
        <v>Thèse</v>
      </c>
      <c r="V76" s="4" t="s">
        <v>1119</v>
      </c>
      <c r="W76" s="28">
        <v>2010</v>
      </c>
      <c r="X76" s="4"/>
      <c r="Y76" s="25"/>
      <c r="Z76" s="25"/>
      <c r="AA76" s="25"/>
      <c r="AB76" s="25" t="s">
        <v>1120</v>
      </c>
      <c r="AC76" s="25"/>
      <c r="AD76" s="25" t="s">
        <v>1121</v>
      </c>
      <c r="AE76" s="25" t="s">
        <v>1122</v>
      </c>
      <c r="AF76" s="35" t="s">
        <v>1123</v>
      </c>
      <c r="AG76" s="27" t="str">
        <f t="shared" si="16"/>
        <v/>
      </c>
      <c r="AH76" s="27" t="e">
        <f t="shared" si="17"/>
        <v>#VALUE!</v>
      </c>
      <c r="AI76" s="28" t="s">
        <v>689</v>
      </c>
      <c r="AJ76" s="25" t="s">
        <v>188</v>
      </c>
      <c r="AK76" s="4" t="s">
        <v>1124</v>
      </c>
      <c r="AL76" s="25" t="s">
        <v>247</v>
      </c>
      <c r="AM76" s="4" t="s">
        <v>1125</v>
      </c>
      <c r="AN76" s="25" t="s">
        <v>249</v>
      </c>
      <c r="AO76" s="4" t="s">
        <v>1126</v>
      </c>
      <c r="AP76" s="4" t="s">
        <v>1064</v>
      </c>
      <c r="AQ76" s="25" t="s">
        <v>233</v>
      </c>
      <c r="AR76" s="26" t="str">
        <f>IF($B76="","",IFERROR(INDEX(Paramètres!$Q$6:$Q$13,MATCH($G76,Paramètres!$P$6:$P$13,0)),""))</f>
        <v>Chaussées aéronautiques</v>
      </c>
      <c r="AS76" s="26" t="str">
        <f>IF($B76="","",IFERROR(INDEX(Paramètres!$T$6:$T$11,MATCH($I76,Paramètres!$S$6:$S$11,0)),""))</f>
        <v>janvier 2027</v>
      </c>
      <c r="AT76" s="31">
        <f>IF($B76="","",IFERROR(INDEX(Paramètres!$C$27:$C$29,MATCH($H76,Paramètres!$B$27:$B$29,0)),0))</f>
        <v>3</v>
      </c>
      <c r="AU76" s="29"/>
      <c r="AV76" s="32"/>
      <c r="AW76" s="26" t="str">
        <f t="shared" si="18"/>
        <v>broutin2010hwd.md</v>
      </c>
      <c r="AX76" s="26">
        <f>IF($B76="","",COUNTIF($I$2:I76,$I76))</f>
        <v>13</v>
      </c>
      <c r="AY76" s="26" t="str">
        <f t="shared" si="19"/>
        <v>4-13</v>
      </c>
      <c r="AZ76" s="26" t="s">
        <v>1127</v>
      </c>
      <c r="BA76" s="36">
        <f t="shared" ca="1" si="20"/>
        <v>75.009240000000005</v>
      </c>
      <c r="BB76" t="inlineStr">
        <is>
          <t>BIB-075_Broutin_2010_Chaussees-souples-aeroportuaires-HWD-these.pdf</t>
        </is>
      </c>
    </row>
    <row r="77" spans="1:54" ht="45" hidden="1" customHeight="1" x14ac:dyDescent="0.25">
      <c r="A77" s="25" t="s">
        <v>1128</v>
      </c>
      <c r="B77" s="25" t="s">
        <v>1129</v>
      </c>
      <c r="C77" s="26" t="str">
        <f t="shared" si="14"/>
        <v>Clavel &amp; Courant (2018)</v>
      </c>
      <c r="D77" s="4" t="s">
        <v>1130</v>
      </c>
      <c r="E77" s="27" t="str">
        <f>IF(OR($B77="",$AF77=""),"",HYPERLINK(IF(AND(Paramètres!$C$13&lt;&gt;"",$AJ77="Éditeur (abonnement)"),Paramètres!$C$13&amp;$AF77,$AF77),"Ouvrir : "&amp;$AE77))</f>
        <v>Ouvrir : Texte intégral libre</v>
      </c>
      <c r="F77" s="28" t="s">
        <v>235</v>
      </c>
      <c r="G77" s="28">
        <v>7</v>
      </c>
      <c r="H77" s="25" t="s">
        <v>338</v>
      </c>
      <c r="I77" s="28">
        <v>4</v>
      </c>
      <c r="J77" s="29" t="s">
        <v>234</v>
      </c>
      <c r="K77" s="26" t="str">
        <f ca="1">IF($B77="","",IF($J77="Lu","Lu",IF($J77="Écarté","Écarté",IF($I77&lt;Paramètres!$C$8,"EN RETARD",IF($I77=Paramètres!$C$8,"Ce mois-ci",IF($I77=Paramètres!$C$8+1,"Mois prochain","À venir"))))))</f>
        <v>À venir</v>
      </c>
      <c r="L77" s="30" t="str">
        <f t="shared" si="15"/>
        <v>PDF libre à télécharger</v>
      </c>
      <c r="M77" s="31">
        <f ca="1">IF($B77="","",IF(OR($J77="Lu",$J77="Écarté"),0,IFERROR(INDEX(Paramètres!$C$17:$C$19,MATCH($H77,Paramètres!$B$17:$B$19,0)),0)+Paramètres!$C$20*(7-$I77)+IF($I77&lt;Paramètres!$C$8,Paramètres!$C$21,0)+IF($F77="Oui",Paramètres!$C$22,0)+IF($AL77&lt;&gt;"Vérifié",Paramètres!$C$23,0)+IF(AND($O77&lt;&gt;"Oui",OR($AJ77="PDF libre",$AJ77="PDF libre (dépôt)")),Paramètres!$C$24,0)))</f>
        <v>80</v>
      </c>
      <c r="N77" s="32"/>
      <c r="O77" s="33" t="str">
        <f>IF($BB77="","Non",HYPERLINK(DossierPDF&amp;$BB77,"Oui"))</f>
        <v>Oui</v>
      </c>
      <c r="P77" s="33" t="s">
        <v>235</v>
      </c>
      <c r="Q77" s="33" t="s">
        <v>235</v>
      </c>
      <c r="R77" s="33"/>
      <c r="S77" s="34"/>
      <c r="T77" s="25" t="s">
        <v>271</v>
      </c>
      <c r="U77" s="26" t="str">
        <f>IF($B77="","",IFERROR(INDEX(Paramètres!$N$6:$N$13,MATCH($T77,Paramètres!$M$6:$M$13,0)),$T77))</f>
        <v>Rapport</v>
      </c>
      <c r="V77" s="4" t="s">
        <v>1131</v>
      </c>
      <c r="W77" s="28">
        <v>2018</v>
      </c>
      <c r="X77" s="4"/>
      <c r="Y77" s="25"/>
      <c r="Z77" s="25"/>
      <c r="AA77" s="25"/>
      <c r="AB77" s="25" t="s">
        <v>328</v>
      </c>
      <c r="AC77" s="25"/>
      <c r="AD77" s="25" t="s">
        <v>1132</v>
      </c>
      <c r="AE77" s="25" t="s">
        <v>275</v>
      </c>
      <c r="AF77" s="35" t="s">
        <v>1133</v>
      </c>
      <c r="AG77" s="27" t="str">
        <f t="shared" si="16"/>
        <v/>
      </c>
      <c r="AH77" s="27" t="str">
        <f t="shared" si="17"/>
        <v>Scholar</v>
      </c>
      <c r="AI77" s="28" t="s">
        <v>277</v>
      </c>
      <c r="AJ77" s="25" t="s">
        <v>183</v>
      </c>
      <c r="AK77" s="4" t="s">
        <v>990</v>
      </c>
      <c r="AL77" s="25" t="s">
        <v>247</v>
      </c>
      <c r="AM77" s="4" t="s">
        <v>1134</v>
      </c>
      <c r="AN77" s="25" t="s">
        <v>249</v>
      </c>
      <c r="AO77" s="4" t="s">
        <v>1135</v>
      </c>
      <c r="AP77" s="4" t="s">
        <v>1136</v>
      </c>
      <c r="AQ77" s="25" t="s">
        <v>233</v>
      </c>
      <c r="AR77" s="26" t="str">
        <f>IF($B77="","",IFERROR(INDEX(Paramètres!$Q$6:$Q$13,MATCH($G77,Paramètres!$P$6:$P$13,0)),""))</f>
        <v>Chaussées aéronautiques</v>
      </c>
      <c r="AS77" s="26" t="str">
        <f>IF($B77="","",IFERROR(INDEX(Paramètres!$T$6:$T$11,MATCH($I77,Paramètres!$S$6:$S$11,0)),""))</f>
        <v>janvier 2027</v>
      </c>
      <c r="AT77" s="31">
        <f>IF($B77="","",IFERROR(INDEX(Paramètres!$C$27:$C$29,MATCH($H77,Paramètres!$B$27:$B$29,0)),0))</f>
        <v>3</v>
      </c>
      <c r="AU77" s="29"/>
      <c r="AV77" s="32"/>
      <c r="AW77" s="26" t="str">
        <f t="shared" si="18"/>
        <v>clavel2018synthese.md</v>
      </c>
      <c r="AX77" s="26">
        <f>IF($B77="","",COUNTIF($I$2:I77,$I77))</f>
        <v>14</v>
      </c>
      <c r="AY77" s="26" t="str">
        <f t="shared" si="19"/>
        <v>4-14</v>
      </c>
      <c r="AZ77" s="26" t="s">
        <v>1137</v>
      </c>
      <c r="BA77" s="36">
        <f t="shared" ca="1" si="20"/>
        <v>80.009230000000002</v>
      </c>
      <c r="BB77" t="inlineStr">
        <is>
          <t>BIB-076_Clavel-Courant_2018_Conception-etape-par-etape-Alize-aero.pdf</t>
        </is>
      </c>
    </row>
    <row r="78" spans="1:54" ht="45" customHeight="1" x14ac:dyDescent="0.25">
      <c r="A78" s="25" t="s">
        <v>1138</v>
      </c>
      <c r="B78" s="25" t="s">
        <v>1139</v>
      </c>
      <c r="C78" s="26" t="str">
        <f t="shared" si="14"/>
        <v>Wang et al. (2013)</v>
      </c>
      <c r="D78" s="4" t="s">
        <v>1140</v>
      </c>
      <c r="E78" s="27" t="str">
        <f>IF(OR($B78="",$AF78=""),"",HYPERLINK(IF(AND(Paramètres!$C$13&lt;&gt;"",$AJ78="Éditeur (abonnement)"),Paramètres!$C$13&amp;$AF78,$AF78),"Ouvrir : "&amp;$AE78))</f>
        <v>Ouvrir : Page éditeur (DOI)</v>
      </c>
      <c r="F78" s="28" t="s">
        <v>235</v>
      </c>
      <c r="G78" s="28">
        <v>7</v>
      </c>
      <c r="H78" s="25" t="s">
        <v>338</v>
      </c>
      <c r="I78" s="28">
        <v>4</v>
      </c>
      <c r="J78" s="29" t="s">
        <v>234</v>
      </c>
      <c r="K78" s="26" t="str">
        <f ca="1">IF($B78="","",IF($J78="Lu","Lu",IF($J78="Écarté","Écarté",IF($I78&lt;Paramètres!$C$8,"EN RETARD",IF($I78=Paramètres!$C$8,"Ce mois-ci",IF($I78=Paramètres!$C$8+1,"Mois prochain","À venir"))))))</f>
        <v>À venir</v>
      </c>
      <c r="L78" s="30" t="str">
        <f t="shared" si="15"/>
        <v>À télécharger via l'accès ENTPE</v>
      </c>
      <c r="M78" s="31">
        <f ca="1">IF($B78="","",IF(OR($J78="Lu",$J78="Écarté"),0,IFERROR(INDEX(Paramètres!$C$17:$C$19,MATCH($H78,Paramètres!$B$17:$B$19,0)),0)+Paramètres!$C$20*(7-$I78)+IF($I78&lt;Paramètres!$C$8,Paramètres!$C$21,0)+IF($F78="Oui",Paramètres!$C$22,0)+IF($AL78&lt;&gt;"Vérifié",Paramètres!$C$23,0)+IF(AND($O78&lt;&gt;"Oui",OR($AJ78="PDF libre",$AJ78="PDF libre (dépôt)")),Paramètres!$C$24,0)))</f>
        <v>75</v>
      </c>
      <c r="N78" s="32"/>
      <c r="O78" s="33" t="str">
        <f>IF($BB78="","Non",HYPERLINK(DossierPDF&amp;$BB78,"Oui"))</f>
        <v>Oui</v>
      </c>
      <c r="P78" s="33" t="s">
        <v>235</v>
      </c>
      <c r="Q78" s="33" t="s">
        <v>235</v>
      </c>
      <c r="R78" s="33"/>
      <c r="S78" s="34"/>
      <c r="T78" s="25" t="s">
        <v>236</v>
      </c>
      <c r="U78" s="26" t="str">
        <f>IF($B78="","",IFERROR(INDEX(Paramètres!$N$6:$N$13,MATCH($T78,Paramètres!$M$6:$M$13,0)),$T78))</f>
        <v>Article de revue</v>
      </c>
      <c r="V78" s="4" t="s">
        <v>1141</v>
      </c>
      <c r="W78" s="28">
        <v>2013</v>
      </c>
      <c r="X78" s="4" t="s">
        <v>1142</v>
      </c>
      <c r="Y78" s="25" t="s">
        <v>1143</v>
      </c>
      <c r="Z78" s="25"/>
      <c r="AA78" s="25" t="s">
        <v>1144</v>
      </c>
      <c r="AB78" s="25"/>
      <c r="AC78" s="25" t="s">
        <v>1145</v>
      </c>
      <c r="AD78" s="25"/>
      <c r="AE78" s="25" t="s">
        <v>243</v>
      </c>
      <c r="AF78" s="35" t="s">
        <v>1146</v>
      </c>
      <c r="AG78" s="27" t="str">
        <f t="shared" si="16"/>
        <v>doi.org</v>
      </c>
      <c r="AH78" s="27" t="str">
        <f t="shared" si="17"/>
        <v>Scholar</v>
      </c>
      <c r="AI78" s="28" t="s">
        <v>245</v>
      </c>
      <c r="AJ78" s="25" t="s">
        <v>185</v>
      </c>
      <c r="AK78" s="4" t="s">
        <v>1075</v>
      </c>
      <c r="AL78" s="25" t="s">
        <v>247</v>
      </c>
      <c r="AM78" s="4" t="s">
        <v>264</v>
      </c>
      <c r="AN78" s="25" t="s">
        <v>249</v>
      </c>
      <c r="AO78" s="4" t="s">
        <v>1147</v>
      </c>
      <c r="AP78" s="4" t="s">
        <v>578</v>
      </c>
      <c r="AQ78" s="25" t="s">
        <v>235</v>
      </c>
      <c r="AR78" s="26" t="str">
        <f>IF($B78="","",IFERROR(INDEX(Paramètres!$Q$6:$Q$13,MATCH($G78,Paramètres!$P$6:$P$13,0)),""))</f>
        <v>Chaussées aéronautiques</v>
      </c>
      <c r="AS78" s="26" t="str">
        <f>IF($B78="","",IFERROR(INDEX(Paramètres!$T$6:$T$11,MATCH($I78,Paramètres!$S$6:$S$11,0)),""))</f>
        <v>janvier 2027</v>
      </c>
      <c r="AT78" s="31">
        <f>IF($B78="","",IFERROR(INDEX(Paramètres!$C$27:$C$29,MATCH($H78,Paramètres!$B$27:$B$29,0)),0))</f>
        <v>3</v>
      </c>
      <c r="AU78" s="29"/>
      <c r="AV78" s="32"/>
      <c r="AW78" s="26" t="str">
        <f t="shared" si="18"/>
        <v>wang2013airport.md</v>
      </c>
      <c r="AX78" s="26">
        <f>IF($B78="","",COUNTIF($I$2:I78,$I78))</f>
        <v>15</v>
      </c>
      <c r="AY78" s="26" t="str">
        <f t="shared" si="19"/>
        <v>4-15</v>
      </c>
      <c r="AZ78" s="26" t="s">
        <v>1148</v>
      </c>
      <c r="BA78" s="36">
        <f t="shared" ca="1" si="20"/>
        <v>75.009219999999999</v>
      </c>
      <c r="BB78" t="inlineStr">
        <is>
          <t>BIB-077_Wang-etal_2013_3D-FE-instrumented-airport-runway.pdf</t>
        </is>
      </c>
    </row>
    <row r="79" spans="1:53" ht="45" hidden="1" customHeight="1" x14ac:dyDescent="0.25">
      <c r="A79" s="25" t="s">
        <v>1149</v>
      </c>
      <c r="B79" s="25" t="s">
        <v>1150</v>
      </c>
      <c r="C79" s="26" t="str">
        <f t="shared" si="14"/>
        <v>LCPC &amp; SETRA (1994)</v>
      </c>
      <c r="D79" s="4" t="s">
        <v>1151</v>
      </c>
      <c r="E79" s="27" t="str">
        <f>IF(OR($B79="",$AF79=""),"",HYPERLINK(IF(AND(Paramètres!$C$13&lt;&gt;"",$AJ79="Éditeur (abonnement)"),Paramètres!$C$13&amp;$AF79,$AF79),"Ouvrir : "&amp;$AE79))</f>
        <v>Ouvrir : Texte intégral libre</v>
      </c>
      <c r="F79" s="28" t="s">
        <v>233</v>
      </c>
      <c r="G79" s="28">
        <v>8</v>
      </c>
      <c r="H79" s="25" t="s">
        <v>338</v>
      </c>
      <c r="I79" s="28">
        <v>4</v>
      </c>
      <c r="J79" s="29" t="s">
        <v>234</v>
      </c>
      <c r="K79" s="26" t="str">
        <f ca="1">IF($B79="","",IF($J79="Lu","Lu",IF($J79="Écarté","Écarté",IF($I79&lt;Paramètres!$C$8,"EN RETARD",IF($I79=Paramètres!$C$8,"Ce mois-ci",IF($I79=Paramètres!$C$8+1,"Mois prochain","À venir"))))))</f>
        <v>À venir</v>
      </c>
      <c r="L79" s="30" t="str">
        <f t="shared" si="15"/>
        <v>PDF libre à télécharger</v>
      </c>
      <c r="M79" s="31">
        <f ca="1">IF($B79="","",IF(OR($J79="Lu",$J79="Écarté"),0,IFERROR(INDEX(Paramètres!$C$17:$C$19,MATCH($H79,Paramètres!$B$17:$B$19,0)),0)+Paramètres!$C$20*(7-$I79)+IF($I79&lt;Paramètres!$C$8,Paramètres!$C$21,0)+IF($F79="Oui",Paramètres!$C$22,0)+IF($AL79&lt;&gt;"Vérifié",Paramètres!$C$23,0)+IF(AND($O79&lt;&gt;"Oui",OR($AJ79="PDF libre",$AJ79="PDF libre (dépôt)")),Paramètres!$C$24,0)))</f>
        <v>90</v>
      </c>
      <c r="N79" s="32"/>
      <c r="O79" s="33" t="str">
        <f>IF($BB79="","Non",HYPERLINK(DossierPDF&amp;$BB79,"Oui"))</f>
        <v>Non</v>
      </c>
      <c r="P79" s="33" t="s">
        <v>235</v>
      </c>
      <c r="Q79" s="33" t="s">
        <v>235</v>
      </c>
      <c r="R79" s="33"/>
      <c r="S79" s="34"/>
      <c r="T79" s="25" t="s">
        <v>661</v>
      </c>
      <c r="U79" s="26" t="str">
        <f>IF($B79="","",IFERROR(INDEX(Paramètres!$N$6:$N$13,MATCH($T79,Paramètres!$M$6:$M$13,0)),$T79))</f>
        <v>Ouvrage / guide</v>
      </c>
      <c r="V79" s="4" t="s">
        <v>1152</v>
      </c>
      <c r="W79" s="28">
        <v>1994</v>
      </c>
      <c r="X79" s="4"/>
      <c r="Y79" s="25"/>
      <c r="Z79" s="25"/>
      <c r="AA79" s="25"/>
      <c r="AB79" s="25" t="s">
        <v>1153</v>
      </c>
      <c r="AC79" s="25"/>
      <c r="AD79" s="25" t="s">
        <v>1154</v>
      </c>
      <c r="AE79" s="25" t="s">
        <v>275</v>
      </c>
      <c r="AF79" s="35" t="s">
        <v>1155</v>
      </c>
      <c r="AG79" s="27" t="str">
        <f t="shared" si="16"/>
        <v/>
      </c>
      <c r="AH79" s="27" t="str">
        <f t="shared" si="17"/>
        <v>Scholar</v>
      </c>
      <c r="AI79" s="28" t="s">
        <v>277</v>
      </c>
      <c r="AJ79" s="25" t="s">
        <v>183</v>
      </c>
      <c r="AK79" s="4" t="s">
        <v>1156</v>
      </c>
      <c r="AL79" s="25" t="s">
        <v>247</v>
      </c>
      <c r="AM79" s="4" t="s">
        <v>1157</v>
      </c>
      <c r="AN79" s="25" t="s">
        <v>249</v>
      </c>
      <c r="AO79" s="4" t="s">
        <v>1158</v>
      </c>
      <c r="AP79" s="4" t="s">
        <v>1159</v>
      </c>
      <c r="AQ79" s="25" t="s">
        <v>233</v>
      </c>
      <c r="AR79" s="26" t="str">
        <f>IF($B79="","",IFERROR(INDEX(Paramètres!$Q$6:$Q$13,MATCH($G79,Paramètres!$P$6:$P$13,0)),""))</f>
        <v>Littérature grise et normative</v>
      </c>
      <c r="AS79" s="26" t="str">
        <f>IF($B79="","",IFERROR(INDEX(Paramètres!$T$6:$T$11,MATCH($I79,Paramètres!$S$6:$S$11,0)),""))</f>
        <v>janvier 2027</v>
      </c>
      <c r="AT79" s="31">
        <f>IF($B79="","",IFERROR(INDEX(Paramètres!$C$27:$C$29,MATCH($H79,Paramètres!$B$27:$B$29,0)),0))</f>
        <v>3</v>
      </c>
      <c r="AU79" s="29"/>
      <c r="AV79" s="32"/>
      <c r="AW79" s="26" t="str">
        <f t="shared" si="18"/>
        <v>lcpcsetra1994conception.md</v>
      </c>
      <c r="AX79" s="26">
        <f>IF($B79="","",COUNTIF($I$2:I79,$I79))</f>
        <v>16</v>
      </c>
      <c r="AY79" s="26" t="str">
        <f t="shared" si="19"/>
        <v>4-16</v>
      </c>
      <c r="AZ79" s="26" t="s">
        <v>1160</v>
      </c>
      <c r="BA79" s="36">
        <f t="shared" ca="1" si="20"/>
        <v>90.009209999999996</v>
      </c>
    </row>
    <row r="80" spans="1:54" ht="45" customHeight="1" x14ac:dyDescent="0.25">
      <c r="A80" s="25" t="s">
        <v>1161</v>
      </c>
      <c r="B80" s="25" t="s">
        <v>1162</v>
      </c>
      <c r="C80" s="26" t="str">
        <f t="shared" si="14"/>
        <v>Cho et al. (1996)</v>
      </c>
      <c r="D80" s="4" t="s">
        <v>1163</v>
      </c>
      <c r="E80" s="27" t="str">
        <f>IF(OR($B80="",$AF80=""),"",HYPERLINK(IF(AND(Paramètres!$C$13&lt;&gt;"",$AJ80="Éditeur (abonnement)"),Paramètres!$C$13&amp;$AF80,$AF80),"Ouvrir : "&amp;$AE80))</f>
        <v>Ouvrir : Page éditeur (DOI)</v>
      </c>
      <c r="F80" s="28" t="s">
        <v>235</v>
      </c>
      <c r="G80" s="28">
        <v>5</v>
      </c>
      <c r="H80" s="25" t="s">
        <v>405</v>
      </c>
      <c r="I80" s="28">
        <v>4</v>
      </c>
      <c r="J80" s="29" t="s">
        <v>234</v>
      </c>
      <c r="K80" s="26" t="str">
        <f ca="1">IF($B80="","",IF($J80="Lu","Lu",IF($J80="Écarté","Écarté",IF($I80&lt;Paramètres!$C$8,"EN RETARD",IF($I80=Paramètres!$C$8,"Ce mois-ci",IF($I80=Paramètres!$C$8+1,"Mois prochain","À venir"))))))</f>
        <v>À venir</v>
      </c>
      <c r="L80" s="30" t="str">
        <f t="shared" si="15"/>
        <v>À télécharger via l'accès ENTPE</v>
      </c>
      <c r="M80" s="31">
        <f ca="1">IF($B80="","",IF(OR($J80="Lu",$J80="Écarté"),0,IFERROR(INDEX(Paramètres!$C$17:$C$19,MATCH($H80,Paramètres!$B$17:$B$19,0)),0)+Paramètres!$C$20*(7-$I80)+IF($I80&lt;Paramètres!$C$8,Paramètres!$C$21,0)+IF($F80="Oui",Paramètres!$C$22,0)+IF($AL80&lt;&gt;"Vérifié",Paramètres!$C$23,0)+IF(AND($O80&lt;&gt;"Oui",OR($AJ80="PDF libre",$AJ80="PDF libre (dépôt)")),Paramètres!$C$24,0)))</f>
        <v>45</v>
      </c>
      <c r="N80" s="32"/>
      <c r="O80" s="33" t="str">
        <f>IF($BB80="","Non",HYPERLINK(DossierPDF&amp;$BB80,"Oui"))</f>
        <v>Oui</v>
      </c>
      <c r="P80" s="33" t="s">
        <v>235</v>
      </c>
      <c r="Q80" s="33" t="s">
        <v>235</v>
      </c>
      <c r="R80" s="33"/>
      <c r="S80" s="34"/>
      <c r="T80" s="25" t="s">
        <v>236</v>
      </c>
      <c r="U80" s="26" t="str">
        <f>IF($B80="","",IFERROR(INDEX(Paramètres!$N$6:$N$13,MATCH($T80,Paramètres!$M$6:$M$13,0)),$T80))</f>
        <v>Article de revue</v>
      </c>
      <c r="V80" s="4" t="s">
        <v>1164</v>
      </c>
      <c r="W80" s="28">
        <v>1996</v>
      </c>
      <c r="X80" s="4" t="s">
        <v>1070</v>
      </c>
      <c r="Y80" s="25" t="s">
        <v>1165</v>
      </c>
      <c r="Z80" s="25"/>
      <c r="AA80" s="25" t="s">
        <v>1166</v>
      </c>
      <c r="AB80" s="25"/>
      <c r="AC80" s="25" t="s">
        <v>1167</v>
      </c>
      <c r="AD80" s="25"/>
      <c r="AE80" s="25" t="s">
        <v>243</v>
      </c>
      <c r="AF80" s="35" t="s">
        <v>1168</v>
      </c>
      <c r="AG80" s="27" t="str">
        <f t="shared" si="16"/>
        <v>doi.org</v>
      </c>
      <c r="AH80" s="27" t="str">
        <f t="shared" si="17"/>
        <v>Scholar</v>
      </c>
      <c r="AI80" s="28" t="s">
        <v>245</v>
      </c>
      <c r="AJ80" s="25" t="s">
        <v>185</v>
      </c>
      <c r="AK80" s="4" t="s">
        <v>1075</v>
      </c>
      <c r="AL80" s="25" t="s">
        <v>247</v>
      </c>
      <c r="AM80" s="4" t="s">
        <v>264</v>
      </c>
      <c r="AN80" s="25" t="s">
        <v>249</v>
      </c>
      <c r="AO80" s="4" t="s">
        <v>1169</v>
      </c>
      <c r="AP80" s="4" t="s">
        <v>1170</v>
      </c>
      <c r="AQ80" s="25" t="s">
        <v>235</v>
      </c>
      <c r="AR80" s="26" t="str">
        <f>IF($B80="","",IFERROR(INDEX(Paramètres!$Q$6:$Q$13,MATCH($G80,Paramètres!$P$6:$P$13,0)),""))</f>
        <v>Calcul de structures viscoélastiques</v>
      </c>
      <c r="AS80" s="26" t="str">
        <f>IF($B80="","",IFERROR(INDEX(Paramètres!$T$6:$T$11,MATCH($I80,Paramètres!$S$6:$S$11,0)),""))</f>
        <v>janvier 2027</v>
      </c>
      <c r="AT80" s="31">
        <f>IF($B80="","",IFERROR(INDEX(Paramètres!$C$27:$C$29,MATCH($H80,Paramètres!$B$27:$B$29,0)),0))</f>
        <v>1</v>
      </c>
      <c r="AU80" s="29"/>
      <c r="AV80" s="32"/>
      <c r="AW80" s="26" t="str">
        <f t="shared" si="18"/>
        <v>cho1996fem.md</v>
      </c>
      <c r="AX80" s="26">
        <f>IF($B80="","",COUNTIF($I$2:I80,$I80))</f>
        <v>17</v>
      </c>
      <c r="AY80" s="26" t="str">
        <f t="shared" si="19"/>
        <v>4-17</v>
      </c>
      <c r="AZ80" s="26" t="s">
        <v>1171</v>
      </c>
      <c r="BA80" s="36">
        <f t="shared" ca="1" si="20"/>
        <v>45.0092</v>
      </c>
      <c r="BB80" t="inlineStr">
        <is>
          <t>BIB-079_Cho-etal_1996_FEM-application-pavement-structural-analysis.pdf</t>
        </is>
      </c>
    </row>
    <row r="81" spans="1:54" ht="45" customHeight="1" x14ac:dyDescent="0.25">
      <c r="A81" s="25" t="s">
        <v>1172</v>
      </c>
      <c r="B81" s="25" t="s">
        <v>1173</v>
      </c>
      <c r="C81" s="26" t="str">
        <f t="shared" si="14"/>
        <v>Pouget et al. (2012)</v>
      </c>
      <c r="D81" s="4" t="s">
        <v>1174</v>
      </c>
      <c r="E81" s="27" t="str">
        <f>IF(OR($B81="",$AF81=""),"",HYPERLINK(IF(AND(Paramètres!$C$13&lt;&gt;"",$AJ81="Éditeur (abonnement)"),Paramètres!$C$13&amp;$AF81,$AF81),"Ouvrir : "&amp;$AE81))</f>
        <v>Ouvrir : Page éditeur (DOI)</v>
      </c>
      <c r="F81" s="28" t="s">
        <v>235</v>
      </c>
      <c r="G81" s="28">
        <v>5</v>
      </c>
      <c r="H81" s="25" t="s">
        <v>405</v>
      </c>
      <c r="I81" s="28">
        <v>4</v>
      </c>
      <c r="J81" s="29" t="s">
        <v>234</v>
      </c>
      <c r="K81" s="26" t="str">
        <f ca="1">IF($B81="","",IF($J81="Lu","Lu",IF($J81="Écarté","Écarté",IF($I81&lt;Paramètres!$C$8,"EN RETARD",IF($I81=Paramètres!$C$8,"Ce mois-ci",IF($I81=Paramètres!$C$8+1,"Mois prochain","À venir"))))))</f>
        <v>À venir</v>
      </c>
      <c r="L81" s="30" t="str">
        <f t="shared" si="15"/>
        <v>À télécharger via l'accès ENTPE</v>
      </c>
      <c r="M81" s="31">
        <f ca="1">IF($B81="","",IF(OR($J81="Lu",$J81="Écarté"),0,IFERROR(INDEX(Paramètres!$C$17:$C$19,MATCH($H81,Paramètres!$B$17:$B$19,0)),0)+Paramètres!$C$20*(7-$I81)+IF($I81&lt;Paramètres!$C$8,Paramètres!$C$21,0)+IF($F81="Oui",Paramètres!$C$22,0)+IF($AL81&lt;&gt;"Vérifié",Paramètres!$C$23,0)+IF(AND($O81&lt;&gt;"Oui",OR($AJ81="PDF libre",$AJ81="PDF libre (dépôt)")),Paramètres!$C$24,0)))</f>
        <v>45</v>
      </c>
      <c r="N81" s="32"/>
      <c r="O81" s="33" t="str">
        <f>IF($BB81="","Non",HYPERLINK(DossierPDF&amp;$BB81,"Oui"))</f>
        <v>Oui</v>
      </c>
      <c r="P81" s="33" t="s">
        <v>235</v>
      </c>
      <c r="Q81" s="33" t="s">
        <v>235</v>
      </c>
      <c r="R81" s="33"/>
      <c r="S81" s="34"/>
      <c r="T81" s="25" t="s">
        <v>236</v>
      </c>
      <c r="U81" s="26" t="str">
        <f>IF($B81="","",IFERROR(INDEX(Paramètres!$N$6:$N$13,MATCH($T81,Paramètres!$M$6:$M$13,0)),$T81))</f>
        <v>Article de revue</v>
      </c>
      <c r="V81" s="4" t="s">
        <v>1175</v>
      </c>
      <c r="W81" s="28">
        <v>2012</v>
      </c>
      <c r="X81" s="4" t="s">
        <v>801</v>
      </c>
      <c r="Y81" s="25" t="s">
        <v>1176</v>
      </c>
      <c r="Z81" s="25" t="s">
        <v>259</v>
      </c>
      <c r="AA81" s="25" t="s">
        <v>1177</v>
      </c>
      <c r="AB81" s="25"/>
      <c r="AC81" s="25" t="s">
        <v>1178</v>
      </c>
      <c r="AD81" s="25"/>
      <c r="AE81" s="25" t="s">
        <v>243</v>
      </c>
      <c r="AF81" s="35" t="s">
        <v>1179</v>
      </c>
      <c r="AG81" s="27" t="str">
        <f t="shared" si="16"/>
        <v>doi.org</v>
      </c>
      <c r="AH81" s="27" t="str">
        <f t="shared" si="17"/>
        <v>Scholar</v>
      </c>
      <c r="AI81" s="28" t="s">
        <v>245</v>
      </c>
      <c r="AJ81" s="25" t="s">
        <v>185</v>
      </c>
      <c r="AK81" s="4" t="s">
        <v>831</v>
      </c>
      <c r="AL81" s="25" t="s">
        <v>247</v>
      </c>
      <c r="AM81" s="4" t="s">
        <v>1180</v>
      </c>
      <c r="AN81" s="25" t="s">
        <v>249</v>
      </c>
      <c r="AO81" s="4" t="s">
        <v>1181</v>
      </c>
      <c r="AP81" s="4" t="s">
        <v>1182</v>
      </c>
      <c r="AQ81" s="25" t="s">
        <v>235</v>
      </c>
      <c r="AR81" s="26" t="str">
        <f>IF($B81="","",IFERROR(INDEX(Paramètres!$Q$6:$Q$13,MATCH($G81,Paramètres!$P$6:$P$13,0)),""))</f>
        <v>Calcul de structures viscoélastiques</v>
      </c>
      <c r="AS81" s="26" t="str">
        <f>IF($B81="","",IFERROR(INDEX(Paramètres!$T$6:$T$11,MATCH($I81,Paramètres!$S$6:$S$11,0)),""))</f>
        <v>janvier 2027</v>
      </c>
      <c r="AT81" s="31">
        <f>IF($B81="","",IFERROR(INDEX(Paramètres!$C$27:$C$29,MATCH($H81,Paramètres!$B$27:$B$29,0)),0))</f>
        <v>1</v>
      </c>
      <c r="AU81" s="29"/>
      <c r="AV81" s="32"/>
      <c r="AW81" s="26" t="str">
        <f t="shared" si="18"/>
        <v>pouget2012mater.md</v>
      </c>
      <c r="AX81" s="26">
        <f>IF($B81="","",COUNTIF($I$2:I81,$I81))</f>
        <v>18</v>
      </c>
      <c r="AY81" s="26" t="str">
        <f t="shared" si="19"/>
        <v>4-18</v>
      </c>
      <c r="AZ81" s="26" t="s">
        <v>1183</v>
      </c>
      <c r="BA81" s="36">
        <f t="shared" ca="1" si="20"/>
        <v>45.009189999999997</v>
      </c>
      <c r="BB81" t="inlineStr">
        <is>
          <t>BIB-080_Pouget-etal_2012_Bituminous-wearing-course-orthotropic-deck.pdf</t>
        </is>
      </c>
    </row>
    <row r="82" spans="1:54" ht="45" hidden="1" customHeight="1" x14ac:dyDescent="0.25">
      <c r="A82" s="25" t="s">
        <v>1184</v>
      </c>
      <c r="B82" s="25" t="s">
        <v>1185</v>
      </c>
      <c r="C82" s="26" t="str">
        <f t="shared" si="14"/>
        <v>Airbus S.A.S. (2025)</v>
      </c>
      <c r="D82" s="4" t="s">
        <v>1186</v>
      </c>
      <c r="E82" s="27" t="str">
        <f>IF(OR($B82="",$AF82=""),"",HYPERLINK(IF(AND(Paramètres!$C$13&lt;&gt;"",$AJ82="Éditeur (abonnement)"),Paramètres!$C$13&amp;$AF82,$AF82),"Ouvrir : "&amp;$AE82))</f>
        <v>Ouvrir : Texte intégral libre</v>
      </c>
      <c r="F82" s="28" t="s">
        <v>235</v>
      </c>
      <c r="G82" s="28">
        <v>7</v>
      </c>
      <c r="H82" s="25" t="s">
        <v>405</v>
      </c>
      <c r="I82" s="28">
        <v>4</v>
      </c>
      <c r="J82" s="29" t="s">
        <v>234</v>
      </c>
      <c r="K82" s="26" t="str">
        <f ca="1">IF($B82="","",IF($J82="Lu","Lu",IF($J82="Écarté","Écarté",IF($I82&lt;Paramètres!$C$8,"EN RETARD",IF($I82=Paramètres!$C$8,"Ce mois-ci",IF($I82=Paramètres!$C$8+1,"Mois prochain","À venir"))))))</f>
        <v>À venir</v>
      </c>
      <c r="L82" s="30" t="str">
        <f t="shared" si="15"/>
        <v>PDF libre à télécharger</v>
      </c>
      <c r="M82" s="31">
        <f ca="1">IF($B82="","",IF(OR($J82="Lu",$J82="Écarté"),0,IFERROR(INDEX(Paramètres!$C$17:$C$19,MATCH($H82,Paramètres!$B$17:$B$19,0)),0)+Paramètres!$C$20*(7-$I82)+IF($I82&lt;Paramètres!$C$8,Paramètres!$C$21,0)+IF($F82="Oui",Paramètres!$C$22,0)+IF($AL82&lt;&gt;"Vérifié",Paramètres!$C$23,0)+IF(AND($O82&lt;&gt;"Oui",OR($AJ82="PDF libre",$AJ82="PDF libre (dépôt)")),Paramètres!$C$24,0)))</f>
        <v>50</v>
      </c>
      <c r="N82" s="32"/>
      <c r="O82" s="33" t="str">
        <f>IF($BB82="","Non",HYPERLINK(DossierPDF&amp;$BB82,"Oui"))</f>
        <v>Oui</v>
      </c>
      <c r="P82" s="33" t="s">
        <v>235</v>
      </c>
      <c r="Q82" s="33" t="s">
        <v>235</v>
      </c>
      <c r="R82" s="33"/>
      <c r="S82" s="34"/>
      <c r="T82" s="25" t="s">
        <v>271</v>
      </c>
      <c r="U82" s="26" t="str">
        <f>IF($B82="","",IFERROR(INDEX(Paramètres!$N$6:$N$13,MATCH($T82,Paramètres!$M$6:$M$13,0)),$T82))</f>
        <v>Rapport</v>
      </c>
      <c r="V82" s="4" t="s">
        <v>303</v>
      </c>
      <c r="W82" s="28">
        <v>2025</v>
      </c>
      <c r="X82" s="4"/>
      <c r="Y82" s="25"/>
      <c r="Z82" s="25"/>
      <c r="AA82" s="25"/>
      <c r="AB82" s="25" t="s">
        <v>303</v>
      </c>
      <c r="AC82" s="25"/>
      <c r="AD82" s="25" t="s">
        <v>1187</v>
      </c>
      <c r="AE82" s="25" t="s">
        <v>275</v>
      </c>
      <c r="AF82" s="35" t="s">
        <v>1188</v>
      </c>
      <c r="AG82" s="27" t="str">
        <f t="shared" si="16"/>
        <v/>
      </c>
      <c r="AH82" s="27" t="str">
        <f t="shared" si="17"/>
        <v>Scholar</v>
      </c>
      <c r="AI82" s="28" t="s">
        <v>277</v>
      </c>
      <c r="AJ82" s="25" t="s">
        <v>183</v>
      </c>
      <c r="AK82" s="4" t="s">
        <v>1189</v>
      </c>
      <c r="AL82" s="25" t="s">
        <v>247</v>
      </c>
      <c r="AM82" s="4" t="s">
        <v>1190</v>
      </c>
      <c r="AN82" s="25" t="s">
        <v>249</v>
      </c>
      <c r="AO82" s="4" t="s">
        <v>1191</v>
      </c>
      <c r="AP82" s="4"/>
      <c r="AQ82" s="25" t="s">
        <v>233</v>
      </c>
      <c r="AR82" s="26" t="str">
        <f>IF($B82="","",IFERROR(INDEX(Paramètres!$Q$6:$Q$13,MATCH($G82,Paramètres!$P$6:$P$13,0)),""))</f>
        <v>Chaussées aéronautiques</v>
      </c>
      <c r="AS82" s="26" t="str">
        <f>IF($B82="","",IFERROR(INDEX(Paramètres!$T$6:$T$11,MATCH($I82,Paramètres!$S$6:$S$11,0)),""))</f>
        <v>janvier 2027</v>
      </c>
      <c r="AT82" s="31">
        <f>IF($B82="","",IFERROR(INDEX(Paramètres!$C$27:$C$29,MATCH($H82,Paramètres!$B$27:$B$29,0)),0))</f>
        <v>1</v>
      </c>
      <c r="AU82" s="29"/>
      <c r="AV82" s="32"/>
      <c r="AW82" s="26" t="str">
        <f t="shared" si="18"/>
        <v>airbus2025a340ac.md</v>
      </c>
      <c r="AX82" s="26">
        <f>IF($B82="","",COUNTIF($I$2:I82,$I82))</f>
        <v>19</v>
      </c>
      <c r="AY82" s="26" t="str">
        <f t="shared" si="19"/>
        <v>4-19</v>
      </c>
      <c r="AZ82" s="26" t="s">
        <v>1192</v>
      </c>
      <c r="BA82" s="36">
        <f t="shared" ca="1" si="20"/>
        <v>50.009180000000001</v>
      </c>
      <c r="BB82" t="inlineStr">
        <is>
          <t>BIB-081_Airbus_2025_A340-200-300-Aircraft-Characteristics.pdf</t>
        </is>
      </c>
    </row>
    <row r="83" spans="1:54" ht="45" customHeight="1" x14ac:dyDescent="0.25">
      <c r="A83" s="25" t="s">
        <v>1193</v>
      </c>
      <c r="B83" s="25" t="s">
        <v>1194</v>
      </c>
      <c r="C83" s="26" t="str">
        <f t="shared" si="14"/>
        <v>Gharbi et al. (2022)</v>
      </c>
      <c r="D83" s="4" t="s">
        <v>1195</v>
      </c>
      <c r="E83" s="27" t="str">
        <f>IF(OR($B83="",$AF83=""),"",HYPERLINK(IF(AND(Paramètres!$C$13&lt;&gt;"",$AJ83="Éditeur (abonnement)"),Paramètres!$C$13&amp;$AF83,$AF83),"Ouvrir : "&amp;$AE83))</f>
        <v>Ouvrir : Page éditeur (DOI)</v>
      </c>
      <c r="F83" s="28" t="s">
        <v>235</v>
      </c>
      <c r="G83" s="28">
        <v>7</v>
      </c>
      <c r="H83" s="25" t="s">
        <v>405</v>
      </c>
      <c r="I83" s="28">
        <v>4</v>
      </c>
      <c r="J83" s="29" t="s">
        <v>234</v>
      </c>
      <c r="K83" s="26" t="str">
        <f ca="1">IF($B83="","",IF($J83="Lu","Lu",IF($J83="Écarté","Écarté",IF($I83&lt;Paramètres!$C$8,"EN RETARD",IF($I83=Paramètres!$C$8,"Ce mois-ci",IF($I83=Paramètres!$C$8+1,"Mois prochain","À venir"))))))</f>
        <v>À venir</v>
      </c>
      <c r="L83" s="30" t="str">
        <f t="shared" si="15"/>
        <v>À télécharger via l'accès ENTPE</v>
      </c>
      <c r="M83" s="31">
        <f ca="1">IF($B83="","",IF(OR($J83="Lu",$J83="Écarté"),0,IFERROR(INDEX(Paramètres!$C$17:$C$19,MATCH($H83,Paramètres!$B$17:$B$19,0)),0)+Paramètres!$C$20*(7-$I83)+IF($I83&lt;Paramètres!$C$8,Paramètres!$C$21,0)+IF($F83="Oui",Paramètres!$C$22,0)+IF($AL83&lt;&gt;"Vérifié",Paramètres!$C$23,0)+IF(AND($O83&lt;&gt;"Oui",OR($AJ83="PDF libre",$AJ83="PDF libre (dépôt)")),Paramètres!$C$24,0)))</f>
        <v>45</v>
      </c>
      <c r="N83" s="32"/>
      <c r="O83" s="33" t="str">
        <f>IF($BB83="","Non",HYPERLINK(DossierPDF&amp;$BB83,"Oui"))</f>
        <v>Oui</v>
      </c>
      <c r="P83" s="33" t="s">
        <v>235</v>
      </c>
      <c r="Q83" s="33" t="s">
        <v>235</v>
      </c>
      <c r="R83" s="33"/>
      <c r="S83" s="34"/>
      <c r="T83" s="25" t="s">
        <v>286</v>
      </c>
      <c r="U83" s="26" t="str">
        <f>IF($B83="","",IFERROR(INDEX(Paramètres!$N$6:$N$13,MATCH($T83,Paramètres!$M$6:$M$13,0)),$T83))</f>
        <v>Communication (actes)</v>
      </c>
      <c r="V83" s="4" t="s">
        <v>1196</v>
      </c>
      <c r="W83" s="28">
        <v>2022</v>
      </c>
      <c r="X83" s="4" t="s">
        <v>288</v>
      </c>
      <c r="Y83" s="25" t="s">
        <v>289</v>
      </c>
      <c r="Z83" s="25"/>
      <c r="AA83" s="25" t="s">
        <v>1197</v>
      </c>
      <c r="AB83" s="25" t="s">
        <v>291</v>
      </c>
      <c r="AC83" s="25" t="s">
        <v>1198</v>
      </c>
      <c r="AD83" s="25" t="s">
        <v>293</v>
      </c>
      <c r="AE83" s="25" t="s">
        <v>243</v>
      </c>
      <c r="AF83" s="35" t="s">
        <v>1199</v>
      </c>
      <c r="AG83" s="27" t="str">
        <f t="shared" si="16"/>
        <v>doi.org</v>
      </c>
      <c r="AH83" s="27" t="str">
        <f t="shared" si="17"/>
        <v>Scholar</v>
      </c>
      <c r="AI83" s="28" t="s">
        <v>245</v>
      </c>
      <c r="AJ83" s="25" t="s">
        <v>185</v>
      </c>
      <c r="AK83" s="4" t="s">
        <v>831</v>
      </c>
      <c r="AL83" s="25" t="s">
        <v>247</v>
      </c>
      <c r="AM83" s="4" t="s">
        <v>1200</v>
      </c>
      <c r="AN83" s="25" t="s">
        <v>249</v>
      </c>
      <c r="AO83" s="4" t="s">
        <v>1201</v>
      </c>
      <c r="AP83" s="4"/>
      <c r="AQ83" s="25" t="s">
        <v>233</v>
      </c>
      <c r="AR83" s="26" t="str">
        <f>IF($B83="","",IFERROR(INDEX(Paramètres!$Q$6:$Q$13,MATCH($G83,Paramètres!$P$6:$P$13,0)),""))</f>
        <v>Chaussées aéronautiques</v>
      </c>
      <c r="AS83" s="26" t="str">
        <f>IF($B83="","",IFERROR(INDEX(Paramètres!$T$6:$T$11,MATCH($I83,Paramètres!$S$6:$S$11,0)),""))</f>
        <v>janvier 2027</v>
      </c>
      <c r="AT83" s="31">
        <f>IF($B83="","",IFERROR(INDEX(Paramètres!$C$27:$C$29,MATCH($H83,Paramètres!$B$27:$B$29,0)),0))</f>
        <v>1</v>
      </c>
      <c r="AU83" s="29"/>
      <c r="AV83" s="32"/>
      <c r="AW83" s="26" t="str">
        <f t="shared" si="18"/>
        <v>gharbi2022ovalization.md</v>
      </c>
      <c r="AX83" s="26">
        <f>IF($B83="","",COUNTIF($I$2:I83,$I83))</f>
        <v>20</v>
      </c>
      <c r="AY83" s="26" t="str">
        <f t="shared" si="19"/>
        <v>4-20</v>
      </c>
      <c r="AZ83" s="26" t="s">
        <v>1202</v>
      </c>
      <c r="BA83" s="36">
        <f t="shared" ca="1" si="20"/>
        <v>45.009169999999997</v>
      </c>
      <c r="BB83" t="inlineStr">
        <is>
          <t>BIB-082_Gharbi-etal_2022_Ovalization-measurements-airfield-HWD.pdf</t>
        </is>
      </c>
    </row>
    <row r="84" spans="1:54" ht="45" hidden="1" customHeight="1" x14ac:dyDescent="0.25">
      <c r="A84" s="25" t="s">
        <v>1203</v>
      </c>
      <c r="B84" s="25" t="s">
        <v>1204</v>
      </c>
      <c r="C84" s="26" t="str">
        <f t="shared" si="14"/>
        <v>AFNOR (2019)</v>
      </c>
      <c r="D84" s="4" t="s">
        <v>1205</v>
      </c>
      <c r="E84" s="27" t="str">
        <f>IF(OR($B84="",$AF84=""),"",HYPERLINK(IF(AND(Paramètres!$C$13&lt;&gt;"",$AJ84="Éditeur (abonnement)"),Paramètres!$C$13&amp;$AF84,$AF84),"Ouvrir : "&amp;$AE84))</f>
        <v>Ouvrir : Page de vente / notice</v>
      </c>
      <c r="F84" s="28" t="s">
        <v>235</v>
      </c>
      <c r="G84" s="28">
        <v>8</v>
      </c>
      <c r="H84" s="25" t="s">
        <v>405</v>
      </c>
      <c r="I84" s="28">
        <v>4</v>
      </c>
      <c r="J84" s="29" t="s">
        <v>234</v>
      </c>
      <c r="K84" s="26" t="str">
        <f ca="1">IF($B84="","",IF($J84="Lu","Lu",IF($J84="Écarté","Écarté",IF($I84&lt;Paramètres!$C$8,"EN RETARD",IF($I84=Paramètres!$C$8,"Ce mois-ci",IF($I84=Paramètres!$C$8+1,"Mois prochain","À venir"))))))</f>
        <v>À venir</v>
      </c>
      <c r="L84" s="30" t="str">
        <f t="shared" si="15"/>
        <v>À consulter via l'abonnement de l'école</v>
      </c>
      <c r="M84" s="31">
        <f ca="1">IF($B84="","",IF(OR($J84="Lu",$J84="Écarté"),0,IFERROR(INDEX(Paramètres!$C$17:$C$19,MATCH($H84,Paramètres!$B$17:$B$19,0)),0)+Paramètres!$C$20*(7-$I84)+IF($I84&lt;Paramètres!$C$8,Paramètres!$C$21,0)+IF($F84="Oui",Paramètres!$C$22,0)+IF($AL84&lt;&gt;"Vérifié",Paramètres!$C$23,0)+IF(AND($O84&lt;&gt;"Oui",OR($AJ84="PDF libre",$AJ84="PDF libre (dépôt)")),Paramètres!$C$24,0)))</f>
        <v>45</v>
      </c>
      <c r="N84" s="32"/>
      <c r="O84" s="33" t="str">
        <f>IF($BB84="","Non",HYPERLINK(DossierPDF&amp;$BB84,"Oui"))</f>
        <v>Oui</v>
      </c>
      <c r="P84" s="33" t="s">
        <v>235</v>
      </c>
      <c r="Q84" s="33" t="s">
        <v>235</v>
      </c>
      <c r="R84" s="33"/>
      <c r="S84" s="34"/>
      <c r="T84" s="25" t="s">
        <v>777</v>
      </c>
      <c r="U84" s="26" t="str">
        <f>IF($B84="","",IFERROR(INDEX(Paramètres!$N$6:$N$13,MATCH($T84,Paramètres!$M$6:$M$13,0)),$T84))</f>
        <v>Norme</v>
      </c>
      <c r="V84" s="4" t="s">
        <v>778</v>
      </c>
      <c r="W84" s="28">
        <v>2019</v>
      </c>
      <c r="X84" s="4"/>
      <c r="Y84" s="25"/>
      <c r="Z84" s="25"/>
      <c r="AA84" s="25"/>
      <c r="AB84" s="25" t="s">
        <v>779</v>
      </c>
      <c r="AC84" s="25"/>
      <c r="AD84" s="25" t="s">
        <v>1206</v>
      </c>
      <c r="AE84" s="25" t="s">
        <v>745</v>
      </c>
      <c r="AF84" s="35" t="s">
        <v>1207</v>
      </c>
      <c r="AG84" s="27" t="str">
        <f t="shared" si="16"/>
        <v/>
      </c>
      <c r="AH84" s="27" t="str">
        <f t="shared" si="17"/>
        <v>Scholar</v>
      </c>
      <c r="AI84" s="28" t="s">
        <v>245</v>
      </c>
      <c r="AJ84" s="25" t="s">
        <v>186</v>
      </c>
      <c r="AK84" s="4" t="s">
        <v>782</v>
      </c>
      <c r="AL84" s="25" t="s">
        <v>247</v>
      </c>
      <c r="AM84" s="4" t="s">
        <v>943</v>
      </c>
      <c r="AN84" s="25" t="s">
        <v>249</v>
      </c>
      <c r="AO84" s="4" t="s">
        <v>1208</v>
      </c>
      <c r="AP84" s="4" t="s">
        <v>1209</v>
      </c>
      <c r="AQ84" s="25" t="s">
        <v>233</v>
      </c>
      <c r="AR84" s="26" t="str">
        <f>IF($B84="","",IFERROR(INDEX(Paramètres!$Q$6:$Q$13,MATCH($G84,Paramètres!$P$6:$P$13,0)),""))</f>
        <v>Littérature grise et normative</v>
      </c>
      <c r="AS84" s="26" t="str">
        <f>IF($B84="","",IFERROR(INDEX(Paramètres!$T$6:$T$11,MATCH($I84,Paramètres!$S$6:$S$11,0)),""))</f>
        <v>janvier 2027</v>
      </c>
      <c r="AT84" s="31">
        <f>IF($B84="","",IFERROR(INDEX(Paramètres!$C$27:$C$29,MATCH($H84,Paramètres!$B$27:$B$29,0)),0))</f>
        <v>1</v>
      </c>
      <c r="AU84" s="29"/>
      <c r="AV84" s="32"/>
      <c r="AW84" s="26" t="str">
        <f t="shared" si="18"/>
        <v>afnor2019p98086.md</v>
      </c>
      <c r="AX84" s="26">
        <f>IF($B84="","",COUNTIF($I$2:I84,$I84))</f>
        <v>21</v>
      </c>
      <c r="AY84" s="26" t="str">
        <f t="shared" si="19"/>
        <v>4-21</v>
      </c>
      <c r="AZ84" s="26" t="s">
        <v>1210</v>
      </c>
      <c r="BA84" s="36">
        <f t="shared" ca="1" si="20"/>
        <v>45.009160000000001</v>
      </c>
      <c r="BB84" t="inlineStr">
        <is>
          <t>BIB-083_AFNOR_2019_NF-P98-086-Dimensionnement-chaussees-routieres.pdf</t>
        </is>
      </c>
    </row>
    <row r="85" spans="1:54" ht="45" hidden="1" customHeight="1" x14ac:dyDescent="0.25">
      <c r="A85" s="25" t="s">
        <v>1211</v>
      </c>
      <c r="B85" s="25" t="s">
        <v>1212</v>
      </c>
      <c r="C85" s="26" t="str">
        <f t="shared" si="14"/>
        <v>IFSTTAR (2016)</v>
      </c>
      <c r="D85" s="4" t="s">
        <v>1213</v>
      </c>
      <c r="E85" s="27" t="str">
        <f>IF(OR($B85="",$AF85=""),"",HYPERLINK(IF(AND(Paramètres!$C$13&lt;&gt;"",$AJ85="Éditeur (abonnement)"),Paramètres!$C$13&amp;$AF85,$AF85),"Ouvrir : "&amp;$AE85))</f>
        <v>Ouvrir : Texte intégral libre</v>
      </c>
      <c r="F85" s="28" t="s">
        <v>233</v>
      </c>
      <c r="G85" s="28">
        <v>8</v>
      </c>
      <c r="H85" s="25" t="s">
        <v>405</v>
      </c>
      <c r="I85" s="28">
        <v>4</v>
      </c>
      <c r="J85" s="29" t="s">
        <v>234</v>
      </c>
      <c r="K85" s="26" t="str">
        <f ca="1">IF($B85="","",IF($J85="Lu","Lu",IF($J85="Écarté","Écarté",IF($I85&lt;Paramètres!$C$8,"EN RETARD",IF($I85=Paramètres!$C$8,"Ce mois-ci",IF($I85=Paramètres!$C$8+1,"Mois prochain","À venir"))))))</f>
        <v>À venir</v>
      </c>
      <c r="L85" s="30" t="str">
        <f t="shared" si="15"/>
        <v>PDF libre à télécharger</v>
      </c>
      <c r="M85" s="31">
        <f ca="1">IF($B85="","",IF(OR($J85="Lu",$J85="Écarté"),0,IFERROR(INDEX(Paramètres!$C$17:$C$19,MATCH($H85,Paramètres!$B$17:$B$19,0)),0)+Paramètres!$C$20*(7-$I85)+IF($I85&lt;Paramètres!$C$8,Paramètres!$C$21,0)+IF($F85="Oui",Paramètres!$C$22,0)+IF($AL85&lt;&gt;"Vérifié",Paramètres!$C$23,0)+IF(AND($O85&lt;&gt;"Oui",OR($AJ85="PDF libre",$AJ85="PDF libre (dépôt)")),Paramètres!$C$24,0)))</f>
        <v>60</v>
      </c>
      <c r="N85" s="32"/>
      <c r="O85" s="33" t="str">
        <f>IF($BB85="","Non",HYPERLINK(DossierPDF&amp;$BB85,"Oui"))</f>
        <v>Oui</v>
      </c>
      <c r="P85" s="33" t="s">
        <v>235</v>
      </c>
      <c r="Q85" s="33" t="s">
        <v>235</v>
      </c>
      <c r="R85" s="33"/>
      <c r="S85" s="34"/>
      <c r="T85" s="25" t="s">
        <v>1106</v>
      </c>
      <c r="U85" s="26" t="str">
        <f>IF($B85="","",IFERROR(INDEX(Paramètres!$N$6:$N$13,MATCH($T85,Paramètres!$M$6:$M$13,0)),$T85))</f>
        <v>Logiciel / manuel</v>
      </c>
      <c r="V85" s="4" t="s">
        <v>1214</v>
      </c>
      <c r="W85" s="28">
        <v>2016</v>
      </c>
      <c r="X85" s="4"/>
      <c r="Y85" s="25"/>
      <c r="Z85" s="25"/>
      <c r="AA85" s="25"/>
      <c r="AB85" s="25" t="s">
        <v>1215</v>
      </c>
      <c r="AC85" s="25"/>
      <c r="AD85" s="25" t="s">
        <v>1109</v>
      </c>
      <c r="AE85" s="25" t="s">
        <v>275</v>
      </c>
      <c r="AF85" s="35" t="s">
        <v>1216</v>
      </c>
      <c r="AG85" s="27" t="str">
        <f t="shared" si="16"/>
        <v/>
      </c>
      <c r="AH85" s="27" t="str">
        <f t="shared" si="17"/>
        <v>Scholar</v>
      </c>
      <c r="AI85" s="28" t="s">
        <v>277</v>
      </c>
      <c r="AJ85" s="25" t="s">
        <v>183</v>
      </c>
      <c r="AK85" s="4" t="s">
        <v>1111</v>
      </c>
      <c r="AL85" s="25" t="s">
        <v>247</v>
      </c>
      <c r="AM85" s="4" t="s">
        <v>1112</v>
      </c>
      <c r="AN85" s="25" t="s">
        <v>249</v>
      </c>
      <c r="AO85" s="4" t="s">
        <v>1217</v>
      </c>
      <c r="AP85" s="4" t="s">
        <v>1218</v>
      </c>
      <c r="AQ85" s="25" t="s">
        <v>233</v>
      </c>
      <c r="AR85" s="26" t="str">
        <f>IF($B85="","",IFERROR(INDEX(Paramètres!$Q$6:$Q$13,MATCH($G85,Paramètres!$P$6:$P$13,0)),""))</f>
        <v>Littérature grise et normative</v>
      </c>
      <c r="AS85" s="26" t="str">
        <f>IF($B85="","",IFERROR(INDEX(Paramètres!$T$6:$T$11,MATCH($I85,Paramètres!$S$6:$S$11,0)),""))</f>
        <v>janvier 2027</v>
      </c>
      <c r="AT85" s="31">
        <f>IF($B85="","",IFERROR(INDEX(Paramètres!$C$27:$C$29,MATCH($H85,Paramètres!$B$27:$B$29,0)),0))</f>
        <v>1</v>
      </c>
      <c r="AU85" s="29"/>
      <c r="AV85" s="32"/>
      <c r="AW85" s="26" t="str">
        <f t="shared" si="18"/>
        <v>ifsttar2016alizelcpc.md</v>
      </c>
      <c r="AX85" s="26">
        <f>IF($B85="","",COUNTIF($I$2:I85,$I85))</f>
        <v>22</v>
      </c>
      <c r="AY85" s="26" t="str">
        <f t="shared" si="19"/>
        <v>4-22</v>
      </c>
      <c r="AZ85" s="26" t="s">
        <v>1219</v>
      </c>
      <c r="BA85" s="36">
        <f t="shared" ca="1" si="20"/>
        <v>60.009149999999998</v>
      </c>
      <c r="BB85" t="inlineStr">
        <is>
          <t>BIB-084_IFSTTAR_2016_Alize-Lcpc-v1.5-manuel.pdf</t>
        </is>
      </c>
    </row>
    <row r="86" spans="1:54" ht="45" hidden="1" customHeight="1" x14ac:dyDescent="0.25">
      <c r="A86" s="25" t="s">
        <v>1220</v>
      </c>
      <c r="B86" s="25" t="s">
        <v>1221</v>
      </c>
      <c r="C86" s="26" t="str">
        <f t="shared" si="14"/>
        <v>Boussinesq (1885)</v>
      </c>
      <c r="D86" s="4" t="s">
        <v>1222</v>
      </c>
      <c r="E86" s="27" t="str">
        <f>IF(OR($B86="",$AF86=""),"",HYPERLINK(IF(AND(Paramètres!$C$13&lt;&gt;"",$AJ86="Éditeur (abonnement)"),Paramètres!$C$13&amp;$AF86,$AF86),"Ouvrir : "&amp;$AE86))</f>
        <v>Ouvrir : Texte intégral libre</v>
      </c>
      <c r="F86" s="28" t="s">
        <v>233</v>
      </c>
      <c r="G86" s="28">
        <v>5</v>
      </c>
      <c r="H86" s="25" t="s">
        <v>122</v>
      </c>
      <c r="I86" s="28">
        <v>5</v>
      </c>
      <c r="J86" s="29" t="s">
        <v>234</v>
      </c>
      <c r="K86" s="26" t="str">
        <f ca="1">IF($B86="","",IF($J86="Lu","Lu",IF($J86="Écarté","Écarté",IF($I86&lt;Paramètres!$C$8,"EN RETARD",IF($I86=Paramètres!$C$8,"Ce mois-ci",IF($I86=Paramètres!$C$8+1,"Mois prochain","À venir"))))))</f>
        <v>À venir</v>
      </c>
      <c r="L86" s="30" t="str">
        <f t="shared" si="15"/>
        <v>PDF libre à télécharger</v>
      </c>
      <c r="M86" s="31">
        <f ca="1">IF($B86="","",IF(OR($J86="Lu",$J86="Écarté"),0,IFERROR(INDEX(Paramètres!$C$17:$C$19,MATCH($H86,Paramètres!$B$17:$B$19,0)),0)+Paramètres!$C$20*(7-$I86)+IF($I86&lt;Paramètres!$C$8,Paramètres!$C$21,0)+IF($F86="Oui",Paramètres!$C$22,0)+IF($AL86&lt;&gt;"Vérifié",Paramètres!$C$23,0)+IF(AND($O86&lt;&gt;"Oui",OR($AJ86="PDF libre",$AJ86="PDF libre (dépôt)")),Paramètres!$C$24,0)))</f>
        <v>125</v>
      </c>
      <c r="N86" s="32"/>
      <c r="O86" s="33" t="str">
        <f>IF($BB86="","Non",HYPERLINK(DossierPDF&amp;$BB86,"Oui"))</f>
        <v>Oui</v>
      </c>
      <c r="P86" s="33" t="s">
        <v>235</v>
      </c>
      <c r="Q86" s="33" t="s">
        <v>235</v>
      </c>
      <c r="R86" s="33"/>
      <c r="S86" s="34"/>
      <c r="T86" s="25" t="s">
        <v>661</v>
      </c>
      <c r="U86" s="26" t="str">
        <f>IF($B86="","",IFERROR(INDEX(Paramètres!$N$6:$N$13,MATCH($T86,Paramètres!$M$6:$M$13,0)),$T86))</f>
        <v>Ouvrage / guide</v>
      </c>
      <c r="V86" s="4" t="s">
        <v>1223</v>
      </c>
      <c r="W86" s="28">
        <v>1885</v>
      </c>
      <c r="X86" s="4"/>
      <c r="Y86" s="25"/>
      <c r="Z86" s="25"/>
      <c r="AA86" s="25"/>
      <c r="AB86" s="25" t="s">
        <v>1224</v>
      </c>
      <c r="AC86" s="25"/>
      <c r="AD86" s="25" t="s">
        <v>1225</v>
      </c>
      <c r="AE86" s="25" t="s">
        <v>275</v>
      </c>
      <c r="AF86" s="35" t="s">
        <v>1226</v>
      </c>
      <c r="AG86" s="27" t="str">
        <f t="shared" si="16"/>
        <v/>
      </c>
      <c r="AH86" s="27" t="str">
        <f t="shared" si="17"/>
        <v>Scholar</v>
      </c>
      <c r="AI86" s="28" t="s">
        <v>277</v>
      </c>
      <c r="AJ86" s="25" t="s">
        <v>183</v>
      </c>
      <c r="AK86" s="4" t="s">
        <v>1227</v>
      </c>
      <c r="AL86" s="25" t="s">
        <v>247</v>
      </c>
      <c r="AM86" s="4" t="s">
        <v>1228</v>
      </c>
      <c r="AN86" s="25" t="s">
        <v>249</v>
      </c>
      <c r="AO86" s="4" t="s">
        <v>1229</v>
      </c>
      <c r="AP86" s="4" t="s">
        <v>1230</v>
      </c>
      <c r="AQ86" s="25" t="s">
        <v>235</v>
      </c>
      <c r="AR86" s="26" t="str">
        <f>IF($B86="","",IFERROR(INDEX(Paramètres!$Q$6:$Q$13,MATCH($G86,Paramètres!$P$6:$P$13,0)),""))</f>
        <v>Calcul de structures viscoélastiques</v>
      </c>
      <c r="AS86" s="26" t="str">
        <f>IF($B86="","",IFERROR(INDEX(Paramètres!$T$6:$T$11,MATCH($I86,Paramètres!$S$6:$S$11,0)),""))</f>
        <v>février 2027</v>
      </c>
      <c r="AT86" s="31">
        <f>IF($B86="","",IFERROR(INDEX(Paramètres!$C$27:$C$29,MATCH($H86,Paramètres!$B$27:$B$29,0)),0))</f>
        <v>6</v>
      </c>
      <c r="AU86" s="29"/>
      <c r="AV86" s="32"/>
      <c r="AW86" s="26" t="str">
        <f t="shared" si="18"/>
        <v>boussinesq1885potentiels.md</v>
      </c>
      <c r="AX86" s="26">
        <f>IF($B86="","",COUNTIF($I$2:I86,$I86))</f>
        <v>1</v>
      </c>
      <c r="AY86" s="26" t="str">
        <f t="shared" si="19"/>
        <v>5-1</v>
      </c>
      <c r="AZ86" s="26" t="s">
        <v>1231</v>
      </c>
      <c r="BA86" s="36">
        <f t="shared" ca="1" si="20"/>
        <v>125.00914</v>
      </c>
      <c r="BB86" t="inlineStr">
        <is>
          <t>BIB-085_Boussinesq_1885_Application-des-potentiels-solides-elastiques.pdf</t>
        </is>
      </c>
    </row>
    <row r="87" spans="1:54" ht="45" hidden="1" customHeight="1" x14ac:dyDescent="0.25">
      <c r="A87" s="25" t="s">
        <v>1232</v>
      </c>
      <c r="B87" s="25" t="s">
        <v>1233</v>
      </c>
      <c r="C87" s="26" t="str">
        <f t="shared" si="14"/>
        <v>Cardoso da Silva et al. (2025)</v>
      </c>
      <c r="D87" s="4" t="s">
        <v>1234</v>
      </c>
      <c r="E87" s="27" t="str">
        <f>IF(OR($B87="",$AF87=""),"",HYPERLINK(IF(AND(Paramètres!$C$13&lt;&gt;"",$AJ87="Éditeur (abonnement)"),Paramètres!$C$13&amp;$AF87,$AF87),"Ouvrir : "&amp;$AE87))</f>
        <v>Ouvrir : Texte intégral (dépôt)</v>
      </c>
      <c r="F87" s="28" t="s">
        <v>233</v>
      </c>
      <c r="G87" s="28">
        <v>5</v>
      </c>
      <c r="H87" s="25" t="s">
        <v>122</v>
      </c>
      <c r="I87" s="28">
        <v>5</v>
      </c>
      <c r="J87" s="29" t="s">
        <v>234</v>
      </c>
      <c r="K87" s="26" t="str">
        <f ca="1">IF($B87="","",IF($J87="Lu","Lu",IF($J87="Écarté","Écarté",IF($I87&lt;Paramètres!$C$8,"EN RETARD",IF($I87=Paramètres!$C$8,"Ce mois-ci",IF($I87=Paramètres!$C$8+1,"Mois prochain","À venir"))))))</f>
        <v>À venir</v>
      </c>
      <c r="L87" s="30" t="str">
        <f t="shared" si="15"/>
        <v>PDF libre à télécharger</v>
      </c>
      <c r="M87" s="31">
        <f ca="1">IF($B87="","",IF(OR($J87="Lu",$J87="Écarté"),0,IFERROR(INDEX(Paramètres!$C$17:$C$19,MATCH($H87,Paramètres!$B$17:$B$19,0)),0)+Paramètres!$C$20*(7-$I87)+IF($I87&lt;Paramètres!$C$8,Paramètres!$C$21,0)+IF($F87="Oui",Paramètres!$C$22,0)+IF($AL87&lt;&gt;"Vérifié",Paramètres!$C$23,0)+IF(AND($O87&lt;&gt;"Oui",OR($AJ87="PDF libre",$AJ87="PDF libre (dépôt)")),Paramètres!$C$24,0)))</f>
        <v>125</v>
      </c>
      <c r="N87" s="32"/>
      <c r="O87" s="33" t="str">
        <f>IF($BB87="","Non",HYPERLINK(DossierPDF&amp;$BB87,"Oui"))</f>
        <v>Oui</v>
      </c>
      <c r="P87" s="33" t="s">
        <v>235</v>
      </c>
      <c r="Q87" s="33" t="s">
        <v>235</v>
      </c>
      <c r="R87" s="33"/>
      <c r="S87" s="34"/>
      <c r="T87" s="25" t="s">
        <v>236</v>
      </c>
      <c r="U87" s="26" t="str">
        <f>IF($B87="","",IFERROR(INDEX(Paramètres!$N$6:$N$13,MATCH($T87,Paramètres!$M$6:$M$13,0)),$T87))</f>
        <v>Article de revue</v>
      </c>
      <c r="V87" s="4" t="s">
        <v>1235</v>
      </c>
      <c r="W87" s="28">
        <v>2025</v>
      </c>
      <c r="X87" s="4" t="s">
        <v>474</v>
      </c>
      <c r="Y87" s="25" t="s">
        <v>1236</v>
      </c>
      <c r="Z87" s="25" t="s">
        <v>240</v>
      </c>
      <c r="AA87" s="25" t="s">
        <v>1237</v>
      </c>
      <c r="AB87" s="25"/>
      <c r="AC87" s="25" t="s">
        <v>1238</v>
      </c>
      <c r="AD87" s="25"/>
      <c r="AE87" s="25" t="s">
        <v>355</v>
      </c>
      <c r="AF87" s="35" t="s">
        <v>1239</v>
      </c>
      <c r="AG87" s="27" t="str">
        <f t="shared" si="16"/>
        <v>doi.org</v>
      </c>
      <c r="AH87" s="27" t="str">
        <f t="shared" si="17"/>
        <v>Scholar</v>
      </c>
      <c r="AI87" s="28" t="s">
        <v>277</v>
      </c>
      <c r="AJ87" s="25" t="s">
        <v>184</v>
      </c>
      <c r="AK87" s="4" t="s">
        <v>1240</v>
      </c>
      <c r="AL87" s="25" t="s">
        <v>247</v>
      </c>
      <c r="AM87" s="4" t="s">
        <v>1241</v>
      </c>
      <c r="AN87" s="25" t="s">
        <v>249</v>
      </c>
      <c r="AO87" s="4" t="s">
        <v>1242</v>
      </c>
      <c r="AP87" s="4" t="s">
        <v>1243</v>
      </c>
      <c r="AQ87" s="25" t="s">
        <v>235</v>
      </c>
      <c r="AR87" s="26" t="str">
        <f>IF($B87="","",IFERROR(INDEX(Paramètres!$Q$6:$Q$13,MATCH($G87,Paramètres!$P$6:$P$13,0)),""))</f>
        <v>Calcul de structures viscoélastiques</v>
      </c>
      <c r="AS87" s="26" t="str">
        <f>IF($B87="","",IFERROR(INDEX(Paramètres!$T$6:$T$11,MATCH($I87,Paramètres!$S$6:$S$11,0)),""))</f>
        <v>février 2027</v>
      </c>
      <c r="AT87" s="31">
        <f>IF($B87="","",IFERROR(INDEX(Paramètres!$C$27:$C$29,MATCH($H87,Paramètres!$B$27:$B$29,0)),0))</f>
        <v>6</v>
      </c>
      <c r="AU87" s="29"/>
      <c r="AV87" s="32"/>
      <c r="AW87" s="26" t="str">
        <f t="shared" si="18"/>
        <v>cardoso2025semianalytical.md</v>
      </c>
      <c r="AX87" s="26">
        <f>IF($B87="","",COUNTIF($I$2:I87,$I87))</f>
        <v>2</v>
      </c>
      <c r="AY87" s="26" t="str">
        <f t="shared" si="19"/>
        <v>5-2</v>
      </c>
      <c r="AZ87" s="26" t="s">
        <v>1244</v>
      </c>
      <c r="BA87" s="36">
        <f t="shared" ca="1" si="20"/>
        <v>125.00913</v>
      </c>
      <c r="BB87" t="inlineStr">
        <is>
          <t>BIB-086_CardosoDaSilva-etal_2025_Semi-analytical-tire-pavement-contact-cracking.pdf</t>
        </is>
      </c>
    </row>
    <row r="88" spans="1:54" ht="45" hidden="1" customHeight="1" x14ac:dyDescent="0.25">
      <c r="A88" s="25" t="s">
        <v>1245</v>
      </c>
      <c r="B88" s="25" t="s">
        <v>1246</v>
      </c>
      <c r="C88" s="26" t="str">
        <f t="shared" si="14"/>
        <v>Chabot et al. (2010)</v>
      </c>
      <c r="D88" s="4" t="s">
        <v>1247</v>
      </c>
      <c r="E88" s="27" t="str">
        <f>IF(OR($B88="",$AF88=""),"",HYPERLINK(IF(AND(Paramètres!$C$13&lt;&gt;"",$AJ88="Éditeur (abonnement)"),Paramètres!$C$13&amp;$AF88,$AF88),"Ouvrir : "&amp;$AE88))</f>
        <v>Ouvrir : Texte intégral (dépôt)</v>
      </c>
      <c r="F88" s="28" t="s">
        <v>235</v>
      </c>
      <c r="G88" s="28">
        <v>5</v>
      </c>
      <c r="H88" s="25" t="s">
        <v>122</v>
      </c>
      <c r="I88" s="28">
        <v>5</v>
      </c>
      <c r="J88" s="29" t="s">
        <v>234</v>
      </c>
      <c r="K88" s="26" t="str">
        <f ca="1">IF($B88="","",IF($J88="Lu","Lu",IF($J88="Écarté","Écarté",IF($I88&lt;Paramètres!$C$8,"EN RETARD",IF($I88=Paramètres!$C$8,"Ce mois-ci",IF($I88=Paramètres!$C$8+1,"Mois prochain","À venir"))))))</f>
        <v>À venir</v>
      </c>
      <c r="L88" s="30" t="str">
        <f t="shared" si="15"/>
        <v>PDF libre à télécharger</v>
      </c>
      <c r="M88" s="31">
        <f ca="1">IF($B88="","",IF(OR($J88="Lu",$J88="Écarté"),0,IFERROR(INDEX(Paramètres!$C$17:$C$19,MATCH($H88,Paramètres!$B$17:$B$19,0)),0)+Paramètres!$C$20*(7-$I88)+IF($I88&lt;Paramètres!$C$8,Paramètres!$C$21,0)+IF($F88="Oui",Paramètres!$C$22,0)+IF($AL88&lt;&gt;"Vérifié",Paramètres!$C$23,0)+IF(AND($O88&lt;&gt;"Oui",OR($AJ88="PDF libre",$AJ88="PDF libre (dépôt)")),Paramètres!$C$24,0)))</f>
        <v>115</v>
      </c>
      <c r="N88" s="32"/>
      <c r="O88" s="33" t="str">
        <f>IF($BB88="","Non",HYPERLINK(DossierPDF&amp;$BB88,"Oui"))</f>
        <v>Oui</v>
      </c>
      <c r="P88" s="33" t="s">
        <v>235</v>
      </c>
      <c r="Q88" s="33" t="s">
        <v>235</v>
      </c>
      <c r="R88" s="33"/>
      <c r="S88" s="34"/>
      <c r="T88" s="25" t="s">
        <v>236</v>
      </c>
      <c r="U88" s="26" t="str">
        <f>IF($B88="","",IFERROR(INDEX(Paramètres!$N$6:$N$13,MATCH($T88,Paramètres!$M$6:$M$13,0)),$T88))</f>
        <v>Article de revue</v>
      </c>
      <c r="V88" s="4" t="s">
        <v>1248</v>
      </c>
      <c r="W88" s="28">
        <v>2010</v>
      </c>
      <c r="X88" s="4" t="s">
        <v>474</v>
      </c>
      <c r="Y88" s="25" t="s">
        <v>609</v>
      </c>
      <c r="Z88" s="25" t="s">
        <v>368</v>
      </c>
      <c r="AA88" s="25" t="s">
        <v>1249</v>
      </c>
      <c r="AB88" s="25"/>
      <c r="AC88" s="25" t="s">
        <v>1250</v>
      </c>
      <c r="AD88" s="25"/>
      <c r="AE88" s="25" t="s">
        <v>355</v>
      </c>
      <c r="AF88" s="35" t="s">
        <v>1251</v>
      </c>
      <c r="AG88" s="27" t="str">
        <f t="shared" si="16"/>
        <v>doi.org</v>
      </c>
      <c r="AH88" s="27" t="str">
        <f t="shared" si="17"/>
        <v>Scholar</v>
      </c>
      <c r="AI88" s="28" t="s">
        <v>277</v>
      </c>
      <c r="AJ88" s="25" t="s">
        <v>184</v>
      </c>
      <c r="AK88" s="4" t="s">
        <v>1252</v>
      </c>
      <c r="AL88" s="25" t="s">
        <v>247</v>
      </c>
      <c r="AM88" s="4" t="s">
        <v>1253</v>
      </c>
      <c r="AN88" s="25" t="s">
        <v>249</v>
      </c>
      <c r="AO88" s="4" t="s">
        <v>1254</v>
      </c>
      <c r="AP88" s="4" t="s">
        <v>1255</v>
      </c>
      <c r="AQ88" s="25" t="s">
        <v>235</v>
      </c>
      <c r="AR88" s="26" t="str">
        <f>IF($B88="","",IFERROR(INDEX(Paramètres!$Q$6:$Q$13,MATCH($G88,Paramètres!$P$6:$P$13,0)),""))</f>
        <v>Calcul de structures viscoélastiques</v>
      </c>
      <c r="AS88" s="26" t="str">
        <f>IF($B88="","",IFERROR(INDEX(Paramètres!$T$6:$T$11,MATCH($I88,Paramètres!$S$6:$S$11,0)),""))</f>
        <v>février 2027</v>
      </c>
      <c r="AT88" s="31">
        <f>IF($B88="","",IFERROR(INDEX(Paramètres!$C$27:$C$29,MATCH($H88,Paramètres!$B$27:$B$29,0)),0))</f>
        <v>6</v>
      </c>
      <c r="AU88" s="29"/>
      <c r="AV88" s="32"/>
      <c r="AW88" s="26" t="str">
        <f t="shared" si="18"/>
        <v>chabot2010viscoroute.md</v>
      </c>
      <c r="AX88" s="26">
        <f>IF($B88="","",COUNTIF($I$2:I88,$I88))</f>
        <v>3</v>
      </c>
      <c r="AY88" s="26" t="str">
        <f t="shared" si="19"/>
        <v>5-3</v>
      </c>
      <c r="AZ88" s="26" t="s">
        <v>1256</v>
      </c>
      <c r="BA88" s="36">
        <f t="shared" ca="1" si="20"/>
        <v>115.00912</v>
      </c>
      <c r="BB88" t="inlineStr">
        <is>
          <t>BIB-087_Chabot-etal_2010_ViscoRoute-2.0-moving-load.pdf</t>
        </is>
      </c>
    </row>
    <row r="89" spans="1:54" ht="45" customHeight="1" x14ac:dyDescent="0.25">
      <c r="A89" s="25" t="s">
        <v>1257</v>
      </c>
      <c r="B89" s="25" t="s">
        <v>1258</v>
      </c>
      <c r="C89" s="26" t="str">
        <f t="shared" si="14"/>
        <v>Liu et al. (2000)</v>
      </c>
      <c r="D89" s="4" t="s">
        <v>1259</v>
      </c>
      <c r="E89" s="27" t="str">
        <f>IF(OR($B89="",$AF89=""),"",HYPERLINK(IF(AND(Paramètres!$C$13&lt;&gt;"",$AJ89="Éditeur (abonnement)"),Paramètres!$C$13&amp;$AF89,$AF89),"Ouvrir : "&amp;$AE89))</f>
        <v>Ouvrir : Page éditeur (DOI)</v>
      </c>
      <c r="F89" s="28" t="s">
        <v>235</v>
      </c>
      <c r="G89" s="28">
        <v>5</v>
      </c>
      <c r="H89" s="25" t="s">
        <v>122</v>
      </c>
      <c r="I89" s="28">
        <v>5</v>
      </c>
      <c r="J89" s="29" t="s">
        <v>234</v>
      </c>
      <c r="K89" s="26" t="str">
        <f ca="1">IF($B89="","",IF($J89="Lu","Lu",IF($J89="Écarté","Écarté",IF($I89&lt;Paramètres!$C$8,"EN RETARD",IF($I89=Paramètres!$C$8,"Ce mois-ci",IF($I89=Paramètres!$C$8+1,"Mois prochain","À venir"))))))</f>
        <v>À venir</v>
      </c>
      <c r="L89" s="30" t="str">
        <f t="shared" si="15"/>
        <v>À télécharger via l'accès ENTPE</v>
      </c>
      <c r="M89" s="31">
        <f ca="1">IF($B89="","",IF(OR($J89="Lu",$J89="Écarté"),0,IFERROR(INDEX(Paramètres!$C$17:$C$19,MATCH($H89,Paramètres!$B$17:$B$19,0)),0)+Paramètres!$C$20*(7-$I89)+IF($I89&lt;Paramètres!$C$8,Paramètres!$C$21,0)+IF($F89="Oui",Paramètres!$C$22,0)+IF($AL89&lt;&gt;"Vérifié",Paramètres!$C$23,0)+IF(AND($O89&lt;&gt;"Oui",OR($AJ89="PDF libre",$AJ89="PDF libre (dépôt)")),Paramètres!$C$24,0)))</f>
        <v>110</v>
      </c>
      <c r="N89" s="32"/>
      <c r="O89" s="33" t="str">
        <f>IF($BB89="","Non",HYPERLINK(DossierPDF&amp;$BB89,"Oui"))</f>
        <v>Oui</v>
      </c>
      <c r="P89" s="33" t="s">
        <v>235</v>
      </c>
      <c r="Q89" s="33" t="s">
        <v>235</v>
      </c>
      <c r="R89" s="33"/>
      <c r="S89" s="34"/>
      <c r="T89" s="25" t="s">
        <v>236</v>
      </c>
      <c r="U89" s="26" t="str">
        <f>IF($B89="","",IFERROR(INDEX(Paramètres!$N$6:$N$13,MATCH($T89,Paramètres!$M$6:$M$13,0)),$T89))</f>
        <v>Article de revue</v>
      </c>
      <c r="V89" s="4" t="s">
        <v>1260</v>
      </c>
      <c r="W89" s="28">
        <v>2000</v>
      </c>
      <c r="X89" s="4" t="s">
        <v>1261</v>
      </c>
      <c r="Y89" s="25" t="s">
        <v>1262</v>
      </c>
      <c r="Z89" s="25" t="s">
        <v>1263</v>
      </c>
      <c r="AA89" s="25" t="s">
        <v>1264</v>
      </c>
      <c r="AB89" s="25"/>
      <c r="AC89" s="25" t="s">
        <v>1265</v>
      </c>
      <c r="AD89" s="25"/>
      <c r="AE89" s="25" t="s">
        <v>243</v>
      </c>
      <c r="AF89" s="35" t="s">
        <v>1266</v>
      </c>
      <c r="AG89" s="27" t="str">
        <f t="shared" si="16"/>
        <v>doi.org</v>
      </c>
      <c r="AH89" s="27" t="str">
        <f t="shared" si="17"/>
        <v>Scholar</v>
      </c>
      <c r="AI89" s="28" t="s">
        <v>245</v>
      </c>
      <c r="AJ89" s="25" t="s">
        <v>185</v>
      </c>
      <c r="AK89" s="4" t="s">
        <v>424</v>
      </c>
      <c r="AL89" s="25" t="s">
        <v>247</v>
      </c>
      <c r="AM89" s="4" t="s">
        <v>264</v>
      </c>
      <c r="AN89" s="25" t="s">
        <v>249</v>
      </c>
      <c r="AO89" s="4" t="s">
        <v>1267</v>
      </c>
      <c r="AP89" s="4" t="s">
        <v>1268</v>
      </c>
      <c r="AQ89" s="25" t="s">
        <v>235</v>
      </c>
      <c r="AR89" s="26" t="str">
        <f>IF($B89="","",IFERROR(INDEX(Paramètres!$Q$6:$Q$13,MATCH($G89,Paramètres!$P$6:$P$13,0)),""))</f>
        <v>Calcul de structures viscoélastiques</v>
      </c>
      <c r="AS89" s="26" t="str">
        <f>IF($B89="","",IFERROR(INDEX(Paramètres!$T$6:$T$11,MATCH($I89,Paramètres!$S$6:$S$11,0)),""))</f>
        <v>février 2027</v>
      </c>
      <c r="AT89" s="31">
        <f>IF($B89="","",IFERROR(INDEX(Paramètres!$C$27:$C$29,MATCH($H89,Paramètres!$B$27:$B$29,0)),0))</f>
        <v>6</v>
      </c>
      <c r="AU89" s="29"/>
      <c r="AV89" s="32"/>
      <c r="AW89" s="26" t="str">
        <f t="shared" si="18"/>
        <v>liu2000dcfft.md</v>
      </c>
      <c r="AX89" s="26">
        <f>IF($B89="","",COUNTIF($I$2:I89,$I89))</f>
        <v>4</v>
      </c>
      <c r="AY89" s="26" t="str">
        <f t="shared" si="19"/>
        <v>5-4</v>
      </c>
      <c r="AZ89" s="26" t="s">
        <v>1269</v>
      </c>
      <c r="BA89" s="36">
        <f t="shared" ca="1" si="20"/>
        <v>110.00911000000001</v>
      </c>
      <c r="BB89" t="inlineStr">
        <is>
          <t>BIB-088_Liu-etal_2000_DC-FFT-contact-analyses.pdf</t>
        </is>
      </c>
    </row>
    <row r="90" spans="1:54" ht="45" customHeight="1" x14ac:dyDescent="0.25">
      <c r="A90" s="25" t="s">
        <v>1270</v>
      </c>
      <c r="B90" s="25" t="s">
        <v>1271</v>
      </c>
      <c r="C90" s="26" t="str">
        <f t="shared" si="14"/>
        <v>Al-Khoury et al. (2001)</v>
      </c>
      <c r="D90" s="4" t="s">
        <v>1272</v>
      </c>
      <c r="E90" s="27" t="str">
        <f>IF(OR($B90="",$AF90=""),"",HYPERLINK(IF(AND(Paramètres!$C$13&lt;&gt;"",$AJ90="Éditeur (abonnement)"),Paramètres!$C$13&amp;$AF90,$AF90),"Ouvrir : "&amp;$AE90))</f>
        <v>Ouvrir : Page éditeur (DOI)</v>
      </c>
      <c r="F90" s="28" t="s">
        <v>235</v>
      </c>
      <c r="G90" s="28">
        <v>5</v>
      </c>
      <c r="H90" s="25" t="s">
        <v>338</v>
      </c>
      <c r="I90" s="28">
        <v>5</v>
      </c>
      <c r="J90" s="29" t="s">
        <v>234</v>
      </c>
      <c r="K90" s="26" t="str">
        <f ca="1">IF($B90="","",IF($J90="Lu","Lu",IF($J90="Écarté","Écarté",IF($I90&lt;Paramètres!$C$8,"EN RETARD",IF($I90=Paramètres!$C$8,"Ce mois-ci",IF($I90=Paramètres!$C$8+1,"Mois prochain","À venir"))))))</f>
        <v>À venir</v>
      </c>
      <c r="L90" s="30" t="str">
        <f t="shared" si="15"/>
        <v>À télécharger via l'accès ENTPE</v>
      </c>
      <c r="M90" s="31">
        <f ca="1">IF($B90="","",IF(OR($J90="Lu",$J90="Écarté"),0,IFERROR(INDEX(Paramètres!$C$17:$C$19,MATCH($H90,Paramètres!$B$17:$B$19,0)),0)+Paramètres!$C$20*(7-$I90)+IF($I90&lt;Paramètres!$C$8,Paramètres!$C$21,0)+IF($F90="Oui",Paramètres!$C$22,0)+IF($AL90&lt;&gt;"Vérifié",Paramètres!$C$23,0)+IF(AND($O90&lt;&gt;"Oui",OR($AJ90="PDF libre",$AJ90="PDF libre (dépôt)")),Paramètres!$C$24,0)))</f>
        <v>70</v>
      </c>
      <c r="N90" s="32"/>
      <c r="O90" s="33" t="str">
        <f>IF($BB90="","Non",HYPERLINK(DossierPDF&amp;$BB90,"Oui"))</f>
        <v>Oui</v>
      </c>
      <c r="P90" s="33" t="s">
        <v>235</v>
      </c>
      <c r="Q90" s="33" t="s">
        <v>235</v>
      </c>
      <c r="R90" s="33"/>
      <c r="S90" s="34"/>
      <c r="T90" s="25" t="s">
        <v>236</v>
      </c>
      <c r="U90" s="26" t="str">
        <f>IF($B90="","",IFERROR(INDEX(Paramètres!$N$6:$N$13,MATCH($T90,Paramètres!$M$6:$M$13,0)),$T90))</f>
        <v>Article de revue</v>
      </c>
      <c r="V90" s="4" t="s">
        <v>1273</v>
      </c>
      <c r="W90" s="28">
        <v>2001</v>
      </c>
      <c r="X90" s="4" t="s">
        <v>607</v>
      </c>
      <c r="Y90" s="25" t="s">
        <v>1274</v>
      </c>
      <c r="Z90" s="25" t="s">
        <v>896</v>
      </c>
      <c r="AA90" s="25" t="s">
        <v>1275</v>
      </c>
      <c r="AB90" s="25"/>
      <c r="AC90" s="25" t="s">
        <v>1276</v>
      </c>
      <c r="AD90" s="25"/>
      <c r="AE90" s="25" t="s">
        <v>243</v>
      </c>
      <c r="AF90" s="35" t="s">
        <v>1277</v>
      </c>
      <c r="AG90" s="27" t="str">
        <f t="shared" si="16"/>
        <v>doi.org</v>
      </c>
      <c r="AH90" s="27" t="str">
        <f t="shared" si="17"/>
        <v>Scholar</v>
      </c>
      <c r="AI90" s="28" t="s">
        <v>245</v>
      </c>
      <c r="AJ90" s="25" t="s">
        <v>185</v>
      </c>
      <c r="AK90" s="4" t="s">
        <v>424</v>
      </c>
      <c r="AL90" s="25" t="s">
        <v>247</v>
      </c>
      <c r="AM90" s="4" t="s">
        <v>264</v>
      </c>
      <c r="AN90" s="25" t="s">
        <v>249</v>
      </c>
      <c r="AO90" s="4" t="s">
        <v>1278</v>
      </c>
      <c r="AP90" s="4" t="s">
        <v>1279</v>
      </c>
      <c r="AQ90" s="25" t="s">
        <v>235</v>
      </c>
      <c r="AR90" s="26" t="str">
        <f>IF($B90="","",IFERROR(INDEX(Paramètres!$Q$6:$Q$13,MATCH($G90,Paramètres!$P$6:$P$13,0)),""))</f>
        <v>Calcul de structures viscoélastiques</v>
      </c>
      <c r="AS90" s="26" t="str">
        <f>IF($B90="","",IFERROR(INDEX(Paramètres!$T$6:$T$11,MATCH($I90,Paramètres!$S$6:$S$11,0)),""))</f>
        <v>février 2027</v>
      </c>
      <c r="AT90" s="31">
        <f>IF($B90="","",IFERROR(INDEX(Paramètres!$C$27:$C$29,MATCH($H90,Paramètres!$B$27:$B$29,0)),0))</f>
        <v>3</v>
      </c>
      <c r="AU90" s="29"/>
      <c r="AV90" s="32"/>
      <c r="AW90" s="26" t="str">
        <f t="shared" si="18"/>
        <v>alkhoury2001spectral.md</v>
      </c>
      <c r="AX90" s="26">
        <f>IF($B90="","",COUNTIF($I$2:I90,$I90))</f>
        <v>5</v>
      </c>
      <c r="AY90" s="26" t="str">
        <f t="shared" si="19"/>
        <v>5-5</v>
      </c>
      <c r="AZ90" s="26" t="s">
        <v>1280</v>
      </c>
      <c r="BA90" s="36">
        <f t="shared" ca="1" si="20"/>
        <v>70.009100000000004</v>
      </c>
      <c r="BB90" t="inlineStr">
        <is>
          <t>BIB-089_AlKhoury-etal_2001_Spectral-element-layered-media.pdf</t>
        </is>
      </c>
    </row>
    <row r="91" spans="1:54" ht="45" customHeight="1" x14ac:dyDescent="0.25">
      <c r="A91" s="25" t="s">
        <v>1281</v>
      </c>
      <c r="B91" s="25" t="s">
        <v>1282</v>
      </c>
      <c r="C91" s="26" t="str">
        <f t="shared" si="14"/>
        <v>Hopman (1996)</v>
      </c>
      <c r="D91" s="4" t="s">
        <v>1283</v>
      </c>
      <c r="E91" s="27" t="str">
        <f>IF(OR($B91="",$AF91=""),"",HYPERLINK(IF(AND(Paramètres!$C$13&lt;&gt;"",$AJ91="Éditeur (abonnement)"),Paramètres!$C$13&amp;$AF91,$AF91),"Ouvrir : "&amp;$AE91))</f>
        <v>Ouvrir : Page éditeur (DOI)</v>
      </c>
      <c r="F91" s="28" t="s">
        <v>235</v>
      </c>
      <c r="G91" s="28">
        <v>5</v>
      </c>
      <c r="H91" s="25" t="s">
        <v>338</v>
      </c>
      <c r="I91" s="28">
        <v>5</v>
      </c>
      <c r="J91" s="29" t="s">
        <v>234</v>
      </c>
      <c r="K91" s="26" t="str">
        <f ca="1">IF($B91="","",IF($J91="Lu","Lu",IF($J91="Écarté","Écarté",IF($I91&lt;Paramètres!$C$8,"EN RETARD",IF($I91=Paramètres!$C$8,"Ce mois-ci",IF($I91=Paramètres!$C$8+1,"Mois prochain","À venir"))))))</f>
        <v>À venir</v>
      </c>
      <c r="L91" s="30" t="str">
        <f t="shared" si="15"/>
        <v>À télécharger via l'accès ENTPE</v>
      </c>
      <c r="M91" s="31">
        <f ca="1">IF($B91="","",IF(OR($J91="Lu",$J91="Écarté"),0,IFERROR(INDEX(Paramètres!$C$17:$C$19,MATCH($H91,Paramètres!$B$17:$B$19,0)),0)+Paramètres!$C$20*(7-$I91)+IF($I91&lt;Paramètres!$C$8,Paramètres!$C$21,0)+IF($F91="Oui",Paramètres!$C$22,0)+IF($AL91&lt;&gt;"Vérifié",Paramètres!$C$23,0)+IF(AND($O91&lt;&gt;"Oui",OR($AJ91="PDF libre",$AJ91="PDF libre (dépôt)")),Paramètres!$C$24,0)))</f>
        <v>70</v>
      </c>
      <c r="N91" s="32"/>
      <c r="O91" s="33" t="str">
        <f>IF($BB91="","Non",HYPERLINK(DossierPDF&amp;$BB91,"Oui"))</f>
        <v>Oui</v>
      </c>
      <c r="P91" s="33" t="s">
        <v>235</v>
      </c>
      <c r="Q91" s="33" t="s">
        <v>235</v>
      </c>
      <c r="R91" s="33"/>
      <c r="S91" s="34"/>
      <c r="T91" s="25" t="s">
        <v>236</v>
      </c>
      <c r="U91" s="26" t="str">
        <f>IF($B91="","",IFERROR(INDEX(Paramètres!$N$6:$N$13,MATCH($T91,Paramètres!$M$6:$M$13,0)),$T91))</f>
        <v>Article de revue</v>
      </c>
      <c r="V91" s="4" t="s">
        <v>1284</v>
      </c>
      <c r="W91" s="28">
        <v>1996</v>
      </c>
      <c r="X91" s="4" t="s">
        <v>1070</v>
      </c>
      <c r="Y91" s="25" t="s">
        <v>1165</v>
      </c>
      <c r="Z91" s="25"/>
      <c r="AA91" s="25" t="s">
        <v>1285</v>
      </c>
      <c r="AB91" s="25"/>
      <c r="AC91" s="25" t="s">
        <v>1286</v>
      </c>
      <c r="AD91" s="25"/>
      <c r="AE91" s="25" t="s">
        <v>243</v>
      </c>
      <c r="AF91" s="35" t="s">
        <v>1287</v>
      </c>
      <c r="AG91" s="27" t="str">
        <f t="shared" si="16"/>
        <v>doi.org</v>
      </c>
      <c r="AH91" s="27" t="str">
        <f t="shared" si="17"/>
        <v>Scholar</v>
      </c>
      <c r="AI91" s="28" t="s">
        <v>245</v>
      </c>
      <c r="AJ91" s="25" t="s">
        <v>185</v>
      </c>
      <c r="AK91" s="4" t="s">
        <v>1075</v>
      </c>
      <c r="AL91" s="25" t="s">
        <v>247</v>
      </c>
      <c r="AM91" s="4" t="s">
        <v>264</v>
      </c>
      <c r="AN91" s="25" t="s">
        <v>249</v>
      </c>
      <c r="AO91" s="4" t="s">
        <v>1288</v>
      </c>
      <c r="AP91" s="4" t="s">
        <v>1289</v>
      </c>
      <c r="AQ91" s="25" t="s">
        <v>235</v>
      </c>
      <c r="AR91" s="26" t="str">
        <f>IF($B91="","",IFERROR(INDEX(Paramètres!$Q$6:$Q$13,MATCH($G91,Paramètres!$P$6:$P$13,0)),""))</f>
        <v>Calcul de structures viscoélastiques</v>
      </c>
      <c r="AS91" s="26" t="str">
        <f>IF($B91="","",IFERROR(INDEX(Paramètres!$T$6:$T$11,MATCH($I91,Paramètres!$S$6:$S$11,0)),""))</f>
        <v>février 2027</v>
      </c>
      <c r="AT91" s="31">
        <f>IF($B91="","",IFERROR(INDEX(Paramètres!$C$27:$C$29,MATCH($H91,Paramètres!$B$27:$B$29,0)),0))</f>
        <v>3</v>
      </c>
      <c r="AU91" s="29"/>
      <c r="AV91" s="32"/>
      <c r="AW91" s="26" t="str">
        <f t="shared" si="18"/>
        <v>hopman1996veroad.md</v>
      </c>
      <c r="AX91" s="26">
        <f>IF($B91="","",COUNTIF($I$2:I91,$I91))</f>
        <v>6</v>
      </c>
      <c r="AY91" s="26" t="str">
        <f t="shared" si="19"/>
        <v>5-6</v>
      </c>
      <c r="AZ91" s="26" t="s">
        <v>1290</v>
      </c>
      <c r="BA91" s="36">
        <f t="shared" ca="1" si="20"/>
        <v>70.00909</v>
      </c>
      <c r="BB91" t="inlineStr">
        <is>
          <t>BIB-090_Hopman_1996_VEROAD-viscoelastic-multilayer-program.pdf</t>
        </is>
      </c>
    </row>
    <row r="92" spans="1:53" ht="45" customHeight="1" x14ac:dyDescent="0.25">
      <c r="A92" s="25" t="s">
        <v>1291</v>
      </c>
      <c r="B92" s="25" t="s">
        <v>1292</v>
      </c>
      <c r="C92" s="26" t="str">
        <f t="shared" si="14"/>
        <v>Jacq et al. (2002)</v>
      </c>
      <c r="D92" s="4" t="s">
        <v>1293</v>
      </c>
      <c r="E92" s="27" t="str">
        <f>IF(OR($B92="",$AF92=""),"",HYPERLINK(IF(AND(Paramètres!$C$13&lt;&gt;"",$AJ92="Éditeur (abonnement)"),Paramètres!$C$13&amp;$AF92,$AF92),"Ouvrir : "&amp;$AE92))</f>
        <v>Ouvrir : Page éditeur (DOI)</v>
      </c>
      <c r="F92" s="28" t="s">
        <v>235</v>
      </c>
      <c r="G92" s="28">
        <v>5</v>
      </c>
      <c r="H92" s="25" t="s">
        <v>338</v>
      </c>
      <c r="I92" s="28">
        <v>5</v>
      </c>
      <c r="J92" s="29" t="s">
        <v>234</v>
      </c>
      <c r="K92" s="26" t="str">
        <f ca="1">IF($B92="","",IF($J92="Lu","Lu",IF($J92="Écarté","Écarté",IF($I92&lt;Paramètres!$C$8,"EN RETARD",IF($I92=Paramètres!$C$8,"Ce mois-ci",IF($I92=Paramètres!$C$8+1,"Mois prochain","À venir"))))))</f>
        <v>À venir</v>
      </c>
      <c r="L92" s="30" t="str">
        <f t="shared" si="15"/>
        <v>À télécharger via l'accès ENTPE</v>
      </c>
      <c r="M92" s="31">
        <f ca="1">IF($B92="","",IF(OR($J92="Lu",$J92="Écarté"),0,IFERROR(INDEX(Paramètres!$C$17:$C$19,MATCH($H92,Paramètres!$B$17:$B$19,0)),0)+Paramètres!$C$20*(7-$I92)+IF($I92&lt;Paramètres!$C$8,Paramètres!$C$21,0)+IF($F92="Oui",Paramètres!$C$22,0)+IF($AL92&lt;&gt;"Vérifié",Paramètres!$C$23,0)+IF(AND($O92&lt;&gt;"Oui",OR($AJ92="PDF libre",$AJ92="PDF libre (dépôt)")),Paramètres!$C$24,0)))</f>
        <v>70</v>
      </c>
      <c r="N92" s="32"/>
      <c r="O92" s="33" t="str">
        <f>IF($BB92="","Non",HYPERLINK(DossierPDF&amp;$BB92,"Oui"))</f>
        <v>Non</v>
      </c>
      <c r="P92" s="33" t="s">
        <v>235</v>
      </c>
      <c r="Q92" s="33" t="s">
        <v>235</v>
      </c>
      <c r="R92" s="33"/>
      <c r="S92" s="34"/>
      <c r="T92" s="25" t="s">
        <v>236</v>
      </c>
      <c r="U92" s="26" t="str">
        <f>IF($B92="","",IFERROR(INDEX(Paramètres!$N$6:$N$13,MATCH($T92,Paramètres!$M$6:$M$13,0)),$T92))</f>
        <v>Article de revue</v>
      </c>
      <c r="V92" s="4" t="s">
        <v>1294</v>
      </c>
      <c r="W92" s="28">
        <v>2002</v>
      </c>
      <c r="X92" s="4" t="s">
        <v>1295</v>
      </c>
      <c r="Y92" s="25" t="s">
        <v>1296</v>
      </c>
      <c r="Z92" s="25" t="s">
        <v>240</v>
      </c>
      <c r="AA92" s="25" t="s">
        <v>1297</v>
      </c>
      <c r="AB92" s="25"/>
      <c r="AC92" s="25" t="s">
        <v>1298</v>
      </c>
      <c r="AD92" s="25"/>
      <c r="AE92" s="25" t="s">
        <v>243</v>
      </c>
      <c r="AF92" s="35" t="s">
        <v>1299</v>
      </c>
      <c r="AG92" s="27" t="str">
        <f t="shared" si="16"/>
        <v>doi.org</v>
      </c>
      <c r="AH92" s="27" t="str">
        <f t="shared" si="17"/>
        <v>Scholar</v>
      </c>
      <c r="AI92" s="28" t="s">
        <v>245</v>
      </c>
      <c r="AJ92" s="25" t="s">
        <v>185</v>
      </c>
      <c r="AK92" s="4" t="s">
        <v>1300</v>
      </c>
      <c r="AL92" s="25" t="s">
        <v>247</v>
      </c>
      <c r="AM92" s="4" t="s">
        <v>1301</v>
      </c>
      <c r="AN92" s="25" t="s">
        <v>249</v>
      </c>
      <c r="AO92" s="4" t="s">
        <v>1302</v>
      </c>
      <c r="AP92" s="4" t="s">
        <v>1303</v>
      </c>
      <c r="AQ92" s="25" t="s">
        <v>235</v>
      </c>
      <c r="AR92" s="26" t="str">
        <f>IF($B92="","",IFERROR(INDEX(Paramètres!$Q$6:$Q$13,MATCH($G92,Paramètres!$P$6:$P$13,0)),""))</f>
        <v>Calcul de structures viscoélastiques</v>
      </c>
      <c r="AS92" s="26" t="str">
        <f>IF($B92="","",IFERROR(INDEX(Paramètres!$T$6:$T$11,MATCH($I92,Paramètres!$S$6:$S$11,0)),""))</f>
        <v>février 2027</v>
      </c>
      <c r="AT92" s="31">
        <f>IF($B92="","",IFERROR(INDEX(Paramètres!$C$27:$C$29,MATCH($H92,Paramètres!$B$27:$B$29,0)),0))</f>
        <v>3</v>
      </c>
      <c r="AU92" s="29"/>
      <c r="AV92" s="32"/>
      <c r="AW92" s="26" t="str">
        <f t="shared" si="18"/>
        <v>jacq2002sam.md</v>
      </c>
      <c r="AX92" s="26">
        <f>IF($B92="","",COUNTIF($I$2:I92,$I92))</f>
        <v>7</v>
      </c>
      <c r="AY92" s="26" t="str">
        <f t="shared" si="19"/>
        <v>5-7</v>
      </c>
      <c r="AZ92" s="26" t="s">
        <v>1304</v>
      </c>
      <c r="BA92" s="36">
        <f t="shared" ca="1" si="20"/>
        <v>70.009079999999997</v>
      </c>
    </row>
    <row r="93" spans="1:54" ht="45" customHeight="1" x14ac:dyDescent="0.25">
      <c r="A93" s="25" t="s">
        <v>1305</v>
      </c>
      <c r="B93" s="25" t="s">
        <v>1306</v>
      </c>
      <c r="C93" s="26" t="str">
        <f t="shared" si="14"/>
        <v>Johnson (1985)</v>
      </c>
      <c r="D93" s="4" t="s">
        <v>1307</v>
      </c>
      <c r="E93" s="27" t="str">
        <f>IF(OR($B93="",$AF93=""),"",HYPERLINK(IF(AND(Paramètres!$C$13&lt;&gt;"",$AJ93="Éditeur (abonnement)"),Paramètres!$C$13&amp;$AF93,$AF93),"Ouvrir : "&amp;$AE93))</f>
        <v>Ouvrir : Page éditeur (DOI)</v>
      </c>
      <c r="F93" s="28" t="s">
        <v>235</v>
      </c>
      <c r="G93" s="28">
        <v>5</v>
      </c>
      <c r="H93" s="25" t="s">
        <v>338</v>
      </c>
      <c r="I93" s="28">
        <v>5</v>
      </c>
      <c r="J93" s="29" t="s">
        <v>234</v>
      </c>
      <c r="K93" s="26" t="str">
        <f ca="1">IF($B93="","",IF($J93="Lu","Lu",IF($J93="Écarté","Écarté",IF($I93&lt;Paramètres!$C$8,"EN RETARD",IF($I93=Paramètres!$C$8,"Ce mois-ci",IF($I93=Paramètres!$C$8+1,"Mois prochain","À venir"))))))</f>
        <v>À venir</v>
      </c>
      <c r="L93" s="30" t="str">
        <f t="shared" si="15"/>
        <v>À télécharger via l'accès ENTPE</v>
      </c>
      <c r="M93" s="31">
        <f ca="1">IF($B93="","",IF(OR($J93="Lu",$J93="Écarté"),0,IFERROR(INDEX(Paramètres!$C$17:$C$19,MATCH($H93,Paramètres!$B$17:$B$19,0)),0)+Paramètres!$C$20*(7-$I93)+IF($I93&lt;Paramètres!$C$8,Paramètres!$C$21,0)+IF($F93="Oui",Paramètres!$C$22,0)+IF($AL93&lt;&gt;"Vérifié",Paramètres!$C$23,0)+IF(AND($O93&lt;&gt;"Oui",OR($AJ93="PDF libre",$AJ93="PDF libre (dépôt)")),Paramètres!$C$24,0)))</f>
        <v>70</v>
      </c>
      <c r="N93" s="32"/>
      <c r="O93" s="33" t="str">
        <f>IF($BB93="","Non",HYPERLINK(DossierPDF&amp;$BB93,"Oui"))</f>
        <v>Oui</v>
      </c>
      <c r="P93" s="33" t="s">
        <v>235</v>
      </c>
      <c r="Q93" s="33" t="s">
        <v>235</v>
      </c>
      <c r="R93" s="33"/>
      <c r="S93" s="34"/>
      <c r="T93" s="25" t="s">
        <v>661</v>
      </c>
      <c r="U93" s="26" t="str">
        <f>IF($B93="","",IFERROR(INDEX(Paramètres!$N$6:$N$13,MATCH($T93,Paramètres!$M$6:$M$13,0)),$T93))</f>
        <v>Ouvrage / guide</v>
      </c>
      <c r="V93" s="4" t="s">
        <v>1308</v>
      </c>
      <c r="W93" s="28">
        <v>1985</v>
      </c>
      <c r="X93" s="4"/>
      <c r="Y93" s="25"/>
      <c r="Z93" s="25"/>
      <c r="AA93" s="25"/>
      <c r="AB93" s="25" t="s">
        <v>1309</v>
      </c>
      <c r="AC93" s="25" t="s">
        <v>1310</v>
      </c>
      <c r="AD93" s="25"/>
      <c r="AE93" s="25" t="s">
        <v>243</v>
      </c>
      <c r="AF93" s="35" t="s">
        <v>1311</v>
      </c>
      <c r="AG93" s="27" t="str">
        <f t="shared" si="16"/>
        <v>doi.org</v>
      </c>
      <c r="AH93" s="27" t="str">
        <f t="shared" si="17"/>
        <v>Scholar</v>
      </c>
      <c r="AI93" s="28" t="s">
        <v>245</v>
      </c>
      <c r="AJ93" s="25" t="s">
        <v>185</v>
      </c>
      <c r="AK93" s="4" t="s">
        <v>1312</v>
      </c>
      <c r="AL93" s="25" t="s">
        <v>247</v>
      </c>
      <c r="AM93" s="4" t="s">
        <v>264</v>
      </c>
      <c r="AN93" s="25" t="s">
        <v>249</v>
      </c>
      <c r="AO93" s="4" t="s">
        <v>1313</v>
      </c>
      <c r="AP93" s="4" t="s">
        <v>1314</v>
      </c>
      <c r="AQ93" s="25" t="s">
        <v>235</v>
      </c>
      <c r="AR93" s="26" t="str">
        <f>IF($B93="","",IFERROR(INDEX(Paramètres!$Q$6:$Q$13,MATCH($G93,Paramètres!$P$6:$P$13,0)),""))</f>
        <v>Calcul de structures viscoélastiques</v>
      </c>
      <c r="AS93" s="26" t="str">
        <f>IF($B93="","",IFERROR(INDEX(Paramètres!$T$6:$T$11,MATCH($I93,Paramètres!$S$6:$S$11,0)),""))</f>
        <v>février 2027</v>
      </c>
      <c r="AT93" s="31">
        <f>IF($B93="","",IFERROR(INDEX(Paramètres!$C$27:$C$29,MATCH($H93,Paramètres!$B$27:$B$29,0)),0))</f>
        <v>3</v>
      </c>
      <c r="AU93" s="29"/>
      <c r="AV93" s="32"/>
      <c r="AW93" s="26" t="str">
        <f t="shared" si="18"/>
        <v>johnson1985contact.md</v>
      </c>
      <c r="AX93" s="26">
        <f>IF($B93="","",COUNTIF($I$2:I93,$I93))</f>
        <v>8</v>
      </c>
      <c r="AY93" s="26" t="str">
        <f t="shared" si="19"/>
        <v>5-8</v>
      </c>
      <c r="AZ93" s="26" t="s">
        <v>1315</v>
      </c>
      <c r="BA93" s="36">
        <f t="shared" ca="1" si="20"/>
        <v>70.009069999999994</v>
      </c>
      <c r="BB93" t="inlineStr">
        <is>
          <t>BIB-092_Johnson_1985_Contact-mechanics.pdf</t>
        </is>
      </c>
    </row>
    <row r="94" spans="1:53" ht="45" hidden="1" customHeight="1" x14ac:dyDescent="0.25">
      <c r="A94" s="25" t="s">
        <v>1316</v>
      </c>
      <c r="B94" s="25" t="s">
        <v>1317</v>
      </c>
      <c r="C94" s="26" t="str">
        <f t="shared" si="14"/>
        <v>Love (1929)</v>
      </c>
      <c r="D94" s="4" t="s">
        <v>1318</v>
      </c>
      <c r="E94" s="27" t="str">
        <f>IF(OR($B94="",$AF94=""),"",HYPERLINK(IF(AND(Paramètres!$C$13&lt;&gt;"",$AJ94="Éditeur (abonnement)"),Paramètres!$C$13&amp;$AF94,$AF94),"Ouvrir : "&amp;$AE94))</f>
        <v>Ouvrir : Texte intégral libre</v>
      </c>
      <c r="F94" s="28" t="s">
        <v>235</v>
      </c>
      <c r="G94" s="28">
        <v>5</v>
      </c>
      <c r="H94" s="25" t="s">
        <v>338</v>
      </c>
      <c r="I94" s="28">
        <v>5</v>
      </c>
      <c r="J94" s="29" t="s">
        <v>234</v>
      </c>
      <c r="K94" s="26" t="str">
        <f ca="1">IF($B94="","",IF($J94="Lu","Lu",IF($J94="Écarté","Écarté",IF($I94&lt;Paramètres!$C$8,"EN RETARD",IF($I94=Paramètres!$C$8,"Ce mois-ci",IF($I94=Paramètres!$C$8+1,"Mois prochain","À venir"))))))</f>
        <v>À venir</v>
      </c>
      <c r="L94" s="30" t="str">
        <f t="shared" si="15"/>
        <v>PDF libre à télécharger</v>
      </c>
      <c r="M94" s="31">
        <f ca="1">IF($B94="","",IF(OR($J94="Lu",$J94="Écarté"),0,IFERROR(INDEX(Paramètres!$C$17:$C$19,MATCH($H94,Paramètres!$B$17:$B$19,0)),0)+Paramètres!$C$20*(7-$I94)+IF($I94&lt;Paramètres!$C$8,Paramètres!$C$21,0)+IF($F94="Oui",Paramètres!$C$22,0)+IF($AL94&lt;&gt;"Vérifié",Paramètres!$C$23,0)+IF(AND($O94&lt;&gt;"Oui",OR($AJ94="PDF libre",$AJ94="PDF libre (dépôt)")),Paramètres!$C$24,0)))</f>
        <v>75</v>
      </c>
      <c r="N94" s="32"/>
      <c r="O94" s="33" t="str">
        <f>IF($BB94="","Non",HYPERLINK(DossierPDF&amp;$BB94,"Oui"))</f>
        <v>Non</v>
      </c>
      <c r="P94" s="33" t="s">
        <v>235</v>
      </c>
      <c r="Q94" s="33" t="s">
        <v>235</v>
      </c>
      <c r="R94" s="33"/>
      <c r="S94" s="34"/>
      <c r="T94" s="25" t="s">
        <v>236</v>
      </c>
      <c r="U94" s="26" t="str">
        <f>IF($B94="","",IFERROR(INDEX(Paramètres!$N$6:$N$13,MATCH($T94,Paramètres!$M$6:$M$13,0)),$T94))</f>
        <v>Article de revue</v>
      </c>
      <c r="V94" s="4" t="s">
        <v>1319</v>
      </c>
      <c r="W94" s="28">
        <v>1929</v>
      </c>
      <c r="X94" s="4" t="s">
        <v>1320</v>
      </c>
      <c r="Y94" s="25" t="s">
        <v>1321</v>
      </c>
      <c r="Z94" s="25"/>
      <c r="AA94" s="25" t="s">
        <v>1322</v>
      </c>
      <c r="AB94" s="25"/>
      <c r="AC94" s="25" t="s">
        <v>1323</v>
      </c>
      <c r="AD94" s="25"/>
      <c r="AE94" s="25" t="s">
        <v>275</v>
      </c>
      <c r="AF94" s="35" t="s">
        <v>1324</v>
      </c>
      <c r="AG94" s="27" t="str">
        <f t="shared" si="16"/>
        <v>doi.org</v>
      </c>
      <c r="AH94" s="27" t="str">
        <f t="shared" si="17"/>
        <v>Scholar</v>
      </c>
      <c r="AI94" s="28" t="s">
        <v>277</v>
      </c>
      <c r="AJ94" s="25" t="s">
        <v>183</v>
      </c>
      <c r="AK94" s="4" t="s">
        <v>1325</v>
      </c>
      <c r="AL94" s="25" t="s">
        <v>247</v>
      </c>
      <c r="AM94" s="4" t="s">
        <v>264</v>
      </c>
      <c r="AN94" s="25" t="s">
        <v>249</v>
      </c>
      <c r="AO94" s="4" t="s">
        <v>1326</v>
      </c>
      <c r="AP94" s="4" t="s">
        <v>1327</v>
      </c>
      <c r="AQ94" s="25" t="s">
        <v>235</v>
      </c>
      <c r="AR94" s="26" t="str">
        <f>IF($B94="","",IFERROR(INDEX(Paramètres!$Q$6:$Q$13,MATCH($G94,Paramètres!$P$6:$P$13,0)),""))</f>
        <v>Calcul de structures viscoélastiques</v>
      </c>
      <c r="AS94" s="26" t="str">
        <f>IF($B94="","",IFERROR(INDEX(Paramètres!$T$6:$T$11,MATCH($I94,Paramètres!$S$6:$S$11,0)),""))</f>
        <v>février 2027</v>
      </c>
      <c r="AT94" s="31">
        <f>IF($B94="","",IFERROR(INDEX(Paramètres!$C$27:$C$29,MATCH($H94,Paramètres!$B$27:$B$29,0)),0))</f>
        <v>3</v>
      </c>
      <c r="AU94" s="29"/>
      <c r="AV94" s="32"/>
      <c r="AW94" s="26" t="str">
        <f t="shared" si="18"/>
        <v>love1929.md</v>
      </c>
      <c r="AX94" s="26">
        <f>IF($B94="","",COUNTIF($I$2:I94,$I94))</f>
        <v>9</v>
      </c>
      <c r="AY94" s="26" t="str">
        <f t="shared" si="19"/>
        <v>5-9</v>
      </c>
      <c r="AZ94" s="26" t="s">
        <v>1328</v>
      </c>
      <c r="BA94" s="36">
        <f t="shared" ca="1" si="20"/>
        <v>75.009060000000005</v>
      </c>
    </row>
    <row r="95" spans="1:54" ht="45" hidden="1" customHeight="1" x14ac:dyDescent="0.25">
      <c r="A95" s="25" t="s">
        <v>1329</v>
      </c>
      <c r="B95" s="25" t="s">
        <v>1330</v>
      </c>
      <c r="C95" s="26" t="str">
        <f t="shared" si="14"/>
        <v>Manyo et al. (2021)</v>
      </c>
      <c r="D95" s="4" t="s">
        <v>1331</v>
      </c>
      <c r="E95" s="27" t="str">
        <f>IF(OR($B95="",$AF95=""),"",HYPERLINK(IF(AND(Paramètres!$C$13&lt;&gt;"",$AJ95="Éditeur (abonnement)"),Paramètres!$C$13&amp;$AF95,$AF95),"Ouvrir : "&amp;$AE95))</f>
        <v>Ouvrir : Texte intégral libre</v>
      </c>
      <c r="F95" s="28" t="s">
        <v>233</v>
      </c>
      <c r="G95" s="28">
        <v>5</v>
      </c>
      <c r="H95" s="25" t="s">
        <v>338</v>
      </c>
      <c r="I95" s="28">
        <v>5</v>
      </c>
      <c r="J95" s="29" t="s">
        <v>234</v>
      </c>
      <c r="K95" s="26" t="str">
        <f ca="1">IF($B95="","",IF($J95="Lu","Lu",IF($J95="Écarté","Écarté",IF($I95&lt;Paramètres!$C$8,"EN RETARD",IF($I95=Paramètres!$C$8,"Ce mois-ci",IF($I95=Paramètres!$C$8+1,"Mois prochain","À venir"))))))</f>
        <v>À venir</v>
      </c>
      <c r="L95" s="30" t="str">
        <f t="shared" si="15"/>
        <v>PDF libre à télécharger</v>
      </c>
      <c r="M95" s="31">
        <f ca="1">IF($B95="","",IF(OR($J95="Lu",$J95="Écarté"),0,IFERROR(INDEX(Paramètres!$C$17:$C$19,MATCH($H95,Paramètres!$B$17:$B$19,0)),0)+Paramètres!$C$20*(7-$I95)+IF($I95&lt;Paramètres!$C$8,Paramètres!$C$21,0)+IF($F95="Oui",Paramètres!$C$22,0)+IF($AL95&lt;&gt;"Vérifié",Paramètres!$C$23,0)+IF(AND($O95&lt;&gt;"Oui",OR($AJ95="PDF libre",$AJ95="PDF libre (dépôt)")),Paramètres!$C$24,0)))</f>
        <v>85</v>
      </c>
      <c r="N95" s="32"/>
      <c r="O95" s="33" t="str">
        <f>IF($BB95="","Non",HYPERLINK(DossierPDF&amp;$BB95,"Oui"))</f>
        <v>Oui</v>
      </c>
      <c r="P95" s="33" t="s">
        <v>235</v>
      </c>
      <c r="Q95" s="33" t="s">
        <v>235</v>
      </c>
      <c r="R95" s="33"/>
      <c r="S95" s="34"/>
      <c r="T95" s="25" t="s">
        <v>236</v>
      </c>
      <c r="U95" s="26" t="str">
        <f>IF($B95="","",IFERROR(INDEX(Paramètres!$N$6:$N$13,MATCH($T95,Paramètres!$M$6:$M$13,0)),$T95))</f>
        <v>Article de revue</v>
      </c>
      <c r="V95" s="4" t="s">
        <v>1332</v>
      </c>
      <c r="W95" s="28">
        <v>2021</v>
      </c>
      <c r="X95" s="4" t="s">
        <v>1333</v>
      </c>
      <c r="Y95" s="25" t="s">
        <v>367</v>
      </c>
      <c r="Z95" s="25" t="s">
        <v>896</v>
      </c>
      <c r="AA95" s="25" t="s">
        <v>1334</v>
      </c>
      <c r="AB95" s="25"/>
      <c r="AC95" s="25" t="s">
        <v>1335</v>
      </c>
      <c r="AD95" s="25"/>
      <c r="AE95" s="25" t="s">
        <v>275</v>
      </c>
      <c r="AF95" s="35" t="s">
        <v>1336</v>
      </c>
      <c r="AG95" s="27" t="str">
        <f t="shared" si="16"/>
        <v>doi.org</v>
      </c>
      <c r="AH95" s="27" t="str">
        <f t="shared" si="17"/>
        <v>Scholar</v>
      </c>
      <c r="AI95" s="28" t="s">
        <v>277</v>
      </c>
      <c r="AJ95" s="25" t="s">
        <v>183</v>
      </c>
      <c r="AK95" s="4" t="s">
        <v>1337</v>
      </c>
      <c r="AL95" s="25" t="s">
        <v>247</v>
      </c>
      <c r="AM95" s="4" t="s">
        <v>264</v>
      </c>
      <c r="AN95" s="25" t="s">
        <v>249</v>
      </c>
      <c r="AO95" s="4" t="s">
        <v>1338</v>
      </c>
      <c r="AP95" s="4" t="s">
        <v>1339</v>
      </c>
      <c r="AQ95" s="25" t="s">
        <v>235</v>
      </c>
      <c r="AR95" s="26" t="str">
        <f>IF($B95="","",IFERROR(INDEX(Paramètres!$Q$6:$Q$13,MATCH($G95,Paramètres!$P$6:$P$13,0)),""))</f>
        <v>Calcul de structures viscoélastiques</v>
      </c>
      <c r="AS95" s="26" t="str">
        <f>IF($B95="","",IFERROR(INDEX(Paramètres!$T$6:$T$11,MATCH($I95,Paramètres!$S$6:$S$11,0)),""))</f>
        <v>février 2027</v>
      </c>
      <c r="AT95" s="31">
        <f>IF($B95="","",IFERROR(INDEX(Paramètres!$C$27:$C$29,MATCH($H95,Paramètres!$B$27:$B$29,0)),0))</f>
        <v>3</v>
      </c>
      <c r="AU95" s="29"/>
      <c r="AV95" s="32"/>
      <c r="AW95" s="26" t="str">
        <f t="shared" si="18"/>
        <v>manyo2021semianalytical.md</v>
      </c>
      <c r="AX95" s="26">
        <f>IF($B95="","",COUNTIF($I$2:I95,$I95))</f>
        <v>10</v>
      </c>
      <c r="AY95" s="26" t="str">
        <f t="shared" si="19"/>
        <v>5-10</v>
      </c>
      <c r="AZ95" s="26" t="s">
        <v>1340</v>
      </c>
      <c r="BA95" s="36">
        <f t="shared" ca="1" si="20"/>
        <v>85.009050000000002</v>
      </c>
      <c r="BB95" t="inlineStr">
        <is>
          <t>BIB-094_Manyo-etal_2021_Surface-layer-degradation-semi-analytical.pdf</t>
        </is>
      </c>
    </row>
    <row r="96" spans="1:53" ht="45" customHeight="1" x14ac:dyDescent="0.25">
      <c r="A96" s="25" t="s">
        <v>1341</v>
      </c>
      <c r="B96" s="25" t="s">
        <v>1342</v>
      </c>
      <c r="C96" s="26" t="str">
        <f t="shared" si="14"/>
        <v>Roussel et al. (2020)</v>
      </c>
      <c r="D96" s="4" t="s">
        <v>1343</v>
      </c>
      <c r="E96" s="27" t="str">
        <f>IF(OR($B96="",$AF96=""),"",HYPERLINK(IF(AND(Paramètres!$C$13&lt;&gt;"",$AJ96="Éditeur (abonnement)"),Paramètres!$C$13&amp;$AF96,$AF96),"Ouvrir : "&amp;$AE96))</f>
        <v>Ouvrir : Page éditeur (DOI)</v>
      </c>
      <c r="F96" s="28" t="s">
        <v>235</v>
      </c>
      <c r="G96" s="28">
        <v>5</v>
      </c>
      <c r="H96" s="25" t="s">
        <v>338</v>
      </c>
      <c r="I96" s="28">
        <v>5</v>
      </c>
      <c r="J96" s="29" t="s">
        <v>234</v>
      </c>
      <c r="K96" s="26" t="str">
        <f ca="1">IF($B96="","",IF($J96="Lu","Lu",IF($J96="Écarté","Écarté",IF($I96&lt;Paramètres!$C$8,"EN RETARD",IF($I96=Paramètres!$C$8,"Ce mois-ci",IF($I96=Paramètres!$C$8+1,"Mois prochain","À venir"))))))</f>
        <v>À venir</v>
      </c>
      <c r="L96" s="30" t="str">
        <f t="shared" si="15"/>
        <v>À télécharger via l'accès ENTPE</v>
      </c>
      <c r="M96" s="31">
        <f ca="1">IF($B96="","",IF(OR($J96="Lu",$J96="Écarté"),0,IFERROR(INDEX(Paramètres!$C$17:$C$19,MATCH($H96,Paramètres!$B$17:$B$19,0)),0)+Paramètres!$C$20*(7-$I96)+IF($I96&lt;Paramètres!$C$8,Paramètres!$C$21,0)+IF($F96="Oui",Paramètres!$C$22,0)+IF($AL96&lt;&gt;"Vérifié",Paramètres!$C$23,0)+IF(AND($O96&lt;&gt;"Oui",OR($AJ96="PDF libre",$AJ96="PDF libre (dépôt)")),Paramètres!$C$24,0)))</f>
        <v>70</v>
      </c>
      <c r="N96" s="32"/>
      <c r="O96" s="33" t="str">
        <f>IF($BB96="","Non",HYPERLINK(DossierPDF&amp;$BB96,"Oui"))</f>
        <v>Non</v>
      </c>
      <c r="P96" s="33" t="s">
        <v>235</v>
      </c>
      <c r="Q96" s="33" t="s">
        <v>235</v>
      </c>
      <c r="R96" s="33"/>
      <c r="S96" s="34"/>
      <c r="T96" s="25" t="s">
        <v>286</v>
      </c>
      <c r="U96" s="26" t="str">
        <f>IF($B96="","",IFERROR(INDEX(Paramètres!$N$6:$N$13,MATCH($T96,Paramètres!$M$6:$M$13,0)),$T96))</f>
        <v>Communication (actes)</v>
      </c>
      <c r="V96" s="4" t="s">
        <v>1344</v>
      </c>
      <c r="W96" s="28">
        <v>2020</v>
      </c>
      <c r="X96" s="4" t="s">
        <v>1345</v>
      </c>
      <c r="Y96" s="25" t="s">
        <v>1346</v>
      </c>
      <c r="Z96" s="25"/>
      <c r="AA96" s="25" t="s">
        <v>1347</v>
      </c>
      <c r="AB96" s="25" t="s">
        <v>291</v>
      </c>
      <c r="AC96" s="25" t="s">
        <v>1348</v>
      </c>
      <c r="AD96" s="25" t="s">
        <v>1349</v>
      </c>
      <c r="AE96" s="25" t="s">
        <v>243</v>
      </c>
      <c r="AF96" s="35" t="s">
        <v>1350</v>
      </c>
      <c r="AG96" s="27" t="str">
        <f t="shared" si="16"/>
        <v>doi.org</v>
      </c>
      <c r="AH96" s="27" t="str">
        <f t="shared" si="17"/>
        <v>Scholar</v>
      </c>
      <c r="AI96" s="28" t="s">
        <v>245</v>
      </c>
      <c r="AJ96" s="25" t="s">
        <v>185</v>
      </c>
      <c r="AK96" s="4" t="s">
        <v>1351</v>
      </c>
      <c r="AL96" s="25" t="s">
        <v>247</v>
      </c>
      <c r="AM96" s="4" t="s">
        <v>1352</v>
      </c>
      <c r="AN96" s="25" t="s">
        <v>249</v>
      </c>
      <c r="AO96" s="4" t="s">
        <v>1353</v>
      </c>
      <c r="AP96" s="4" t="s">
        <v>1354</v>
      </c>
      <c r="AQ96" s="25" t="s">
        <v>233</v>
      </c>
      <c r="AR96" s="26" t="str">
        <f>IF($B96="","",IFERROR(INDEX(Paramètres!$Q$6:$Q$13,MATCH($G96,Paramètres!$P$6:$P$13,0)),""))</f>
        <v>Calcul de structures viscoélastiques</v>
      </c>
      <c r="AS96" s="26" t="str">
        <f>IF($B96="","",IFERROR(INDEX(Paramètres!$T$6:$T$11,MATCH($I96,Paramètres!$S$6:$S$11,0)),""))</f>
        <v>février 2027</v>
      </c>
      <c r="AT96" s="31">
        <f>IF($B96="","",IFERROR(INDEX(Paramètres!$C$27:$C$29,MATCH($H96,Paramètres!$B$27:$B$29,0)),0))</f>
        <v>3</v>
      </c>
      <c r="AU96" s="29"/>
      <c r="AV96" s="32"/>
      <c r="AW96" s="26" t="str">
        <f t="shared" si="18"/>
        <v>roussel2020sem.md</v>
      </c>
      <c r="AX96" s="26">
        <f>IF($B96="","",COUNTIF($I$2:I96,$I96))</f>
        <v>11</v>
      </c>
      <c r="AY96" s="26" t="str">
        <f t="shared" si="19"/>
        <v>5-11</v>
      </c>
      <c r="AZ96" s="26" t="s">
        <v>1355</v>
      </c>
      <c r="BA96" s="36">
        <f t="shared" ca="1" si="20"/>
        <v>70.009039999999999</v>
      </c>
    </row>
    <row r="97" spans="1:54" ht="45" customHeight="1" x14ac:dyDescent="0.25">
      <c r="A97" s="25" t="s">
        <v>1356</v>
      </c>
      <c r="B97" s="25" t="s">
        <v>1357</v>
      </c>
      <c r="C97" s="26" t="str">
        <f t="shared" si="14"/>
        <v>Siddharthan et al. (1998)</v>
      </c>
      <c r="D97" s="4" t="s">
        <v>1358</v>
      </c>
      <c r="E97" s="27" t="str">
        <f>IF(OR($B97="",$AF97=""),"",HYPERLINK(IF(AND(Paramètres!$C$13&lt;&gt;"",$AJ97="Éditeur (abonnement)"),Paramètres!$C$13&amp;$AF97,$AF97),"Ouvrir : "&amp;$AE97))</f>
        <v>Ouvrir : Page éditeur (DOI)</v>
      </c>
      <c r="F97" s="28" t="s">
        <v>235</v>
      </c>
      <c r="G97" s="28">
        <v>5</v>
      </c>
      <c r="H97" s="25" t="s">
        <v>338</v>
      </c>
      <c r="I97" s="28">
        <v>5</v>
      </c>
      <c r="J97" s="29" t="s">
        <v>234</v>
      </c>
      <c r="K97" s="26" t="str">
        <f ca="1">IF($B97="","",IF($J97="Lu","Lu",IF($J97="Écarté","Écarté",IF($I97&lt;Paramètres!$C$8,"EN RETARD",IF($I97=Paramètres!$C$8,"Ce mois-ci",IF($I97=Paramètres!$C$8+1,"Mois prochain","À venir"))))))</f>
        <v>À venir</v>
      </c>
      <c r="L97" s="30" t="str">
        <f t="shared" si="15"/>
        <v>À télécharger via l'accès ENTPE</v>
      </c>
      <c r="M97" s="31">
        <f ca="1">IF($B97="","",IF(OR($J97="Lu",$J97="Écarté"),0,IFERROR(INDEX(Paramètres!$C$17:$C$19,MATCH($H97,Paramètres!$B$17:$B$19,0)),0)+Paramètres!$C$20*(7-$I97)+IF($I97&lt;Paramètres!$C$8,Paramètres!$C$21,0)+IF($F97="Oui",Paramètres!$C$22,0)+IF($AL97&lt;&gt;"Vérifié",Paramètres!$C$23,0)+IF(AND($O97&lt;&gt;"Oui",OR($AJ97="PDF libre",$AJ97="PDF libre (dépôt)")),Paramètres!$C$24,0)))</f>
        <v>70</v>
      </c>
      <c r="N97" s="32"/>
      <c r="O97" s="33" t="str">
        <f>IF($BB97="","Non",HYPERLINK(DossierPDF&amp;$BB97,"Oui"))</f>
        <v>Oui</v>
      </c>
      <c r="P97" s="33" t="s">
        <v>235</v>
      </c>
      <c r="Q97" s="33" t="s">
        <v>235</v>
      </c>
      <c r="R97" s="33"/>
      <c r="S97" s="34"/>
      <c r="T97" s="25" t="s">
        <v>236</v>
      </c>
      <c r="U97" s="26" t="str">
        <f>IF($B97="","",IFERROR(INDEX(Paramètres!$N$6:$N$13,MATCH($T97,Paramètres!$M$6:$M$13,0)),$T97))</f>
        <v>Article de revue</v>
      </c>
      <c r="V97" s="4" t="s">
        <v>1359</v>
      </c>
      <c r="W97" s="28">
        <v>1998</v>
      </c>
      <c r="X97" s="4" t="s">
        <v>392</v>
      </c>
      <c r="Y97" s="25" t="s">
        <v>1296</v>
      </c>
      <c r="Z97" s="25" t="s">
        <v>464</v>
      </c>
      <c r="AA97" s="25" t="s">
        <v>1360</v>
      </c>
      <c r="AB97" s="25"/>
      <c r="AC97" s="25" t="s">
        <v>1361</v>
      </c>
      <c r="AD97" s="25"/>
      <c r="AE97" s="25" t="s">
        <v>243</v>
      </c>
      <c r="AF97" s="35" t="s">
        <v>1362</v>
      </c>
      <c r="AG97" s="27" t="str">
        <f t="shared" si="16"/>
        <v>doi.org</v>
      </c>
      <c r="AH97" s="27" t="str">
        <f t="shared" si="17"/>
        <v>Scholar</v>
      </c>
      <c r="AI97" s="28" t="s">
        <v>245</v>
      </c>
      <c r="AJ97" s="25" t="s">
        <v>185</v>
      </c>
      <c r="AK97" s="4" t="s">
        <v>677</v>
      </c>
      <c r="AL97" s="25" t="s">
        <v>247</v>
      </c>
      <c r="AM97" s="4" t="s">
        <v>264</v>
      </c>
      <c r="AN97" s="25" t="s">
        <v>249</v>
      </c>
      <c r="AO97" s="4" t="s">
        <v>1363</v>
      </c>
      <c r="AP97" s="4" t="s">
        <v>1364</v>
      </c>
      <c r="AQ97" s="25" t="s">
        <v>235</v>
      </c>
      <c r="AR97" s="26" t="str">
        <f>IF($B97="","",IFERROR(INDEX(Paramètres!$Q$6:$Q$13,MATCH($G97,Paramètres!$P$6:$P$13,0)),""))</f>
        <v>Calcul de structures viscoélastiques</v>
      </c>
      <c r="AS97" s="26" t="str">
        <f>IF($B97="","",IFERROR(INDEX(Paramètres!$T$6:$T$11,MATCH($I97,Paramètres!$S$6:$S$11,0)),""))</f>
        <v>février 2027</v>
      </c>
      <c r="AT97" s="31">
        <f>IF($B97="","",IFERROR(INDEX(Paramètres!$C$27:$C$29,MATCH($H97,Paramètres!$B$27:$B$29,0)),0))</f>
        <v>3</v>
      </c>
      <c r="AU97" s="29"/>
      <c r="AV97" s="32"/>
      <c r="AW97" s="26" t="str">
        <f t="shared" si="18"/>
        <v>siddharthan1998moving.md</v>
      </c>
      <c r="AX97" s="26">
        <f>IF($B97="","",COUNTIF($I$2:I97,$I97))</f>
        <v>12</v>
      </c>
      <c r="AY97" s="26" t="str">
        <f t="shared" si="19"/>
        <v>5-12</v>
      </c>
      <c r="AZ97" s="26" t="s">
        <v>1365</v>
      </c>
      <c r="BA97" s="36">
        <f t="shared" ca="1" si="20"/>
        <v>70.009029999999996</v>
      </c>
      <c r="BB97" t="inlineStr">
        <is>
          <t>BIB-096_Siddharthan-etal_1998_Pavement-strain-moving-3D-load.pdf</t>
        </is>
      </c>
    </row>
    <row r="98" spans="1:53" ht="45" customHeight="1" x14ac:dyDescent="0.25">
      <c r="A98" s="25" t="s">
        <v>1366</v>
      </c>
      <c r="B98" s="25" t="s">
        <v>1367</v>
      </c>
      <c r="C98" s="26" t="str">
        <f t="shared" ref="C98:C129" si="21">IF($B98="","",IFERROR(LEFT(LEFT($V98,FIND(";",$V98&amp;";")-1),FIND(",",LEFT($V98,FIND(";",$V98&amp;";")-1))-1),LEFT($V98,FIND(";",$V98&amp;";")-1))&amp;IF((LEN($V98)-LEN(SUBSTITUTE($V98,";",""))+1)=1,"",IF((LEN($V98)-LEN(SUBSTITUTE($V98,";",""))+1)=2," &amp; "&amp;IFERROR(LEFT(TRIM(MID($V98,FIND(";",$V98)+1,FIND(";",$V98&amp;";",FIND(";",$V98)+1)-FIND(";",$V98)-1)),FIND(",",TRIM(MID($V98,FIND(";",$V98)+1,FIND(";",$V98&amp;";",FIND(";",$V98)+1)-FIND(";",$V98)-1)))-1),TRIM(MID($V98,FIND(";",$V98)+1,FIND(";",$V98&amp;";",FIND(";",$V98)+1)-FIND(";",$V98)-1)))," et al."))&amp;" ("&amp;$W98&amp;")")</f>
        <v>Siddharthan et al. (2002)</v>
      </c>
      <c r="D98" s="4" t="s">
        <v>1368</v>
      </c>
      <c r="E98" s="27" t="str">
        <f>IF(OR($B98="",$AF98=""),"",HYPERLINK(IF(AND(Paramètres!$C$13&lt;&gt;"",$AJ98="Éditeur (abonnement)"),Paramètres!$C$13&amp;$AF98,$AF98),"Ouvrir : "&amp;$AE98))</f>
        <v>Ouvrir : Page éditeur (DOI)</v>
      </c>
      <c r="F98" s="28" t="s">
        <v>235</v>
      </c>
      <c r="G98" s="28">
        <v>5</v>
      </c>
      <c r="H98" s="25" t="s">
        <v>338</v>
      </c>
      <c r="I98" s="28">
        <v>5</v>
      </c>
      <c r="J98" s="29" t="s">
        <v>234</v>
      </c>
      <c r="K98" s="26" t="str">
        <f ca="1">IF($B98="","",IF($J98="Lu","Lu",IF($J98="Écarté","Écarté",IF($I98&lt;Paramètres!$C$8,"EN RETARD",IF($I98=Paramètres!$C$8,"Ce mois-ci",IF($I98=Paramètres!$C$8+1,"Mois prochain","À venir"))))))</f>
        <v>À venir</v>
      </c>
      <c r="L98" s="30" t="str">
        <f t="shared" ref="L98:L129" si="22">IF($B98="","",IF($AL98="Non vérifié","Ne pas citer en l'état : métadonnées non vérifiées",IF($AL98="Partiel","Vérification à compléter avant de citer",IF($O98="Oui","",IF(OR($AJ98="PDF libre",$AJ98="PDF libre (dépôt)"),"PDF libre à télécharger",IF($AJ98="Éditeur (abonnement)","À télécharger via l'accès ENTPE",IF($AJ98="Payant (boutique)","À consulter via l'abonnement de l'école",IF($AJ98="Non diffusé (à demander)","Document à demander (feuille Demandes)","Texte intégral à localiser"))))))))</f>
        <v>À télécharger via l'accès ENTPE</v>
      </c>
      <c r="M98" s="31">
        <f ca="1">IF($B98="","",IF(OR($J98="Lu",$J98="Écarté"),0,IFERROR(INDEX(Paramètres!$C$17:$C$19,MATCH($H98,Paramètres!$B$17:$B$19,0)),0)+Paramètres!$C$20*(7-$I98)+IF($I98&lt;Paramètres!$C$8,Paramètres!$C$21,0)+IF($F98="Oui",Paramètres!$C$22,0)+IF($AL98&lt;&gt;"Vérifié",Paramètres!$C$23,0)+IF(AND($O98&lt;&gt;"Oui",OR($AJ98="PDF libre",$AJ98="PDF libre (dépôt)")),Paramètres!$C$24,0)))</f>
        <v>70</v>
      </c>
      <c r="N98" s="32"/>
      <c r="O98" s="33" t="str">
        <f>IF($BB98="","Non",HYPERLINK(DossierPDF&amp;$BB98,"Oui"))</f>
        <v>Non</v>
      </c>
      <c r="P98" s="33" t="s">
        <v>235</v>
      </c>
      <c r="Q98" s="33" t="s">
        <v>235</v>
      </c>
      <c r="R98" s="33"/>
      <c r="S98" s="34"/>
      <c r="T98" s="25" t="s">
        <v>236</v>
      </c>
      <c r="U98" s="26" t="str">
        <f>IF($B98="","",IFERROR(INDEX(Paramètres!$N$6:$N$13,MATCH($T98,Paramètres!$M$6:$M$13,0)),$T98))</f>
        <v>Article de revue</v>
      </c>
      <c r="V98" s="4" t="s">
        <v>1369</v>
      </c>
      <c r="W98" s="28">
        <v>2002</v>
      </c>
      <c r="X98" s="4" t="s">
        <v>392</v>
      </c>
      <c r="Y98" s="25" t="s">
        <v>1370</v>
      </c>
      <c r="Z98" s="25" t="s">
        <v>368</v>
      </c>
      <c r="AA98" s="25" t="s">
        <v>1371</v>
      </c>
      <c r="AB98" s="25"/>
      <c r="AC98" s="25" t="s">
        <v>1372</v>
      </c>
      <c r="AD98" s="25"/>
      <c r="AE98" s="25" t="s">
        <v>243</v>
      </c>
      <c r="AF98" s="35" t="s">
        <v>1373</v>
      </c>
      <c r="AG98" s="27" t="str">
        <f t="shared" ref="AG98:AG129" si="23">IF($AC98="","",HYPERLINK("https://doi.org/"&amp;$AC98,"doi.org"))</f>
        <v>doi.org</v>
      </c>
      <c r="AH98" s="27" t="str">
        <f t="shared" ref="AH98:AH129" si="24">IF($AZ98="","",HYPERLINK($AZ98,"Scholar"))</f>
        <v>Scholar</v>
      </c>
      <c r="AI98" s="28" t="s">
        <v>245</v>
      </c>
      <c r="AJ98" s="25" t="s">
        <v>185</v>
      </c>
      <c r="AK98" s="4" t="s">
        <v>677</v>
      </c>
      <c r="AL98" s="25" t="s">
        <v>247</v>
      </c>
      <c r="AM98" s="4" t="s">
        <v>264</v>
      </c>
      <c r="AN98" s="25" t="s">
        <v>249</v>
      </c>
      <c r="AO98" s="4" t="s">
        <v>1374</v>
      </c>
      <c r="AP98" s="4" t="s">
        <v>1375</v>
      </c>
      <c r="AQ98" s="25" t="s">
        <v>235</v>
      </c>
      <c r="AR98" s="26" t="str">
        <f>IF($B98="","",IFERROR(INDEX(Paramètres!$Q$6:$Q$13,MATCH($G98,Paramètres!$P$6:$P$13,0)),""))</f>
        <v>Calcul de structures viscoélastiques</v>
      </c>
      <c r="AS98" s="26" t="str">
        <f>IF($B98="","",IFERROR(INDEX(Paramètres!$T$6:$T$11,MATCH($I98,Paramètres!$S$6:$S$11,0)),""))</f>
        <v>février 2027</v>
      </c>
      <c r="AT98" s="31">
        <f>IF($B98="","",IFERROR(INDEX(Paramètres!$C$27:$C$29,MATCH($H98,Paramètres!$B$27:$B$29,0)),0))</f>
        <v>3</v>
      </c>
      <c r="AU98" s="29"/>
      <c r="AV98" s="32"/>
      <c r="AW98" s="26" t="str">
        <f t="shared" ref="AW98:AW129" si="25">IF($B98="","",$B98&amp;".md")</f>
        <v>siddharthan2002contact.md</v>
      </c>
      <c r="AX98" s="26">
        <f>IF($B98="","",COUNTIF($I$2:I98,$I98))</f>
        <v>13</v>
      </c>
      <c r="AY98" s="26" t="str">
        <f t="shared" ref="AY98:AY129" si="26">IF($B98="","",$I98&amp;"-"&amp;$AX98)</f>
        <v>5-13</v>
      </c>
      <c r="AZ98" s="26" t="s">
        <v>1376</v>
      </c>
      <c r="BA98" s="36">
        <f t="shared" ref="BA98:BA129" ca="1" si="27">IF($B98="","",$M98+(1000-ROW())/100000)</f>
        <v>70.009020000000007</v>
      </c>
    </row>
    <row r="99" spans="1:54" ht="45" hidden="1" customHeight="1" x14ac:dyDescent="0.25">
      <c r="A99" s="25" t="s">
        <v>1377</v>
      </c>
      <c r="B99" s="25" t="s">
        <v>1378</v>
      </c>
      <c r="C99" s="26" t="str">
        <f t="shared" si="21"/>
        <v>Chupin et al. (2010)</v>
      </c>
      <c r="D99" s="4" t="s">
        <v>1379</v>
      </c>
      <c r="E99" s="27" t="str">
        <f>IF(OR($B99="",$AF99=""),"",HYPERLINK(IF(AND(Paramètres!$C$13&lt;&gt;"",$AJ99="Éditeur (abonnement)"),Paramètres!$C$13&amp;$AF99,$AF99),"Ouvrir : "&amp;$AE99))</f>
        <v>Ouvrir : Texte intégral (dépôt)</v>
      </c>
      <c r="F99" s="28" t="s">
        <v>235</v>
      </c>
      <c r="G99" s="28">
        <v>5</v>
      </c>
      <c r="H99" s="25" t="s">
        <v>405</v>
      </c>
      <c r="I99" s="28">
        <v>5</v>
      </c>
      <c r="J99" s="29" t="s">
        <v>234</v>
      </c>
      <c r="K99" s="26" t="str">
        <f ca="1">IF($B99="","",IF($J99="Lu","Lu",IF($J99="Écarté","Écarté",IF($I99&lt;Paramètres!$C$8,"EN RETARD",IF($I99=Paramètres!$C$8,"Ce mois-ci",IF($I99=Paramètres!$C$8+1,"Mois prochain","À venir"))))))</f>
        <v>À venir</v>
      </c>
      <c r="L99" s="30" t="str">
        <f t="shared" si="22"/>
        <v>PDF libre à télécharger</v>
      </c>
      <c r="M99" s="31">
        <f ca="1">IF($B99="","",IF(OR($J99="Lu",$J99="Écarté"),0,IFERROR(INDEX(Paramètres!$C$17:$C$19,MATCH($H99,Paramètres!$B$17:$B$19,0)),0)+Paramètres!$C$20*(7-$I99)+IF($I99&lt;Paramètres!$C$8,Paramètres!$C$21,0)+IF($F99="Oui",Paramètres!$C$22,0)+IF($AL99&lt;&gt;"Vérifié",Paramètres!$C$23,0)+IF(AND($O99&lt;&gt;"Oui",OR($AJ99="PDF libre",$AJ99="PDF libre (dépôt)")),Paramètres!$C$24,0)))</f>
        <v>45</v>
      </c>
      <c r="N99" s="32"/>
      <c r="O99" s="33" t="str">
        <f>IF($BB99="","Non",HYPERLINK(DossierPDF&amp;$BB99,"Oui"))</f>
        <v>Oui</v>
      </c>
      <c r="P99" s="33" t="s">
        <v>235</v>
      </c>
      <c r="Q99" s="33" t="s">
        <v>235</v>
      </c>
      <c r="R99" s="33"/>
      <c r="S99" s="34"/>
      <c r="T99" s="25" t="s">
        <v>236</v>
      </c>
      <c r="U99" s="26" t="str">
        <f>IF($B99="","",IFERROR(INDEX(Paramètres!$N$6:$N$13,MATCH($T99,Paramètres!$M$6:$M$13,0)),$T99))</f>
        <v>Article de revue</v>
      </c>
      <c r="V99" s="4" t="s">
        <v>1380</v>
      </c>
      <c r="W99" s="28">
        <v>2010</v>
      </c>
      <c r="X99" s="4" t="s">
        <v>607</v>
      </c>
      <c r="Y99" s="25" t="s">
        <v>839</v>
      </c>
      <c r="Z99" s="25" t="s">
        <v>1381</v>
      </c>
      <c r="AA99" s="25" t="s">
        <v>1382</v>
      </c>
      <c r="AB99" s="25"/>
      <c r="AC99" s="25" t="s">
        <v>1383</v>
      </c>
      <c r="AD99" s="25"/>
      <c r="AE99" s="25" t="s">
        <v>355</v>
      </c>
      <c r="AF99" s="35" t="s">
        <v>1384</v>
      </c>
      <c r="AG99" s="27" t="str">
        <f t="shared" si="23"/>
        <v>doi.org</v>
      </c>
      <c r="AH99" s="27" t="str">
        <f t="shared" si="24"/>
        <v>Scholar</v>
      </c>
      <c r="AI99" s="28" t="s">
        <v>277</v>
      </c>
      <c r="AJ99" s="25" t="s">
        <v>184</v>
      </c>
      <c r="AK99" s="4" t="s">
        <v>1385</v>
      </c>
      <c r="AL99" s="25" t="s">
        <v>247</v>
      </c>
      <c r="AM99" s="4" t="s">
        <v>264</v>
      </c>
      <c r="AN99" s="25" t="s">
        <v>249</v>
      </c>
      <c r="AO99" s="4" t="s">
        <v>1386</v>
      </c>
      <c r="AP99" s="4" t="s">
        <v>1387</v>
      </c>
      <c r="AQ99" s="25" t="s">
        <v>235</v>
      </c>
      <c r="AR99" s="26" t="str">
        <f>IF($B99="","",IFERROR(INDEX(Paramètres!$Q$6:$Q$13,MATCH($G99,Paramètres!$P$6:$P$13,0)),""))</f>
        <v>Calcul de structures viscoélastiques</v>
      </c>
      <c r="AS99" s="26" t="str">
        <f>IF($B99="","",IFERROR(INDEX(Paramètres!$T$6:$T$11,MATCH($I99,Paramètres!$S$6:$S$11,0)),""))</f>
        <v>février 2027</v>
      </c>
      <c r="AT99" s="31">
        <f>IF($B99="","",IFERROR(INDEX(Paramètres!$C$27:$C$29,MATCH($H99,Paramètres!$B$27:$B$29,0)),0))</f>
        <v>1</v>
      </c>
      <c r="AU99" s="29"/>
      <c r="AV99" s="32"/>
      <c r="AW99" s="26" t="str">
        <f t="shared" si="25"/>
        <v>chupin2010sliding.md</v>
      </c>
      <c r="AX99" s="26">
        <f>IF($B99="","",COUNTIF($I$2:I99,$I99))</f>
        <v>14</v>
      </c>
      <c r="AY99" s="26" t="str">
        <f t="shared" si="26"/>
        <v>5-14</v>
      </c>
      <c r="AZ99" s="26" t="s">
        <v>1388</v>
      </c>
      <c r="BA99" s="36">
        <f t="shared" ca="1" si="27"/>
        <v>45.009010000000004</v>
      </c>
      <c r="BB99" t="inlineStr">
        <is>
          <t>BIB-098_Chupin-etal_2010_Sliding-interfaces-layered-viscoelastic-moving-load.pdf</t>
        </is>
      </c>
    </row>
    <row r="100" spans="1:53" ht="45" hidden="1" customHeight="1" x14ac:dyDescent="0.25">
      <c r="A100" s="25" t="s">
        <v>1389</v>
      </c>
      <c r="B100" s="25" t="s">
        <v>1390</v>
      </c>
      <c r="C100" s="26" t="str">
        <f t="shared" si="21"/>
        <v>Duhamel et al. (2005)</v>
      </c>
      <c r="D100" s="4" t="s">
        <v>1391</v>
      </c>
      <c r="E100" s="27" t="str">
        <f>IF(OR($B100="",$AF100=""),"",HYPERLINK(IF(AND(Paramètres!$C$13&lt;&gt;"",$AJ100="Éditeur (abonnement)"),Paramètres!$C$13&amp;$AF100,$AF100),"Ouvrir : "&amp;$AE100))</f>
        <v>Ouvrir : Texte intégral libre</v>
      </c>
      <c r="F100" s="28" t="s">
        <v>235</v>
      </c>
      <c r="G100" s="28">
        <v>5</v>
      </c>
      <c r="H100" s="25" t="s">
        <v>405</v>
      </c>
      <c r="I100" s="28">
        <v>5</v>
      </c>
      <c r="J100" s="29" t="s">
        <v>234</v>
      </c>
      <c r="K100" s="26" t="str">
        <f ca="1">IF($B100="","",IF($J100="Lu","Lu",IF($J100="Écarté","Écarté",IF($I100&lt;Paramètres!$C$8,"EN RETARD",IF($I100=Paramètres!$C$8,"Ce mois-ci",IF($I100=Paramètres!$C$8+1,"Mois prochain","À venir"))))))</f>
        <v>À venir</v>
      </c>
      <c r="L100" s="30" t="str">
        <f t="shared" si="22"/>
        <v>Vérification à compléter avant de citer</v>
      </c>
      <c r="M100" s="31">
        <f ca="1">IF($B100="","",IF(OR($J100="Lu",$J100="Écarté"),0,IFERROR(INDEX(Paramètres!$C$17:$C$19,MATCH($H100,Paramètres!$B$17:$B$19,0)),0)+Paramètres!$C$20*(7-$I100)+IF($I100&lt;Paramètres!$C$8,Paramètres!$C$21,0)+IF($F100="Oui",Paramètres!$C$22,0)+IF($AL100&lt;&gt;"Vérifié",Paramètres!$C$23,0)+IF(AND($O100&lt;&gt;"Oui",OR($AJ100="PDF libre",$AJ100="PDF libre (dépôt)")),Paramètres!$C$24,0)))</f>
        <v>60</v>
      </c>
      <c r="N100" s="32"/>
      <c r="O100" s="33" t="str">
        <f>IF($BB100="","Non",HYPERLINK(DossierPDF&amp;$BB100,"Oui"))</f>
        <v>Non</v>
      </c>
      <c r="P100" s="33" t="s">
        <v>235</v>
      </c>
      <c r="Q100" s="33" t="s">
        <v>235</v>
      </c>
      <c r="R100" s="33"/>
      <c r="S100" s="34"/>
      <c r="T100" s="25" t="s">
        <v>236</v>
      </c>
      <c r="U100" s="26" t="str">
        <f>IF($B100="","",IFERROR(INDEX(Paramètres!$N$6:$N$13,MATCH($T100,Paramètres!$M$6:$M$13,0)),$T100))</f>
        <v>Article de revue</v>
      </c>
      <c r="V100" s="4" t="s">
        <v>1392</v>
      </c>
      <c r="W100" s="28">
        <v>2005</v>
      </c>
      <c r="X100" s="4" t="s">
        <v>1393</v>
      </c>
      <c r="Y100" s="25"/>
      <c r="Z100" s="25" t="s">
        <v>1394</v>
      </c>
      <c r="AA100" s="25" t="s">
        <v>1395</v>
      </c>
      <c r="AB100" s="25"/>
      <c r="AC100" s="25"/>
      <c r="AD100" s="25"/>
      <c r="AE100" s="25" t="s">
        <v>275</v>
      </c>
      <c r="AF100" s="35" t="s">
        <v>1396</v>
      </c>
      <c r="AG100" s="27" t="str">
        <f t="shared" si="23"/>
        <v/>
      </c>
      <c r="AH100" s="27" t="str">
        <f t="shared" si="24"/>
        <v>Scholar</v>
      </c>
      <c r="AI100" s="28" t="s">
        <v>277</v>
      </c>
      <c r="AJ100" s="25" t="s">
        <v>183</v>
      </c>
      <c r="AK100" s="4" t="s">
        <v>1397</v>
      </c>
      <c r="AL100" s="25" t="s">
        <v>517</v>
      </c>
      <c r="AM100" s="4" t="s">
        <v>1398</v>
      </c>
      <c r="AN100" s="25" t="s">
        <v>249</v>
      </c>
      <c r="AO100" s="4" t="s">
        <v>1399</v>
      </c>
      <c r="AP100" s="4" t="s">
        <v>1400</v>
      </c>
      <c r="AQ100" s="25" t="s">
        <v>235</v>
      </c>
      <c r="AR100" s="26" t="str">
        <f>IF($B100="","",IFERROR(INDEX(Paramètres!$Q$6:$Q$13,MATCH($G100,Paramètres!$P$6:$P$13,0)),""))</f>
        <v>Calcul de structures viscoélastiques</v>
      </c>
      <c r="AS100" s="26" t="str">
        <f>IF($B100="","",IFERROR(INDEX(Paramètres!$T$6:$T$11,MATCH($I100,Paramètres!$S$6:$S$11,0)),""))</f>
        <v>février 2027</v>
      </c>
      <c r="AT100" s="31">
        <f>IF($B100="","",IFERROR(INDEX(Paramètres!$C$27:$C$29,MATCH($H100,Paramètres!$B$27:$B$29,0)),0))</f>
        <v>1</v>
      </c>
      <c r="AU100" s="29"/>
      <c r="AV100" s="32"/>
      <c r="AW100" s="26" t="str">
        <f t="shared" si="25"/>
        <v>duhamel2005viscoroute.md</v>
      </c>
      <c r="AX100" s="26">
        <f>IF($B100="","",COUNTIF($I$2:I100,$I100))</f>
        <v>15</v>
      </c>
      <c r="AY100" s="26" t="str">
        <f t="shared" si="26"/>
        <v>5-15</v>
      </c>
      <c r="AZ100" s="26" t="s">
        <v>1401</v>
      </c>
      <c r="BA100" s="36">
        <f t="shared" ca="1" si="27"/>
        <v>60.009</v>
      </c>
    </row>
    <row r="101" spans="1:54" ht="45" customHeight="1" x14ac:dyDescent="0.25">
      <c r="A101" s="25" t="s">
        <v>1402</v>
      </c>
      <c r="B101" s="25" t="s">
        <v>1403</v>
      </c>
      <c r="C101" s="26" t="str">
        <f t="shared" si="21"/>
        <v>Grenier et al. (2009)</v>
      </c>
      <c r="D101" s="4" t="s">
        <v>1404</v>
      </c>
      <c r="E101" s="27" t="str">
        <f>IF(OR($B101="",$AF101=""),"",HYPERLINK(IF(AND(Paramètres!$C$13&lt;&gt;"",$AJ101="Éditeur (abonnement)"),Paramètres!$C$13&amp;$AF101,$AF101),"Ouvrir : "&amp;$AE101))</f>
        <v>Ouvrir : Page éditeur (DOI)</v>
      </c>
      <c r="F101" s="28" t="s">
        <v>235</v>
      </c>
      <c r="G101" s="28">
        <v>5</v>
      </c>
      <c r="H101" s="25" t="s">
        <v>405</v>
      </c>
      <c r="I101" s="28">
        <v>5</v>
      </c>
      <c r="J101" s="29" t="s">
        <v>234</v>
      </c>
      <c r="K101" s="26" t="str">
        <f ca="1">IF($B101="","",IF($J101="Lu","Lu",IF($J101="Écarté","Écarté",IF($I101&lt;Paramètres!$C$8,"EN RETARD",IF($I101=Paramètres!$C$8,"Ce mois-ci",IF($I101=Paramètres!$C$8+1,"Mois prochain","À venir"))))))</f>
        <v>À venir</v>
      </c>
      <c r="L101" s="30" t="str">
        <f t="shared" si="22"/>
        <v>À télécharger via l'accès ENTPE</v>
      </c>
      <c r="M101" s="31">
        <f ca="1">IF($B101="","",IF(OR($J101="Lu",$J101="Écarté"),0,IFERROR(INDEX(Paramètres!$C$17:$C$19,MATCH($H101,Paramètres!$B$17:$B$19,0)),0)+Paramètres!$C$20*(7-$I101)+IF($I101&lt;Paramètres!$C$8,Paramètres!$C$21,0)+IF($F101="Oui",Paramètres!$C$22,0)+IF($AL101&lt;&gt;"Vérifié",Paramètres!$C$23,0)+IF(AND($O101&lt;&gt;"Oui",OR($AJ101="PDF libre",$AJ101="PDF libre (dépôt)")),Paramètres!$C$24,0)))</f>
        <v>40</v>
      </c>
      <c r="N101" s="32"/>
      <c r="O101" s="33" t="str">
        <f>IF($BB101="","Non",HYPERLINK(DossierPDF&amp;$BB101,"Oui"))</f>
        <v>Oui</v>
      </c>
      <c r="P101" s="33" t="s">
        <v>235</v>
      </c>
      <c r="Q101" s="33" t="s">
        <v>235</v>
      </c>
      <c r="R101" s="33"/>
      <c r="S101" s="34"/>
      <c r="T101" s="25" t="s">
        <v>236</v>
      </c>
      <c r="U101" s="26" t="str">
        <f>IF($B101="","",IFERROR(INDEX(Paramètres!$N$6:$N$13,MATCH($T101,Paramètres!$M$6:$M$13,0)),$T101))</f>
        <v>Article de revue</v>
      </c>
      <c r="V101" s="4" t="s">
        <v>1405</v>
      </c>
      <c r="W101" s="28">
        <v>2009</v>
      </c>
      <c r="X101" s="4" t="s">
        <v>1406</v>
      </c>
      <c r="Y101" s="25" t="s">
        <v>608</v>
      </c>
      <c r="Z101" s="25" t="s">
        <v>464</v>
      </c>
      <c r="AA101" s="25" t="s">
        <v>1407</v>
      </c>
      <c r="AB101" s="25"/>
      <c r="AC101" s="25" t="s">
        <v>1408</v>
      </c>
      <c r="AD101" s="25"/>
      <c r="AE101" s="25" t="s">
        <v>243</v>
      </c>
      <c r="AF101" s="35" t="s">
        <v>1409</v>
      </c>
      <c r="AG101" s="27" t="str">
        <f t="shared" si="23"/>
        <v>doi.org</v>
      </c>
      <c r="AH101" s="27" t="str">
        <f t="shared" si="24"/>
        <v>Scholar</v>
      </c>
      <c r="AI101" s="28" t="s">
        <v>245</v>
      </c>
      <c r="AJ101" s="25" t="s">
        <v>185</v>
      </c>
      <c r="AK101" s="4" t="s">
        <v>1410</v>
      </c>
      <c r="AL101" s="25" t="s">
        <v>247</v>
      </c>
      <c r="AM101" s="4" t="s">
        <v>264</v>
      </c>
      <c r="AN101" s="25" t="s">
        <v>249</v>
      </c>
      <c r="AO101" s="4" t="s">
        <v>1411</v>
      </c>
      <c r="AP101" s="4" t="s">
        <v>1412</v>
      </c>
      <c r="AQ101" s="25" t="s">
        <v>235</v>
      </c>
      <c r="AR101" s="26" t="str">
        <f>IF($B101="","",IFERROR(INDEX(Paramètres!$Q$6:$Q$13,MATCH($G101,Paramètres!$P$6:$P$13,0)),""))</f>
        <v>Calcul de structures viscoélastiques</v>
      </c>
      <c r="AS101" s="26" t="str">
        <f>IF($B101="","",IFERROR(INDEX(Paramètres!$T$6:$T$11,MATCH($I101,Paramètres!$S$6:$S$11,0)),""))</f>
        <v>février 2027</v>
      </c>
      <c r="AT101" s="31">
        <f>IF($B101="","",IFERROR(INDEX(Paramètres!$C$27:$C$29,MATCH($H101,Paramètres!$B$27:$B$29,0)),0))</f>
        <v>1</v>
      </c>
      <c r="AU101" s="29"/>
      <c r="AV101" s="32"/>
      <c r="AW101" s="26" t="str">
        <f t="shared" si="25"/>
        <v>grenier2009sem.md</v>
      </c>
      <c r="AX101" s="26">
        <f>IF($B101="","",COUNTIF($I$2:I101,$I101))</f>
        <v>16</v>
      </c>
      <c r="AY101" s="26" t="str">
        <f t="shared" si="26"/>
        <v>5-16</v>
      </c>
      <c r="AZ101" s="26" t="s">
        <v>1413</v>
      </c>
      <c r="BA101" s="36">
        <f t="shared" ca="1" si="27"/>
        <v>40.008989999999997</v>
      </c>
      <c r="BB101" t="inlineStr">
        <is>
          <t>BIB-100_Grenier-etal_2009_FWD-simulation-spectral-element.pdf</t>
        </is>
      </c>
    </row>
    <row r="102" spans="1:54" ht="45" customHeight="1" x14ac:dyDescent="0.25">
      <c r="A102" s="25" t="s">
        <v>1414</v>
      </c>
      <c r="B102" s="25" t="s">
        <v>1415</v>
      </c>
      <c r="C102" s="26" t="str">
        <f t="shared" si="21"/>
        <v>Maina &amp; Matsui (2004)</v>
      </c>
      <c r="D102" s="4" t="s">
        <v>1416</v>
      </c>
      <c r="E102" s="27" t="str">
        <f>IF(OR($B102="",$AF102=""),"",HYPERLINK(IF(AND(Paramètres!$C$13&lt;&gt;"",$AJ102="Éditeur (abonnement)"),Paramètres!$C$13&amp;$AF102,$AF102),"Ouvrir : "&amp;$AE102))</f>
        <v>Ouvrir : Page éditeur (DOI)</v>
      </c>
      <c r="F102" s="28" t="s">
        <v>235</v>
      </c>
      <c r="G102" s="28">
        <v>5</v>
      </c>
      <c r="H102" s="25" t="s">
        <v>405</v>
      </c>
      <c r="I102" s="28">
        <v>5</v>
      </c>
      <c r="J102" s="29" t="s">
        <v>234</v>
      </c>
      <c r="K102" s="26" t="str">
        <f ca="1">IF($B102="","",IF($J102="Lu","Lu",IF($J102="Écarté","Écarté",IF($I102&lt;Paramètres!$C$8,"EN RETARD",IF($I102=Paramètres!$C$8,"Ce mois-ci",IF($I102=Paramètres!$C$8+1,"Mois prochain","À venir"))))))</f>
        <v>À venir</v>
      </c>
      <c r="L102" s="30" t="str">
        <f t="shared" si="22"/>
        <v>À télécharger via l'accès ENTPE</v>
      </c>
      <c r="M102" s="31">
        <f ca="1">IF($B102="","",IF(OR($J102="Lu",$J102="Écarté"),0,IFERROR(INDEX(Paramètres!$C$17:$C$19,MATCH($H102,Paramètres!$B$17:$B$19,0)),0)+Paramètres!$C$20*(7-$I102)+IF($I102&lt;Paramètres!$C$8,Paramètres!$C$21,0)+IF($F102="Oui",Paramètres!$C$22,0)+IF($AL102&lt;&gt;"Vérifié",Paramètres!$C$23,0)+IF(AND($O102&lt;&gt;"Oui",OR($AJ102="PDF libre",$AJ102="PDF libre (dépôt)")),Paramètres!$C$24,0)))</f>
        <v>40</v>
      </c>
      <c r="N102" s="32"/>
      <c r="O102" s="33" t="str">
        <f>IF($BB102="","Non",HYPERLINK(DossierPDF&amp;$BB102,"Oui"))</f>
        <v>Oui</v>
      </c>
      <c r="P102" s="33" t="s">
        <v>235</v>
      </c>
      <c r="Q102" s="33" t="s">
        <v>235</v>
      </c>
      <c r="R102" s="33"/>
      <c r="S102" s="34"/>
      <c r="T102" s="25" t="s">
        <v>236</v>
      </c>
      <c r="U102" s="26" t="str">
        <f>IF($B102="","",IFERROR(INDEX(Paramètres!$N$6:$N$13,MATCH($T102,Paramètres!$M$6:$M$13,0)),$T102))</f>
        <v>Article de revue</v>
      </c>
      <c r="V102" s="4" t="s">
        <v>1417</v>
      </c>
      <c r="W102" s="28">
        <v>2004</v>
      </c>
      <c r="X102" s="4" t="s">
        <v>1070</v>
      </c>
      <c r="Y102" s="25" t="s">
        <v>1418</v>
      </c>
      <c r="Z102" s="25"/>
      <c r="AA102" s="25" t="s">
        <v>1419</v>
      </c>
      <c r="AB102" s="25"/>
      <c r="AC102" s="25" t="s">
        <v>1420</v>
      </c>
      <c r="AD102" s="25"/>
      <c r="AE102" s="25" t="s">
        <v>243</v>
      </c>
      <c r="AF102" s="35" t="s">
        <v>1421</v>
      </c>
      <c r="AG102" s="27" t="str">
        <f t="shared" si="23"/>
        <v>doi.org</v>
      </c>
      <c r="AH102" s="27" t="str">
        <f t="shared" si="24"/>
        <v>Scholar</v>
      </c>
      <c r="AI102" s="28" t="s">
        <v>245</v>
      </c>
      <c r="AJ102" s="25" t="s">
        <v>185</v>
      </c>
      <c r="AK102" s="4" t="s">
        <v>1075</v>
      </c>
      <c r="AL102" s="25" t="s">
        <v>247</v>
      </c>
      <c r="AM102" s="4" t="s">
        <v>264</v>
      </c>
      <c r="AN102" s="25" t="s">
        <v>249</v>
      </c>
      <c r="AO102" s="4" t="s">
        <v>1422</v>
      </c>
      <c r="AP102" s="4" t="s">
        <v>1423</v>
      </c>
      <c r="AQ102" s="25" t="s">
        <v>235</v>
      </c>
      <c r="AR102" s="26" t="str">
        <f>IF($B102="","",IFERROR(INDEX(Paramètres!$Q$6:$Q$13,MATCH($G102,Paramètres!$P$6:$P$13,0)),""))</f>
        <v>Calcul de structures viscoélastiques</v>
      </c>
      <c r="AS102" s="26" t="str">
        <f>IF($B102="","",IFERROR(INDEX(Paramètres!$T$6:$T$11,MATCH($I102,Paramètres!$S$6:$S$11,0)),""))</f>
        <v>février 2027</v>
      </c>
      <c r="AT102" s="31">
        <f>IF($B102="","",IFERROR(INDEX(Paramètres!$C$27:$C$29,MATCH($H102,Paramètres!$B$27:$B$29,0)),0))</f>
        <v>1</v>
      </c>
      <c r="AU102" s="29"/>
      <c r="AV102" s="32"/>
      <c r="AW102" s="26" t="str">
        <f t="shared" si="25"/>
        <v>maina2004games.md</v>
      </c>
      <c r="AX102" s="26">
        <f>IF($B102="","",COUNTIF($I$2:I102,$I102))</f>
        <v>17</v>
      </c>
      <c r="AY102" s="26" t="str">
        <f t="shared" si="26"/>
        <v>5-17</v>
      </c>
      <c r="AZ102" s="26" t="s">
        <v>1424</v>
      </c>
      <c r="BA102" s="36">
        <f t="shared" ca="1" si="27"/>
        <v>40.008980000000001</v>
      </c>
      <c r="BB102" t="inlineStr">
        <is>
          <t>BIB-101_Maina-Matsui_2004_Elastic-analysis-software-GAMES.pdf</t>
        </is>
      </c>
    </row>
    <row r="103" spans="1:53" ht="45" hidden="1" customHeight="1" x14ac:dyDescent="0.25">
      <c r="A103" s="25" t="s">
        <v>1425</v>
      </c>
      <c r="B103" s="25" t="s">
        <v>1426</v>
      </c>
      <c r="C103" s="26" t="str">
        <f t="shared" si="21"/>
        <v>Canestrari &amp; Ingrassia (2020)</v>
      </c>
      <c r="D103" s="4" t="s">
        <v>1427</v>
      </c>
      <c r="E103" s="27" t="str">
        <f>IF(OR($B103="",$AF103=""),"",HYPERLINK(IF(AND(Paramètres!$C$13&lt;&gt;"",$AJ103="Éditeur (abonnement)"),Paramètres!$C$13&amp;$AF103,$AF103),"Ouvrir : "&amp;$AE103))</f>
        <v>Ouvrir : Texte intégral libre</v>
      </c>
      <c r="F103" s="28" t="s">
        <v>235</v>
      </c>
      <c r="G103" s="28">
        <v>6</v>
      </c>
      <c r="H103" s="25" t="s">
        <v>122</v>
      </c>
      <c r="I103" s="28">
        <v>6</v>
      </c>
      <c r="J103" s="29" t="s">
        <v>234</v>
      </c>
      <c r="K103" s="26" t="str">
        <f ca="1">IF($B103="","",IF($J103="Lu","Lu",IF($J103="Écarté","Écarté",IF($I103&lt;Paramètres!$C$8,"EN RETARD",IF($I103=Paramètres!$C$8,"Ce mois-ci",IF($I103=Paramètres!$C$8+1,"Mois prochain","À venir"))))))</f>
        <v>À venir</v>
      </c>
      <c r="L103" s="30" t="str">
        <f t="shared" si="22"/>
        <v>PDF libre à télécharger</v>
      </c>
      <c r="M103" s="31">
        <f ca="1">IF($B103="","",IF(OR($J103="Lu",$J103="Écarté"),0,IFERROR(INDEX(Paramètres!$C$17:$C$19,MATCH($H103,Paramètres!$B$17:$B$19,0)),0)+Paramètres!$C$20*(7-$I103)+IF($I103&lt;Paramètres!$C$8,Paramètres!$C$21,0)+IF($F103="Oui",Paramètres!$C$22,0)+IF($AL103&lt;&gt;"Vérifié",Paramètres!$C$23,0)+IF(AND($O103&lt;&gt;"Oui",OR($AJ103="PDF libre",$AJ103="PDF libre (dépôt)")),Paramètres!$C$24,0)))</f>
        <v>110</v>
      </c>
      <c r="N103" s="32"/>
      <c r="O103" s="33" t="str">
        <f>IF($BB103="","Non",HYPERLINK(DossierPDF&amp;$BB103,"Oui"))</f>
        <v>Non</v>
      </c>
      <c r="P103" s="33" t="s">
        <v>235</v>
      </c>
      <c r="Q103" s="33" t="s">
        <v>235</v>
      </c>
      <c r="R103" s="33"/>
      <c r="S103" s="34"/>
      <c r="T103" s="25" t="s">
        <v>236</v>
      </c>
      <c r="U103" s="26" t="str">
        <f>IF($B103="","",IFERROR(INDEX(Paramètres!$N$6:$N$13,MATCH($T103,Paramètres!$M$6:$M$13,0)),$T103))</f>
        <v>Article de revue</v>
      </c>
      <c r="V103" s="4" t="s">
        <v>1428</v>
      </c>
      <c r="W103" s="28">
        <v>2020</v>
      </c>
      <c r="X103" s="4" t="s">
        <v>1429</v>
      </c>
      <c r="Y103" s="25" t="s">
        <v>259</v>
      </c>
      <c r="Z103" s="25" t="s">
        <v>475</v>
      </c>
      <c r="AA103" s="25" t="s">
        <v>1430</v>
      </c>
      <c r="AB103" s="25"/>
      <c r="AC103" s="25" t="s">
        <v>1431</v>
      </c>
      <c r="AD103" s="25"/>
      <c r="AE103" s="25" t="s">
        <v>275</v>
      </c>
      <c r="AF103" s="35" t="s">
        <v>1432</v>
      </c>
      <c r="AG103" s="27" t="str">
        <f t="shared" si="23"/>
        <v>doi.org</v>
      </c>
      <c r="AH103" s="27" t="str">
        <f t="shared" si="24"/>
        <v>Scholar</v>
      </c>
      <c r="AI103" s="28" t="s">
        <v>277</v>
      </c>
      <c r="AJ103" s="25" t="s">
        <v>183</v>
      </c>
      <c r="AK103" s="4" t="s">
        <v>1433</v>
      </c>
      <c r="AL103" s="25" t="s">
        <v>247</v>
      </c>
      <c r="AM103" s="4" t="s">
        <v>1434</v>
      </c>
      <c r="AN103" s="25" t="s">
        <v>249</v>
      </c>
      <c r="AO103" s="4" t="s">
        <v>1435</v>
      </c>
      <c r="AP103" s="4" t="s">
        <v>1436</v>
      </c>
      <c r="AQ103" s="25" t="s">
        <v>235</v>
      </c>
      <c r="AR103" s="26" t="str">
        <f>IF($B103="","",IFERROR(INDEX(Paramètres!$Q$6:$Q$13,MATCH($G103,Paramètres!$P$6:$P$13,0)),""))</f>
        <v>Fatigue et endommagement</v>
      </c>
      <c r="AS103" s="26" t="str">
        <f>IF($B103="","",IFERROR(INDEX(Paramètres!$T$6:$T$11,MATCH($I103,Paramètres!$S$6:$S$11,0)),""))</f>
        <v>mars 2027</v>
      </c>
      <c r="AT103" s="31">
        <f>IF($B103="","",IFERROR(INDEX(Paramètres!$C$27:$C$29,MATCH($H103,Paramètres!$B$27:$B$29,0)),0))</f>
        <v>6</v>
      </c>
      <c r="AU103" s="29"/>
      <c r="AV103" s="32"/>
      <c r="AW103" s="26" t="str">
        <f t="shared" si="25"/>
        <v>canestrari2020review.md</v>
      </c>
      <c r="AX103" s="26">
        <f>IF($B103="","",COUNTIF($I$2:I103,$I103))</f>
        <v>1</v>
      </c>
      <c r="AY103" s="26" t="str">
        <f t="shared" si="26"/>
        <v>6-1</v>
      </c>
      <c r="AZ103" s="26" t="s">
        <v>1437</v>
      </c>
      <c r="BA103" s="36">
        <f t="shared" ca="1" si="27"/>
        <v>110.00897000000001</v>
      </c>
    </row>
    <row r="104" spans="1:53" ht="45" customHeight="1" x14ac:dyDescent="0.25">
      <c r="A104" s="25" t="s">
        <v>1438</v>
      </c>
      <c r="B104" s="25" t="s">
        <v>1439</v>
      </c>
      <c r="C104" s="26" t="str">
        <f t="shared" si="21"/>
        <v>Wang &amp; Al-Qadi (2010)</v>
      </c>
      <c r="D104" s="4" t="s">
        <v>1440</v>
      </c>
      <c r="E104" s="27" t="str">
        <f>IF(OR($B104="",$AF104=""),"",HYPERLINK(IF(AND(Paramètres!$C$13&lt;&gt;"",$AJ104="Éditeur (abonnement)"),Paramètres!$C$13&amp;$AF104,$AF104),"Ouvrir : "&amp;$AE104))</f>
        <v>Ouvrir : Page éditeur (DOI)</v>
      </c>
      <c r="F104" s="28" t="s">
        <v>233</v>
      </c>
      <c r="G104" s="28">
        <v>6</v>
      </c>
      <c r="H104" s="25" t="s">
        <v>122</v>
      </c>
      <c r="I104" s="28">
        <v>6</v>
      </c>
      <c r="J104" s="29" t="s">
        <v>234</v>
      </c>
      <c r="K104" s="26" t="str">
        <f ca="1">IF($B104="","",IF($J104="Lu","Lu",IF($J104="Écarté","Écarté",IF($I104&lt;Paramètres!$C$8,"EN RETARD",IF($I104=Paramètres!$C$8,"Ce mois-ci",IF($I104=Paramètres!$C$8+1,"Mois prochain","À venir"))))))</f>
        <v>À venir</v>
      </c>
      <c r="L104" s="30" t="str">
        <f t="shared" si="22"/>
        <v>À télécharger via l'accès ENTPE</v>
      </c>
      <c r="M104" s="31">
        <f ca="1">IF($B104="","",IF(OR($J104="Lu",$J104="Écarté"),0,IFERROR(INDEX(Paramètres!$C$17:$C$19,MATCH($H104,Paramètres!$B$17:$B$19,0)),0)+Paramètres!$C$20*(7-$I104)+IF($I104&lt;Paramètres!$C$8,Paramètres!$C$21,0)+IF($F104="Oui",Paramètres!$C$22,0)+IF($AL104&lt;&gt;"Vérifié",Paramètres!$C$23,0)+IF(AND($O104&lt;&gt;"Oui",OR($AJ104="PDF libre",$AJ104="PDF libre (dépôt)")),Paramètres!$C$24,0)))</f>
        <v>115</v>
      </c>
      <c r="N104" s="32"/>
      <c r="O104" s="33" t="str">
        <f>IF($BB104="","Non",HYPERLINK(DossierPDF&amp;$BB104,"Oui"))</f>
        <v>Non</v>
      </c>
      <c r="P104" s="33" t="s">
        <v>235</v>
      </c>
      <c r="Q104" s="33" t="s">
        <v>235</v>
      </c>
      <c r="R104" s="33"/>
      <c r="S104" s="34"/>
      <c r="T104" s="25" t="s">
        <v>236</v>
      </c>
      <c r="U104" s="26" t="str">
        <f>IF($B104="","",IFERROR(INDEX(Paramètres!$N$6:$N$13,MATCH($T104,Paramètres!$M$6:$M$13,0)),$T104))</f>
        <v>Article de revue</v>
      </c>
      <c r="V104" s="4" t="s">
        <v>1069</v>
      </c>
      <c r="W104" s="28">
        <v>2010</v>
      </c>
      <c r="X104" s="4" t="s">
        <v>1070</v>
      </c>
      <c r="Y104" s="25" t="s">
        <v>1441</v>
      </c>
      <c r="Z104" s="25"/>
      <c r="AA104" s="25" t="s">
        <v>1442</v>
      </c>
      <c r="AB104" s="25"/>
      <c r="AC104" s="25" t="s">
        <v>1443</v>
      </c>
      <c r="AD104" s="25"/>
      <c r="AE104" s="25" t="s">
        <v>243</v>
      </c>
      <c r="AF104" s="35" t="s">
        <v>1444</v>
      </c>
      <c r="AG104" s="27" t="str">
        <f t="shared" si="23"/>
        <v>doi.org</v>
      </c>
      <c r="AH104" s="27" t="str">
        <f t="shared" si="24"/>
        <v>Scholar</v>
      </c>
      <c r="AI104" s="28" t="s">
        <v>245</v>
      </c>
      <c r="AJ104" s="25" t="s">
        <v>185</v>
      </c>
      <c r="AK104" s="4" t="s">
        <v>1075</v>
      </c>
      <c r="AL104" s="25" t="s">
        <v>247</v>
      </c>
      <c r="AM104" s="4" t="s">
        <v>264</v>
      </c>
      <c r="AN104" s="25" t="s">
        <v>249</v>
      </c>
      <c r="AO104" s="4" t="s">
        <v>1445</v>
      </c>
      <c r="AP104" s="4" t="s">
        <v>1446</v>
      </c>
      <c r="AQ104" s="25" t="s">
        <v>235</v>
      </c>
      <c r="AR104" s="26" t="str">
        <f>IF($B104="","",IFERROR(INDEX(Paramètres!$Q$6:$Q$13,MATCH($G104,Paramètres!$P$6:$P$13,0)),""))</f>
        <v>Fatigue et endommagement</v>
      </c>
      <c r="AS104" s="26" t="str">
        <f>IF($B104="","",IFERROR(INDEX(Paramètres!$T$6:$T$11,MATCH($I104,Paramètres!$S$6:$S$11,0)),""))</f>
        <v>mars 2027</v>
      </c>
      <c r="AT104" s="31">
        <f>IF($B104="","",IFERROR(INDEX(Paramètres!$C$27:$C$29,MATCH($H104,Paramètres!$B$27:$B$29,0)),0))</f>
        <v>6</v>
      </c>
      <c r="AU104" s="29"/>
      <c r="AV104" s="32"/>
      <c r="AW104" s="26" t="str">
        <f t="shared" si="25"/>
        <v>wang2010nearsurface.md</v>
      </c>
      <c r="AX104" s="26">
        <f>IF($B104="","",COUNTIF($I$2:I104,$I104))</f>
        <v>2</v>
      </c>
      <c r="AY104" s="26" t="str">
        <f t="shared" si="26"/>
        <v>6-2</v>
      </c>
      <c r="AZ104" s="26" t="s">
        <v>1447</v>
      </c>
      <c r="BA104" s="36">
        <f t="shared" ca="1" si="27"/>
        <v>115.00896</v>
      </c>
    </row>
    <row r="105" spans="1:53" ht="45" customHeight="1" x14ac:dyDescent="0.25">
      <c r="A105" s="25" t="s">
        <v>1448</v>
      </c>
      <c r="B105" s="25" t="s">
        <v>1449</v>
      </c>
      <c r="C105" s="26" t="str">
        <f t="shared" si="21"/>
        <v>Di Benedetto et al. (2004)</v>
      </c>
      <c r="D105" s="4" t="s">
        <v>1450</v>
      </c>
      <c r="E105" s="27" t="str">
        <f>IF(OR($B105="",$AF105=""),"",HYPERLINK(IF(AND(Paramètres!$C$13&lt;&gt;"",$AJ105="Éditeur (abonnement)"),Paramètres!$C$13&amp;$AF105,$AF105),"Ouvrir : "&amp;$AE105))</f>
        <v>Ouvrir : Page éditeur (DOI)</v>
      </c>
      <c r="F105" s="28" t="s">
        <v>235</v>
      </c>
      <c r="G105" s="28">
        <v>6</v>
      </c>
      <c r="H105" s="25" t="s">
        <v>338</v>
      </c>
      <c r="I105" s="28">
        <v>6</v>
      </c>
      <c r="J105" s="29" t="s">
        <v>234</v>
      </c>
      <c r="K105" s="26" t="str">
        <f ca="1">IF($B105="","",IF($J105="Lu","Lu",IF($J105="Écarté","Écarté",IF($I105&lt;Paramètres!$C$8,"EN RETARD",IF($I105=Paramètres!$C$8,"Ce mois-ci",IF($I105=Paramètres!$C$8+1,"Mois prochain","À venir"))))))</f>
        <v>À venir</v>
      </c>
      <c r="L105" s="30" t="str">
        <f t="shared" si="22"/>
        <v>À télécharger via l'accès ENTPE</v>
      </c>
      <c r="M105" s="31">
        <f ca="1">IF($B105="","",IF(OR($J105="Lu",$J105="Écarté"),0,IFERROR(INDEX(Paramètres!$C$17:$C$19,MATCH($H105,Paramètres!$B$17:$B$19,0)),0)+Paramètres!$C$20*(7-$I105)+IF($I105&lt;Paramètres!$C$8,Paramètres!$C$21,0)+IF($F105="Oui",Paramètres!$C$22,0)+IF($AL105&lt;&gt;"Vérifié",Paramètres!$C$23,0)+IF(AND($O105&lt;&gt;"Oui",OR($AJ105="PDF libre",$AJ105="PDF libre (dépôt)")),Paramètres!$C$24,0)))</f>
        <v>65</v>
      </c>
      <c r="N105" s="32"/>
      <c r="O105" s="33" t="str">
        <f>IF($BB105="","Non",HYPERLINK(DossierPDF&amp;$BB105,"Oui"))</f>
        <v>Non</v>
      </c>
      <c r="P105" s="33" t="s">
        <v>235</v>
      </c>
      <c r="Q105" s="33" t="s">
        <v>235</v>
      </c>
      <c r="R105" s="33"/>
      <c r="S105" s="34"/>
      <c r="T105" s="25" t="s">
        <v>236</v>
      </c>
      <c r="U105" s="26" t="str">
        <f>IF($B105="","",IFERROR(INDEX(Paramètres!$N$6:$N$13,MATCH($T105,Paramètres!$M$6:$M$13,0)),$T105))</f>
        <v>Article de revue</v>
      </c>
      <c r="V105" s="4" t="s">
        <v>1451</v>
      </c>
      <c r="W105" s="28">
        <v>2004</v>
      </c>
      <c r="X105" s="4" t="s">
        <v>801</v>
      </c>
      <c r="Y105" s="25" t="s">
        <v>1452</v>
      </c>
      <c r="Z105" s="25" t="s">
        <v>827</v>
      </c>
      <c r="AA105" s="25" t="s">
        <v>1453</v>
      </c>
      <c r="AB105" s="25"/>
      <c r="AC105" s="25" t="s">
        <v>1454</v>
      </c>
      <c r="AD105" s="25"/>
      <c r="AE105" s="25" t="s">
        <v>243</v>
      </c>
      <c r="AF105" s="35" t="s">
        <v>1455</v>
      </c>
      <c r="AG105" s="27" t="str">
        <f t="shared" si="23"/>
        <v>doi.org</v>
      </c>
      <c r="AH105" s="27" t="str">
        <f t="shared" si="24"/>
        <v>Scholar</v>
      </c>
      <c r="AI105" s="28" t="s">
        <v>245</v>
      </c>
      <c r="AJ105" s="25" t="s">
        <v>185</v>
      </c>
      <c r="AK105" s="4" t="s">
        <v>831</v>
      </c>
      <c r="AL105" s="25" t="s">
        <v>247</v>
      </c>
      <c r="AM105" s="4" t="s">
        <v>264</v>
      </c>
      <c r="AN105" s="25" t="s">
        <v>249</v>
      </c>
      <c r="AO105" s="4" t="s">
        <v>1456</v>
      </c>
      <c r="AP105" s="4" t="s">
        <v>1457</v>
      </c>
      <c r="AQ105" s="25" t="s">
        <v>235</v>
      </c>
      <c r="AR105" s="26" t="str">
        <f>IF($B105="","",IFERROR(INDEX(Paramètres!$Q$6:$Q$13,MATCH($G105,Paramètres!$P$6:$P$13,0)),""))</f>
        <v>Fatigue et endommagement</v>
      </c>
      <c r="AS105" s="26" t="str">
        <f>IF($B105="","",IFERROR(INDEX(Paramètres!$T$6:$T$11,MATCH($I105,Paramètres!$S$6:$S$11,0)),""))</f>
        <v>mars 2027</v>
      </c>
      <c r="AT105" s="31">
        <f>IF($B105="","",IFERROR(INDEX(Paramètres!$C$27:$C$29,MATCH($H105,Paramètres!$B$27:$B$29,0)),0))</f>
        <v>3</v>
      </c>
      <c r="AU105" s="29"/>
      <c r="AV105" s="32"/>
      <c r="AW105" s="26" t="str">
        <f t="shared" si="25"/>
        <v>dibenedetto2004fatigue.md</v>
      </c>
      <c r="AX105" s="26">
        <f>IF($B105="","",COUNTIF($I$2:I105,$I105))</f>
        <v>3</v>
      </c>
      <c r="AY105" s="26" t="str">
        <f t="shared" si="26"/>
        <v>6-3</v>
      </c>
      <c r="AZ105" s="26" t="s">
        <v>1458</v>
      </c>
      <c r="BA105" s="36">
        <f t="shared" ca="1" si="27"/>
        <v>65.008949999999999</v>
      </c>
    </row>
    <row r="106" spans="1:53" ht="45" customHeight="1" x14ac:dyDescent="0.25">
      <c r="A106" s="25" t="s">
        <v>1459</v>
      </c>
      <c r="B106" s="25" t="s">
        <v>1460</v>
      </c>
      <c r="C106" s="26" t="str">
        <f t="shared" si="21"/>
        <v>Kim et al. (2009)</v>
      </c>
      <c r="D106" s="4" t="s">
        <v>1461</v>
      </c>
      <c r="E106" s="27" t="str">
        <f>IF(OR($B106="",$AF106=""),"",HYPERLINK(IF(AND(Paramètres!$C$13&lt;&gt;"",$AJ106="Éditeur (abonnement)"),Paramètres!$C$13&amp;$AF106,$AF106),"Ouvrir : "&amp;$AE106))</f>
        <v>Ouvrir : Page éditeur (DOI)</v>
      </c>
      <c r="F106" s="28" t="s">
        <v>235</v>
      </c>
      <c r="G106" s="28">
        <v>6</v>
      </c>
      <c r="H106" s="25" t="s">
        <v>338</v>
      </c>
      <c r="I106" s="28">
        <v>6</v>
      </c>
      <c r="J106" s="29" t="s">
        <v>234</v>
      </c>
      <c r="K106" s="26" t="str">
        <f ca="1">IF($B106="","",IF($J106="Lu","Lu",IF($J106="Écarté","Écarté",IF($I106&lt;Paramètres!$C$8,"EN RETARD",IF($I106=Paramètres!$C$8,"Ce mois-ci",IF($I106=Paramètres!$C$8+1,"Mois prochain","À venir"))))))</f>
        <v>À venir</v>
      </c>
      <c r="L106" s="30" t="str">
        <f t="shared" si="22"/>
        <v>À télécharger via l'accès ENTPE</v>
      </c>
      <c r="M106" s="31">
        <f ca="1">IF($B106="","",IF(OR($J106="Lu",$J106="Écarté"),0,IFERROR(INDEX(Paramètres!$C$17:$C$19,MATCH($H106,Paramètres!$B$17:$B$19,0)),0)+Paramètres!$C$20*(7-$I106)+IF($I106&lt;Paramètres!$C$8,Paramètres!$C$21,0)+IF($F106="Oui",Paramètres!$C$22,0)+IF($AL106&lt;&gt;"Vérifié",Paramètres!$C$23,0)+IF(AND($O106&lt;&gt;"Oui",OR($AJ106="PDF libre",$AJ106="PDF libre (dépôt)")),Paramètres!$C$24,0)))</f>
        <v>65</v>
      </c>
      <c r="N106" s="32"/>
      <c r="O106" s="33" t="str">
        <f>IF($BB106="","Non",HYPERLINK(DossierPDF&amp;$BB106,"Oui"))</f>
        <v>Non</v>
      </c>
      <c r="P106" s="33" t="s">
        <v>235</v>
      </c>
      <c r="Q106" s="33" t="s">
        <v>235</v>
      </c>
      <c r="R106" s="33"/>
      <c r="S106" s="34"/>
      <c r="T106" s="25" t="s">
        <v>236</v>
      </c>
      <c r="U106" s="26" t="str">
        <f>IF($B106="","",IFERROR(INDEX(Paramètres!$N$6:$N$13,MATCH($T106,Paramètres!$M$6:$M$13,0)),$T106))</f>
        <v>Article de revue</v>
      </c>
      <c r="V106" s="4" t="s">
        <v>1462</v>
      </c>
      <c r="W106" s="28">
        <v>2009</v>
      </c>
      <c r="X106" s="4" t="s">
        <v>895</v>
      </c>
      <c r="Y106" s="25" t="s">
        <v>1463</v>
      </c>
      <c r="Z106" s="25" t="s">
        <v>259</v>
      </c>
      <c r="AA106" s="25" t="s">
        <v>1464</v>
      </c>
      <c r="AB106" s="25"/>
      <c r="AC106" s="25" t="s">
        <v>1465</v>
      </c>
      <c r="AD106" s="25"/>
      <c r="AE106" s="25" t="s">
        <v>243</v>
      </c>
      <c r="AF106" s="35" t="s">
        <v>1466</v>
      </c>
      <c r="AG106" s="27" t="str">
        <f t="shared" si="23"/>
        <v>doi.org</v>
      </c>
      <c r="AH106" s="27" t="str">
        <f t="shared" si="24"/>
        <v>Scholar</v>
      </c>
      <c r="AI106" s="28" t="s">
        <v>245</v>
      </c>
      <c r="AJ106" s="25" t="s">
        <v>185</v>
      </c>
      <c r="AK106" s="4" t="s">
        <v>677</v>
      </c>
      <c r="AL106" s="25" t="s">
        <v>247</v>
      </c>
      <c r="AM106" s="4" t="s">
        <v>264</v>
      </c>
      <c r="AN106" s="25" t="s">
        <v>249</v>
      </c>
      <c r="AO106" s="4" t="s">
        <v>1467</v>
      </c>
      <c r="AP106" s="4" t="s">
        <v>1468</v>
      </c>
      <c r="AQ106" s="25" t="s">
        <v>235</v>
      </c>
      <c r="AR106" s="26" t="str">
        <f>IF($B106="","",IFERROR(INDEX(Paramètres!$Q$6:$Q$13,MATCH($G106,Paramètres!$P$6:$P$13,0)),""))</f>
        <v>Fatigue et endommagement</v>
      </c>
      <c r="AS106" s="26" t="str">
        <f>IF($B106="","",IFERROR(INDEX(Paramètres!$T$6:$T$11,MATCH($I106,Paramètres!$S$6:$S$11,0)),""))</f>
        <v>mars 2027</v>
      </c>
      <c r="AT106" s="31">
        <f>IF($B106="","",IFERROR(INDEX(Paramètres!$C$27:$C$29,MATCH($H106,Paramètres!$B$27:$B$29,0)),0))</f>
        <v>3</v>
      </c>
      <c r="AU106" s="29"/>
      <c r="AV106" s="32"/>
      <c r="AW106" s="26" t="str">
        <f t="shared" si="25"/>
        <v>kim2009topdown.md</v>
      </c>
      <c r="AX106" s="26">
        <f>IF($B106="","",COUNTIF($I$2:I106,$I106))</f>
        <v>4</v>
      </c>
      <c r="AY106" s="26" t="str">
        <f t="shared" si="26"/>
        <v>6-4</v>
      </c>
      <c r="AZ106" s="26" t="s">
        <v>1469</v>
      </c>
      <c r="BA106" s="36">
        <f t="shared" ca="1" si="27"/>
        <v>65.008939999999996</v>
      </c>
    </row>
    <row r="107" spans="1:53" ht="45" customHeight="1" x14ac:dyDescent="0.25">
      <c r="A107" s="25" t="s">
        <v>1470</v>
      </c>
      <c r="B107" s="25" t="s">
        <v>1471</v>
      </c>
      <c r="C107" s="26" t="str">
        <f t="shared" si="21"/>
        <v>Myers et al. (2001)</v>
      </c>
      <c r="D107" s="4" t="s">
        <v>1472</v>
      </c>
      <c r="E107" s="27" t="str">
        <f>IF(OR($B107="",$AF107=""),"",HYPERLINK(IF(AND(Paramètres!$C$13&lt;&gt;"",$AJ107="Éditeur (abonnement)"),Paramètres!$C$13&amp;$AF107,$AF107),"Ouvrir : "&amp;$AE107))</f>
        <v>Ouvrir : Page éditeur (DOI)</v>
      </c>
      <c r="F107" s="28" t="s">
        <v>235</v>
      </c>
      <c r="G107" s="28">
        <v>6</v>
      </c>
      <c r="H107" s="25" t="s">
        <v>338</v>
      </c>
      <c r="I107" s="28">
        <v>6</v>
      </c>
      <c r="J107" s="29" t="s">
        <v>234</v>
      </c>
      <c r="K107" s="26" t="str">
        <f ca="1">IF($B107="","",IF($J107="Lu","Lu",IF($J107="Écarté","Écarté",IF($I107&lt;Paramètres!$C$8,"EN RETARD",IF($I107=Paramètres!$C$8,"Ce mois-ci",IF($I107=Paramètres!$C$8+1,"Mois prochain","À venir"))))))</f>
        <v>À venir</v>
      </c>
      <c r="L107" s="30" t="str">
        <f t="shared" si="22"/>
        <v>À télécharger via l'accès ENTPE</v>
      </c>
      <c r="M107" s="31">
        <f ca="1">IF($B107="","",IF(OR($J107="Lu",$J107="Écarté"),0,IFERROR(INDEX(Paramètres!$C$17:$C$19,MATCH($H107,Paramètres!$B$17:$B$19,0)),0)+Paramètres!$C$20*(7-$I107)+IF($I107&lt;Paramètres!$C$8,Paramètres!$C$21,0)+IF($F107="Oui",Paramètres!$C$22,0)+IF($AL107&lt;&gt;"Vérifié",Paramètres!$C$23,0)+IF(AND($O107&lt;&gt;"Oui",OR($AJ107="PDF libre",$AJ107="PDF libre (dépôt)")),Paramètres!$C$24,0)))</f>
        <v>65</v>
      </c>
      <c r="N107" s="32"/>
      <c r="O107" s="33" t="str">
        <f>IF($BB107="","Non",HYPERLINK(DossierPDF&amp;$BB107,"Oui"))</f>
        <v>Non</v>
      </c>
      <c r="P107" s="33" t="s">
        <v>235</v>
      </c>
      <c r="Q107" s="33" t="s">
        <v>235</v>
      </c>
      <c r="R107" s="33"/>
      <c r="S107" s="34"/>
      <c r="T107" s="25" t="s">
        <v>236</v>
      </c>
      <c r="U107" s="26" t="str">
        <f>IF($B107="","",IFERROR(INDEX(Paramètres!$N$6:$N$13,MATCH($T107,Paramètres!$M$6:$M$13,0)),$T107))</f>
        <v>Article de revue</v>
      </c>
      <c r="V107" s="4" t="s">
        <v>1473</v>
      </c>
      <c r="W107" s="28">
        <v>2001</v>
      </c>
      <c r="X107" s="4" t="s">
        <v>1070</v>
      </c>
      <c r="Y107" s="25" t="s">
        <v>1474</v>
      </c>
      <c r="Z107" s="25"/>
      <c r="AA107" s="25" t="s">
        <v>1475</v>
      </c>
      <c r="AB107" s="25"/>
      <c r="AC107" s="25" t="s">
        <v>1476</v>
      </c>
      <c r="AD107" s="25"/>
      <c r="AE107" s="25" t="s">
        <v>243</v>
      </c>
      <c r="AF107" s="35" t="s">
        <v>1477</v>
      </c>
      <c r="AG107" s="27" t="str">
        <f t="shared" si="23"/>
        <v>doi.org</v>
      </c>
      <c r="AH107" s="27" t="str">
        <f t="shared" si="24"/>
        <v>Scholar</v>
      </c>
      <c r="AI107" s="28" t="s">
        <v>245</v>
      </c>
      <c r="AJ107" s="25" t="s">
        <v>185</v>
      </c>
      <c r="AK107" s="4" t="s">
        <v>1075</v>
      </c>
      <c r="AL107" s="25" t="s">
        <v>247</v>
      </c>
      <c r="AM107" s="4" t="s">
        <v>264</v>
      </c>
      <c r="AN107" s="25" t="s">
        <v>249</v>
      </c>
      <c r="AO107" s="4" t="s">
        <v>1478</v>
      </c>
      <c r="AP107" s="4" t="s">
        <v>1479</v>
      </c>
      <c r="AQ107" s="25" t="s">
        <v>235</v>
      </c>
      <c r="AR107" s="26" t="str">
        <f>IF($B107="","",IFERROR(INDEX(Paramètres!$Q$6:$Q$13,MATCH($G107,Paramètres!$P$6:$P$13,0)),""))</f>
        <v>Fatigue et endommagement</v>
      </c>
      <c r="AS107" s="26" t="str">
        <f>IF($B107="","",IFERROR(INDEX(Paramètres!$T$6:$T$11,MATCH($I107,Paramètres!$S$6:$S$11,0)),""))</f>
        <v>mars 2027</v>
      </c>
      <c r="AT107" s="31">
        <f>IF($B107="","",IFERROR(INDEX(Paramètres!$C$27:$C$29,MATCH($H107,Paramètres!$B$27:$B$29,0)),0))</f>
        <v>3</v>
      </c>
      <c r="AU107" s="29"/>
      <c r="AV107" s="32"/>
      <c r="AW107" s="26" t="str">
        <f t="shared" si="25"/>
        <v>myers2001propagation.md</v>
      </c>
      <c r="AX107" s="26">
        <f>IF($B107="","",COUNTIF($I$2:I107,$I107))</f>
        <v>5</v>
      </c>
      <c r="AY107" s="26" t="str">
        <f t="shared" si="26"/>
        <v>6-5</v>
      </c>
      <c r="AZ107" s="26" t="s">
        <v>1480</v>
      </c>
      <c r="BA107" s="36">
        <f t="shared" ca="1" si="27"/>
        <v>65.008930000000007</v>
      </c>
    </row>
    <row r="108" spans="1:53" ht="45" hidden="1" customHeight="1" x14ac:dyDescent="0.25">
      <c r="A108" s="25" t="s">
        <v>1481</v>
      </c>
      <c r="B108" s="25" t="s">
        <v>1482</v>
      </c>
      <c r="C108" s="26" t="str">
        <f t="shared" si="21"/>
        <v>Oubahdou et al. (2021)</v>
      </c>
      <c r="D108" s="4" t="s">
        <v>1483</v>
      </c>
      <c r="E108" s="27" t="str">
        <f>IF(OR($B108="",$AF108=""),"",HYPERLINK(IF(AND(Paramètres!$C$13&lt;&gt;"",$AJ108="Éditeur (abonnement)"),Paramètres!$C$13&amp;$AF108,$AF108),"Ouvrir : "&amp;$AE108))</f>
        <v>Ouvrir : Texte intégral (dépôt)</v>
      </c>
      <c r="F108" s="28" t="s">
        <v>233</v>
      </c>
      <c r="G108" s="28">
        <v>6</v>
      </c>
      <c r="H108" s="25" t="s">
        <v>338</v>
      </c>
      <c r="I108" s="28">
        <v>6</v>
      </c>
      <c r="J108" s="29" t="s">
        <v>234</v>
      </c>
      <c r="K108" s="26" t="str">
        <f ca="1">IF($B108="","",IF($J108="Lu","Lu",IF($J108="Écarté","Écarté",IF($I108&lt;Paramètres!$C$8,"EN RETARD",IF($I108=Paramètres!$C$8,"Ce mois-ci",IF($I108=Paramètres!$C$8+1,"Mois prochain","À venir"))))))</f>
        <v>À venir</v>
      </c>
      <c r="L108" s="30" t="str">
        <f t="shared" si="22"/>
        <v>PDF libre à télécharger</v>
      </c>
      <c r="M108" s="31">
        <f ca="1">IF($B108="","",IF(OR($J108="Lu",$J108="Écarté"),0,IFERROR(INDEX(Paramètres!$C$17:$C$19,MATCH($H108,Paramètres!$B$17:$B$19,0)),0)+Paramètres!$C$20*(7-$I108)+IF($I108&lt;Paramètres!$C$8,Paramètres!$C$21,0)+IF($F108="Oui",Paramètres!$C$22,0)+IF($AL108&lt;&gt;"Vérifié",Paramètres!$C$23,0)+IF(AND($O108&lt;&gt;"Oui",OR($AJ108="PDF libre",$AJ108="PDF libre (dépôt)")),Paramètres!$C$24,0)))</f>
        <v>80</v>
      </c>
      <c r="N108" s="32"/>
      <c r="O108" s="33" t="str">
        <f>IF($BB108="","Non",HYPERLINK(DossierPDF&amp;$BB108,"Oui"))</f>
        <v>Non</v>
      </c>
      <c r="P108" s="33" t="s">
        <v>235</v>
      </c>
      <c r="Q108" s="33" t="s">
        <v>235</v>
      </c>
      <c r="R108" s="33"/>
      <c r="S108" s="34"/>
      <c r="T108" s="25" t="s">
        <v>236</v>
      </c>
      <c r="U108" s="26" t="str">
        <f>IF($B108="","",IFERROR(INDEX(Paramètres!$N$6:$N$13,MATCH($T108,Paramètres!$M$6:$M$13,0)),$T108))</f>
        <v>Article de revue</v>
      </c>
      <c r="V108" s="4" t="s">
        <v>1484</v>
      </c>
      <c r="W108" s="28">
        <v>2021</v>
      </c>
      <c r="X108" s="4" t="s">
        <v>419</v>
      </c>
      <c r="Y108" s="25" t="s">
        <v>1485</v>
      </c>
      <c r="Z108" s="25"/>
      <c r="AA108" s="25" t="s">
        <v>1486</v>
      </c>
      <c r="AB108" s="25"/>
      <c r="AC108" s="25" t="s">
        <v>1487</v>
      </c>
      <c r="AD108" s="25"/>
      <c r="AE108" s="25" t="s">
        <v>355</v>
      </c>
      <c r="AF108" s="35" t="s">
        <v>1488</v>
      </c>
      <c r="AG108" s="27" t="str">
        <f t="shared" si="23"/>
        <v>doi.org</v>
      </c>
      <c r="AH108" s="27" t="str">
        <f t="shared" si="24"/>
        <v>Scholar</v>
      </c>
      <c r="AI108" s="28" t="s">
        <v>277</v>
      </c>
      <c r="AJ108" s="25" t="s">
        <v>184</v>
      </c>
      <c r="AK108" s="4" t="s">
        <v>1489</v>
      </c>
      <c r="AL108" s="25" t="s">
        <v>247</v>
      </c>
      <c r="AM108" s="4" t="s">
        <v>264</v>
      </c>
      <c r="AN108" s="25" t="s">
        <v>249</v>
      </c>
      <c r="AO108" s="4" t="s">
        <v>1490</v>
      </c>
      <c r="AP108" s="4" t="s">
        <v>1491</v>
      </c>
      <c r="AQ108" s="25" t="s">
        <v>235</v>
      </c>
      <c r="AR108" s="26" t="str">
        <f>IF($B108="","",IFERROR(INDEX(Paramètres!$Q$6:$Q$13,MATCH($G108,Paramètres!$P$6:$P$13,0)),""))</f>
        <v>Fatigue et endommagement</v>
      </c>
      <c r="AS108" s="26" t="str">
        <f>IF($B108="","",IFERROR(INDEX(Paramètres!$T$6:$T$11,MATCH($I108,Paramètres!$S$6:$S$11,0)),""))</f>
        <v>mars 2027</v>
      </c>
      <c r="AT108" s="31">
        <f>IF($B108="","",IFERROR(INDEX(Paramètres!$C$27:$C$29,MATCH($H108,Paramètres!$B$27:$B$29,0)),0))</f>
        <v>3</v>
      </c>
      <c r="AU108" s="29"/>
      <c r="AV108" s="32"/>
      <c r="AW108" s="26" t="str">
        <f t="shared" si="25"/>
        <v>oubahdou2021bend.md</v>
      </c>
      <c r="AX108" s="26">
        <f>IF($B108="","",COUNTIF($I$2:I108,$I108))</f>
        <v>6</v>
      </c>
      <c r="AY108" s="26" t="str">
        <f t="shared" si="26"/>
        <v>6-6</v>
      </c>
      <c r="AZ108" s="26" t="s">
        <v>1492</v>
      </c>
      <c r="BA108" s="36">
        <f t="shared" ca="1" si="27"/>
        <v>80.008920000000003</v>
      </c>
    </row>
    <row r="109" spans="1:53" ht="45" hidden="1" customHeight="1" x14ac:dyDescent="0.25">
      <c r="A109" s="25" t="s">
        <v>1493</v>
      </c>
      <c r="B109" s="25" t="s">
        <v>1494</v>
      </c>
      <c r="C109" s="26" t="str">
        <f t="shared" si="21"/>
        <v>Roque et al. (2010)</v>
      </c>
      <c r="D109" s="4" t="s">
        <v>1495</v>
      </c>
      <c r="E109" s="27" t="str">
        <f>IF(OR($B109="",$AF109=""),"",HYPERLINK(IF(AND(Paramètres!$C$13&lt;&gt;"",$AJ109="Éditeur (abonnement)"),Paramètres!$C$13&amp;$AF109,$AF109),"Ouvrir : "&amp;$AE109))</f>
        <v>Ouvrir : Texte intégral libre</v>
      </c>
      <c r="F109" s="28" t="s">
        <v>235</v>
      </c>
      <c r="G109" s="28">
        <v>6</v>
      </c>
      <c r="H109" s="25" t="s">
        <v>338</v>
      </c>
      <c r="I109" s="28">
        <v>6</v>
      </c>
      <c r="J109" s="29" t="s">
        <v>234</v>
      </c>
      <c r="K109" s="26" t="str">
        <f ca="1">IF($B109="","",IF($J109="Lu","Lu",IF($J109="Écarté","Écarté",IF($I109&lt;Paramètres!$C$8,"EN RETARD",IF($I109=Paramètres!$C$8,"Ce mois-ci",IF($I109=Paramètres!$C$8+1,"Mois prochain","À venir"))))))</f>
        <v>À venir</v>
      </c>
      <c r="L109" s="30" t="str">
        <f t="shared" si="22"/>
        <v>PDF libre à télécharger</v>
      </c>
      <c r="M109" s="31">
        <f ca="1">IF($B109="","",IF(OR($J109="Lu",$J109="Écarté"),0,IFERROR(INDEX(Paramètres!$C$17:$C$19,MATCH($H109,Paramètres!$B$17:$B$19,0)),0)+Paramètres!$C$20*(7-$I109)+IF($I109&lt;Paramètres!$C$8,Paramètres!$C$21,0)+IF($F109="Oui",Paramètres!$C$22,0)+IF($AL109&lt;&gt;"Vérifié",Paramètres!$C$23,0)+IF(AND($O109&lt;&gt;"Oui",OR($AJ109="PDF libre",$AJ109="PDF libre (dépôt)")),Paramètres!$C$24,0)))</f>
        <v>70</v>
      </c>
      <c r="N109" s="32"/>
      <c r="O109" s="33" t="str">
        <f>IF($BB109="","Non",HYPERLINK(DossierPDF&amp;$BB109,"Oui"))</f>
        <v>Non</v>
      </c>
      <c r="P109" s="33" t="s">
        <v>235</v>
      </c>
      <c r="Q109" s="33" t="s">
        <v>235</v>
      </c>
      <c r="R109" s="33"/>
      <c r="S109" s="34"/>
      <c r="T109" s="25" t="s">
        <v>271</v>
      </c>
      <c r="U109" s="26" t="str">
        <f>IF($B109="","",IFERROR(INDEX(Paramètres!$N$6:$N$13,MATCH($T109,Paramètres!$M$6:$M$13,0)),$T109))</f>
        <v>Rapport</v>
      </c>
      <c r="V109" s="4" t="s">
        <v>1496</v>
      </c>
      <c r="W109" s="28">
        <v>2010</v>
      </c>
      <c r="X109" s="4"/>
      <c r="Y109" s="25"/>
      <c r="Z109" s="25"/>
      <c r="AA109" s="25"/>
      <c r="AB109" s="25" t="s">
        <v>1497</v>
      </c>
      <c r="AC109" s="25"/>
      <c r="AD109" s="25" t="s">
        <v>1498</v>
      </c>
      <c r="AE109" s="25" t="s">
        <v>275</v>
      </c>
      <c r="AF109" s="35" t="s">
        <v>1499</v>
      </c>
      <c r="AG109" s="27" t="str">
        <f t="shared" si="23"/>
        <v/>
      </c>
      <c r="AH109" s="27" t="str">
        <f t="shared" si="24"/>
        <v>Scholar</v>
      </c>
      <c r="AI109" s="28" t="s">
        <v>277</v>
      </c>
      <c r="AJ109" s="25" t="s">
        <v>183</v>
      </c>
      <c r="AK109" s="4" t="s">
        <v>1500</v>
      </c>
      <c r="AL109" s="25" t="s">
        <v>247</v>
      </c>
      <c r="AM109" s="4" t="s">
        <v>1501</v>
      </c>
      <c r="AN109" s="25" t="s">
        <v>249</v>
      </c>
      <c r="AO109" s="4" t="s">
        <v>1502</v>
      </c>
      <c r="AP109" s="4" t="s">
        <v>1503</v>
      </c>
      <c r="AQ109" s="25" t="s">
        <v>233</v>
      </c>
      <c r="AR109" s="26" t="str">
        <f>IF($B109="","",IFERROR(INDEX(Paramètres!$Q$6:$Q$13,MATCH($G109,Paramètres!$P$6:$P$13,0)),""))</f>
        <v>Fatigue et endommagement</v>
      </c>
      <c r="AS109" s="26" t="str">
        <f>IF($B109="","",IFERROR(INDEX(Paramètres!$T$6:$T$11,MATCH($I109,Paramètres!$S$6:$S$11,0)),""))</f>
        <v>mars 2027</v>
      </c>
      <c r="AT109" s="31">
        <f>IF($B109="","",IFERROR(INDEX(Paramètres!$C$27:$C$29,MATCH($H109,Paramètres!$B$27:$B$29,0)),0))</f>
        <v>3</v>
      </c>
      <c r="AU109" s="29"/>
      <c r="AV109" s="32"/>
      <c r="AW109" s="26" t="str">
        <f t="shared" si="25"/>
        <v>nchrp2010topdown.md</v>
      </c>
      <c r="AX109" s="26">
        <f>IF($B109="","",COUNTIF($I$2:I109,$I109))</f>
        <v>7</v>
      </c>
      <c r="AY109" s="26" t="str">
        <f t="shared" si="26"/>
        <v>6-7</v>
      </c>
      <c r="AZ109" s="26" t="s">
        <v>1504</v>
      </c>
      <c r="BA109" s="36">
        <f t="shared" ca="1" si="27"/>
        <v>70.00891</v>
      </c>
    </row>
    <row r="110" spans="1:53" ht="45" customHeight="1" x14ac:dyDescent="0.25">
      <c r="A110" s="25" t="s">
        <v>1505</v>
      </c>
      <c r="B110" s="25" t="s">
        <v>1506</v>
      </c>
      <c r="C110" s="26" t="str">
        <f t="shared" si="21"/>
        <v>Weissman (1999)</v>
      </c>
      <c r="D110" s="4" t="s">
        <v>1507</v>
      </c>
      <c r="E110" s="27" t="str">
        <f>IF(OR($B110="",$AF110=""),"",HYPERLINK(IF(AND(Paramètres!$C$13&lt;&gt;"",$AJ110="Éditeur (abonnement)"),Paramètres!$C$13&amp;$AF110,$AF110),"Ouvrir : "&amp;$AE110))</f>
        <v>Ouvrir : Page éditeur (DOI)</v>
      </c>
      <c r="F110" s="28" t="s">
        <v>235</v>
      </c>
      <c r="G110" s="28">
        <v>6</v>
      </c>
      <c r="H110" s="25" t="s">
        <v>338</v>
      </c>
      <c r="I110" s="28">
        <v>6</v>
      </c>
      <c r="J110" s="29" t="s">
        <v>234</v>
      </c>
      <c r="K110" s="26" t="str">
        <f ca="1">IF($B110="","",IF($J110="Lu","Lu",IF($J110="Écarté","Écarté",IF($I110&lt;Paramètres!$C$8,"EN RETARD",IF($I110=Paramètres!$C$8,"Ce mois-ci",IF($I110=Paramètres!$C$8+1,"Mois prochain","À venir"))))))</f>
        <v>À venir</v>
      </c>
      <c r="L110" s="30" t="str">
        <f t="shared" si="22"/>
        <v>À télécharger via l'accès ENTPE</v>
      </c>
      <c r="M110" s="31">
        <f ca="1">IF($B110="","",IF(OR($J110="Lu",$J110="Écarté"),0,IFERROR(INDEX(Paramètres!$C$17:$C$19,MATCH($H110,Paramètres!$B$17:$B$19,0)),0)+Paramètres!$C$20*(7-$I110)+IF($I110&lt;Paramètres!$C$8,Paramètres!$C$21,0)+IF($F110="Oui",Paramètres!$C$22,0)+IF($AL110&lt;&gt;"Vérifié",Paramètres!$C$23,0)+IF(AND($O110&lt;&gt;"Oui",OR($AJ110="PDF libre",$AJ110="PDF libre (dépôt)")),Paramètres!$C$24,0)))</f>
        <v>65</v>
      </c>
      <c r="N110" s="32"/>
      <c r="O110" s="33" t="str">
        <f>IF($BB110="","Non",HYPERLINK(DossierPDF&amp;$BB110,"Oui"))</f>
        <v>Non</v>
      </c>
      <c r="P110" s="33" t="s">
        <v>235</v>
      </c>
      <c r="Q110" s="33" t="s">
        <v>235</v>
      </c>
      <c r="R110" s="33"/>
      <c r="S110" s="34"/>
      <c r="T110" s="25" t="s">
        <v>236</v>
      </c>
      <c r="U110" s="26" t="str">
        <f>IF($B110="","",IFERROR(INDEX(Paramètres!$N$6:$N$13,MATCH($T110,Paramètres!$M$6:$M$13,0)),$T110))</f>
        <v>Article de revue</v>
      </c>
      <c r="V110" s="4" t="s">
        <v>1508</v>
      </c>
      <c r="W110" s="28">
        <v>1999</v>
      </c>
      <c r="X110" s="4" t="s">
        <v>1070</v>
      </c>
      <c r="Y110" s="25" t="s">
        <v>1509</v>
      </c>
      <c r="Z110" s="25"/>
      <c r="AA110" s="25" t="s">
        <v>1510</v>
      </c>
      <c r="AB110" s="25"/>
      <c r="AC110" s="25" t="s">
        <v>1511</v>
      </c>
      <c r="AD110" s="25"/>
      <c r="AE110" s="25" t="s">
        <v>243</v>
      </c>
      <c r="AF110" s="35" t="s">
        <v>1512</v>
      </c>
      <c r="AG110" s="27" t="str">
        <f t="shared" si="23"/>
        <v>doi.org</v>
      </c>
      <c r="AH110" s="27" t="str">
        <f t="shared" si="24"/>
        <v>Scholar</v>
      </c>
      <c r="AI110" s="28" t="s">
        <v>245</v>
      </c>
      <c r="AJ110" s="25" t="s">
        <v>185</v>
      </c>
      <c r="AK110" s="4" t="s">
        <v>1075</v>
      </c>
      <c r="AL110" s="25" t="s">
        <v>247</v>
      </c>
      <c r="AM110" s="4" t="s">
        <v>264</v>
      </c>
      <c r="AN110" s="25" t="s">
        <v>249</v>
      </c>
      <c r="AO110" s="4" t="s">
        <v>1513</v>
      </c>
      <c r="AP110" s="4" t="s">
        <v>1514</v>
      </c>
      <c r="AQ110" s="25" t="s">
        <v>235</v>
      </c>
      <c r="AR110" s="26" t="str">
        <f>IF($B110="","",IFERROR(INDEX(Paramètres!$Q$6:$Q$13,MATCH($G110,Paramètres!$P$6:$P$13,0)),""))</f>
        <v>Fatigue et endommagement</v>
      </c>
      <c r="AS110" s="26" t="str">
        <f>IF($B110="","",IFERROR(INDEX(Paramètres!$T$6:$T$11,MATCH($I110,Paramètres!$S$6:$S$11,0)),""))</f>
        <v>mars 2027</v>
      </c>
      <c r="AT110" s="31">
        <f>IF($B110="","",IFERROR(INDEX(Paramètres!$C$27:$C$29,MATCH($H110,Paramètres!$B$27:$B$29,0)),0))</f>
        <v>3</v>
      </c>
      <c r="AU110" s="29"/>
      <c r="AV110" s="32"/>
      <c r="AW110" s="26" t="str">
        <f t="shared" si="25"/>
        <v>weissman1999.md</v>
      </c>
      <c r="AX110" s="26">
        <f>IF($B110="","",COUNTIF($I$2:I110,$I110))</f>
        <v>8</v>
      </c>
      <c r="AY110" s="26" t="str">
        <f t="shared" si="26"/>
        <v>6-8</v>
      </c>
      <c r="AZ110" s="26" t="s">
        <v>1515</v>
      </c>
      <c r="BA110" s="36">
        <f t="shared" ca="1" si="27"/>
        <v>65.008899999999997</v>
      </c>
    </row>
    <row r="111" spans="1:53" ht="45" hidden="1" customHeight="1" x14ac:dyDescent="0.25">
      <c r="A111" s="25" t="s">
        <v>1516</v>
      </c>
      <c r="B111" s="25" t="s">
        <v>1517</v>
      </c>
      <c r="C111" s="26" t="str">
        <f t="shared" si="21"/>
        <v>FAA (2021)</v>
      </c>
      <c r="D111" s="4" t="s">
        <v>1518</v>
      </c>
      <c r="E111" s="27" t="str">
        <f>IF(OR($B111="",$AF111=""),"",HYPERLINK(IF(AND(Paramètres!$C$13&lt;&gt;"",$AJ111="Éditeur (abonnement)"),Paramètres!$C$13&amp;$AF111,$AF111),"Ouvrir : "&amp;$AE111))</f>
        <v>Ouvrir : Texte intégral libre</v>
      </c>
      <c r="F111" s="28" t="s">
        <v>235</v>
      </c>
      <c r="G111" s="28">
        <v>7</v>
      </c>
      <c r="H111" s="25" t="s">
        <v>338</v>
      </c>
      <c r="I111" s="28">
        <v>6</v>
      </c>
      <c r="J111" s="29" t="s">
        <v>234</v>
      </c>
      <c r="K111" s="26" t="str">
        <f ca="1">IF($B111="","",IF($J111="Lu","Lu",IF($J111="Écarté","Écarté",IF($I111&lt;Paramètres!$C$8,"EN RETARD",IF($I111=Paramètres!$C$8,"Ce mois-ci",IF($I111=Paramètres!$C$8+1,"Mois prochain","À venir"))))))</f>
        <v>À venir</v>
      </c>
      <c r="L111" s="30" t="str">
        <f t="shared" si="22"/>
        <v>PDF libre à télécharger</v>
      </c>
      <c r="M111" s="31">
        <f ca="1">IF($B111="","",IF(OR($J111="Lu",$J111="Écarté"),0,IFERROR(INDEX(Paramètres!$C$17:$C$19,MATCH($H111,Paramètres!$B$17:$B$19,0)),0)+Paramètres!$C$20*(7-$I111)+IF($I111&lt;Paramètres!$C$8,Paramètres!$C$21,0)+IF($F111="Oui",Paramètres!$C$22,0)+IF($AL111&lt;&gt;"Vérifié",Paramètres!$C$23,0)+IF(AND($O111&lt;&gt;"Oui",OR($AJ111="PDF libre",$AJ111="PDF libre (dépôt)")),Paramètres!$C$24,0)))</f>
        <v>70</v>
      </c>
      <c r="N111" s="32"/>
      <c r="O111" s="33" t="str">
        <f>IF($BB111="","Non",HYPERLINK(DossierPDF&amp;$BB111,"Oui"))</f>
        <v>Non</v>
      </c>
      <c r="P111" s="33" t="s">
        <v>235</v>
      </c>
      <c r="Q111" s="33" t="s">
        <v>235</v>
      </c>
      <c r="R111" s="33"/>
      <c r="S111" s="34"/>
      <c r="T111" s="25" t="s">
        <v>271</v>
      </c>
      <c r="U111" s="26" t="str">
        <f>IF($B111="","",IFERROR(INDEX(Paramètres!$N$6:$N$13,MATCH($T111,Paramètres!$M$6:$M$13,0)),$T111))</f>
        <v>Rapport</v>
      </c>
      <c r="V111" s="4" t="s">
        <v>1519</v>
      </c>
      <c r="W111" s="28">
        <v>2021</v>
      </c>
      <c r="X111" s="4"/>
      <c r="Y111" s="25"/>
      <c r="Z111" s="25"/>
      <c r="AA111" s="25"/>
      <c r="AB111" s="25" t="s">
        <v>1520</v>
      </c>
      <c r="AC111" s="25"/>
      <c r="AD111" s="25" t="s">
        <v>1521</v>
      </c>
      <c r="AE111" s="25" t="s">
        <v>275</v>
      </c>
      <c r="AF111" s="35" t="s">
        <v>1522</v>
      </c>
      <c r="AG111" s="27" t="str">
        <f t="shared" si="23"/>
        <v/>
      </c>
      <c r="AH111" s="27" t="str">
        <f t="shared" si="24"/>
        <v>Scholar</v>
      </c>
      <c r="AI111" s="28" t="s">
        <v>277</v>
      </c>
      <c r="AJ111" s="25" t="s">
        <v>183</v>
      </c>
      <c r="AK111" s="4" t="s">
        <v>1523</v>
      </c>
      <c r="AL111" s="25" t="s">
        <v>247</v>
      </c>
      <c r="AM111" s="4" t="s">
        <v>1524</v>
      </c>
      <c r="AN111" s="25" t="s">
        <v>249</v>
      </c>
      <c r="AO111" s="4" t="s">
        <v>1525</v>
      </c>
      <c r="AP111" s="4" t="s">
        <v>1526</v>
      </c>
      <c r="AQ111" s="25" t="s">
        <v>233</v>
      </c>
      <c r="AR111" s="26" t="str">
        <f>IF($B111="","",IFERROR(INDEX(Paramètres!$Q$6:$Q$13,MATCH($G111,Paramètres!$P$6:$P$13,0)),""))</f>
        <v>Chaussées aéronautiques</v>
      </c>
      <c r="AS111" s="26" t="str">
        <f>IF($B111="","",IFERROR(INDEX(Paramètres!$T$6:$T$11,MATCH($I111,Paramètres!$S$6:$S$11,0)),""))</f>
        <v>mars 2027</v>
      </c>
      <c r="AT111" s="31">
        <f>IF($B111="","",IFERROR(INDEX(Paramètres!$C$27:$C$29,MATCH($H111,Paramètres!$B$27:$B$29,0)),0))</f>
        <v>3</v>
      </c>
      <c r="AU111" s="29"/>
      <c r="AV111" s="32"/>
      <c r="AW111" s="26" t="str">
        <f t="shared" si="25"/>
        <v>faa2021ac6g.md</v>
      </c>
      <c r="AX111" s="26">
        <f>IF($B111="","",COUNTIF($I$2:I111,$I111))</f>
        <v>9</v>
      </c>
      <c r="AY111" s="26" t="str">
        <f t="shared" si="26"/>
        <v>6-9</v>
      </c>
      <c r="AZ111" s="26" t="s">
        <v>1527</v>
      </c>
      <c r="BA111" s="36">
        <f t="shared" ca="1" si="27"/>
        <v>70.008889999999994</v>
      </c>
    </row>
    <row r="112" spans="1:53" ht="45" hidden="1" customHeight="1" x14ac:dyDescent="0.25">
      <c r="A112" s="25" t="s">
        <v>1528</v>
      </c>
      <c r="B112" s="25" t="s">
        <v>1529</v>
      </c>
      <c r="C112" s="26" t="str">
        <f t="shared" si="21"/>
        <v>FAA (2022)</v>
      </c>
      <c r="D112" s="4" t="s">
        <v>1530</v>
      </c>
      <c r="E112" s="27" t="str">
        <f>IF(OR($B112="",$AF112=""),"",HYPERLINK(IF(AND(Paramètres!$C$13&lt;&gt;"",$AJ112="Éditeur (abonnement)"),Paramètres!$C$13&amp;$AF112,$AF112),"Ouvrir : "&amp;$AE112))</f>
        <v>Ouvrir : Texte intégral libre</v>
      </c>
      <c r="F112" s="28" t="s">
        <v>235</v>
      </c>
      <c r="G112" s="28">
        <v>7</v>
      </c>
      <c r="H112" s="25" t="s">
        <v>338</v>
      </c>
      <c r="I112" s="28">
        <v>6</v>
      </c>
      <c r="J112" s="29" t="s">
        <v>234</v>
      </c>
      <c r="K112" s="26" t="str">
        <f ca="1">IF($B112="","",IF($J112="Lu","Lu",IF($J112="Écarté","Écarté",IF($I112&lt;Paramètres!$C$8,"EN RETARD",IF($I112=Paramètres!$C$8,"Ce mois-ci",IF($I112=Paramètres!$C$8+1,"Mois prochain","À venir"))))))</f>
        <v>À venir</v>
      </c>
      <c r="L112" s="30" t="str">
        <f t="shared" si="22"/>
        <v>PDF libre à télécharger</v>
      </c>
      <c r="M112" s="31">
        <f ca="1">IF($B112="","",IF(OR($J112="Lu",$J112="Écarté"),0,IFERROR(INDEX(Paramètres!$C$17:$C$19,MATCH($H112,Paramètres!$B$17:$B$19,0)),0)+Paramètres!$C$20*(7-$I112)+IF($I112&lt;Paramètres!$C$8,Paramètres!$C$21,0)+IF($F112="Oui",Paramètres!$C$22,0)+IF($AL112&lt;&gt;"Vérifié",Paramètres!$C$23,0)+IF(AND($O112&lt;&gt;"Oui",OR($AJ112="PDF libre",$AJ112="PDF libre (dépôt)")),Paramètres!$C$24,0)))</f>
        <v>70</v>
      </c>
      <c r="N112" s="32"/>
      <c r="O112" s="33" t="str">
        <f>IF($BB112="","Non",HYPERLINK(DossierPDF&amp;$BB112,"Oui"))</f>
        <v>Non</v>
      </c>
      <c r="P112" s="33" t="s">
        <v>235</v>
      </c>
      <c r="Q112" s="33" t="s">
        <v>235</v>
      </c>
      <c r="R112" s="33"/>
      <c r="S112" s="34"/>
      <c r="T112" s="25" t="s">
        <v>271</v>
      </c>
      <c r="U112" s="26" t="str">
        <f>IF($B112="","",IFERROR(INDEX(Paramètres!$N$6:$N$13,MATCH($T112,Paramètres!$M$6:$M$13,0)),$T112))</f>
        <v>Rapport</v>
      </c>
      <c r="V112" s="4" t="s">
        <v>1519</v>
      </c>
      <c r="W112" s="28">
        <v>2022</v>
      </c>
      <c r="X112" s="4"/>
      <c r="Y112" s="25"/>
      <c r="Z112" s="25"/>
      <c r="AA112" s="25"/>
      <c r="AB112" s="25" t="s">
        <v>1520</v>
      </c>
      <c r="AC112" s="25"/>
      <c r="AD112" s="25" t="s">
        <v>1531</v>
      </c>
      <c r="AE112" s="25" t="s">
        <v>275</v>
      </c>
      <c r="AF112" s="35" t="s">
        <v>1532</v>
      </c>
      <c r="AG112" s="27" t="str">
        <f t="shared" si="23"/>
        <v/>
      </c>
      <c r="AH112" s="27" t="str">
        <f t="shared" si="24"/>
        <v>Scholar</v>
      </c>
      <c r="AI112" s="28" t="s">
        <v>277</v>
      </c>
      <c r="AJ112" s="25" t="s">
        <v>183</v>
      </c>
      <c r="AK112" s="4" t="s">
        <v>1533</v>
      </c>
      <c r="AL112" s="25" t="s">
        <v>247</v>
      </c>
      <c r="AM112" s="4" t="s">
        <v>1524</v>
      </c>
      <c r="AN112" s="25" t="s">
        <v>249</v>
      </c>
      <c r="AO112" s="4" t="s">
        <v>1534</v>
      </c>
      <c r="AP112" s="4" t="s">
        <v>1535</v>
      </c>
      <c r="AQ112" s="25" t="s">
        <v>233</v>
      </c>
      <c r="AR112" s="26" t="str">
        <f>IF($B112="","",IFERROR(INDEX(Paramètres!$Q$6:$Q$13,MATCH($G112,Paramètres!$P$6:$P$13,0)),""))</f>
        <v>Chaussées aéronautiques</v>
      </c>
      <c r="AS112" s="26" t="str">
        <f>IF($B112="","",IFERROR(INDEX(Paramètres!$T$6:$T$11,MATCH($I112,Paramètres!$S$6:$S$11,0)),""))</f>
        <v>mars 2027</v>
      </c>
      <c r="AT112" s="31">
        <f>IF($B112="","",IFERROR(INDEX(Paramètres!$C$27:$C$29,MATCH($H112,Paramètres!$B$27:$B$29,0)),0))</f>
        <v>3</v>
      </c>
      <c r="AU112" s="29"/>
      <c r="AV112" s="32"/>
      <c r="AW112" s="26" t="str">
        <f t="shared" si="25"/>
        <v>faa2022ac5335.md</v>
      </c>
      <c r="AX112" s="26">
        <f>IF($B112="","",COUNTIF($I$2:I112,$I112))</f>
        <v>10</v>
      </c>
      <c r="AY112" s="26" t="str">
        <f t="shared" si="26"/>
        <v>6-10</v>
      </c>
      <c r="AZ112" s="26" t="s">
        <v>1536</v>
      </c>
      <c r="BA112" s="36">
        <f t="shared" ca="1" si="27"/>
        <v>70.008880000000005</v>
      </c>
    </row>
    <row r="113" spans="1:53" ht="45" hidden="1" customHeight="1" x14ac:dyDescent="0.25">
      <c r="A113" s="25" t="s">
        <v>1537</v>
      </c>
      <c r="B113" s="25" t="s">
        <v>1538</v>
      </c>
      <c r="C113" s="26" t="str">
        <f t="shared" si="21"/>
        <v>HoSang (1975)</v>
      </c>
      <c r="D113" s="4" t="s">
        <v>1539</v>
      </c>
      <c r="E113" s="27" t="str">
        <f>IF(OR($B113="",$AF113=""),"",HYPERLINK(IF(AND(Paramètres!$C$13&lt;&gt;"",$AJ113="Éditeur (abonnement)"),Paramètres!$C$13&amp;$AF113,$AF113),"Ouvrir : "&amp;$AE113))</f>
        <v>Ouvrir : Notice officielle</v>
      </c>
      <c r="F113" s="28" t="s">
        <v>235</v>
      </c>
      <c r="G113" s="28">
        <v>7</v>
      </c>
      <c r="H113" s="25" t="s">
        <v>338</v>
      </c>
      <c r="I113" s="28">
        <v>6</v>
      </c>
      <c r="J113" s="29" t="s">
        <v>234</v>
      </c>
      <c r="K113" s="26" t="str">
        <f ca="1">IF($B113="","",IF($J113="Lu","Lu",IF($J113="Écarté","Écarté",IF($I113&lt;Paramètres!$C$8,"EN RETARD",IF($I113=Paramètres!$C$8,"Ce mois-ci",IF($I113=Paramètres!$C$8+1,"Mois prochain","À venir"))))))</f>
        <v>À venir</v>
      </c>
      <c r="L113" s="30" t="str">
        <f t="shared" si="22"/>
        <v>Texte intégral à localiser</v>
      </c>
      <c r="M113" s="31">
        <f ca="1">IF($B113="","",IF(OR($J113="Lu",$J113="Écarté"),0,IFERROR(INDEX(Paramètres!$C$17:$C$19,MATCH($H113,Paramètres!$B$17:$B$19,0)),0)+Paramètres!$C$20*(7-$I113)+IF($I113&lt;Paramètres!$C$8,Paramètres!$C$21,0)+IF($F113="Oui",Paramètres!$C$22,0)+IF($AL113&lt;&gt;"Vérifié",Paramètres!$C$23,0)+IF(AND($O113&lt;&gt;"Oui",OR($AJ113="PDF libre",$AJ113="PDF libre (dépôt)")),Paramètres!$C$24,0)))</f>
        <v>65</v>
      </c>
      <c r="N113" s="32"/>
      <c r="O113" s="33" t="str">
        <f>IF($BB113="","Non",HYPERLINK(DossierPDF&amp;$BB113,"Oui"))</f>
        <v>Non</v>
      </c>
      <c r="P113" s="33" t="s">
        <v>235</v>
      </c>
      <c r="Q113" s="33" t="s">
        <v>235</v>
      </c>
      <c r="R113" s="33"/>
      <c r="S113" s="34"/>
      <c r="T113" s="25" t="s">
        <v>271</v>
      </c>
      <c r="U113" s="26" t="str">
        <f>IF($B113="","",IFERROR(INDEX(Paramètres!$N$6:$N$13,MATCH($T113,Paramètres!$M$6:$M$13,0)),$T113))</f>
        <v>Rapport</v>
      </c>
      <c r="V113" s="4" t="s">
        <v>1540</v>
      </c>
      <c r="W113" s="28">
        <v>1975</v>
      </c>
      <c r="X113" s="4"/>
      <c r="Y113" s="25"/>
      <c r="Z113" s="25"/>
      <c r="AA113" s="25"/>
      <c r="AB113" s="25" t="s">
        <v>1541</v>
      </c>
      <c r="AC113" s="25"/>
      <c r="AD113" s="25" t="s">
        <v>1542</v>
      </c>
      <c r="AE113" s="25" t="s">
        <v>1122</v>
      </c>
      <c r="AF113" s="35" t="s">
        <v>1543</v>
      </c>
      <c r="AG113" s="27" t="str">
        <f t="shared" si="23"/>
        <v/>
      </c>
      <c r="AH113" s="27" t="str">
        <f t="shared" si="24"/>
        <v>Scholar</v>
      </c>
      <c r="AI113" s="28" t="s">
        <v>689</v>
      </c>
      <c r="AJ113" s="25" t="s">
        <v>188</v>
      </c>
      <c r="AK113" s="4" t="s">
        <v>1544</v>
      </c>
      <c r="AL113" s="25" t="s">
        <v>247</v>
      </c>
      <c r="AM113" s="4" t="s">
        <v>1545</v>
      </c>
      <c r="AN113" s="25" t="s">
        <v>249</v>
      </c>
      <c r="AO113" s="4" t="s">
        <v>1546</v>
      </c>
      <c r="AP113" s="4"/>
      <c r="AQ113" s="25" t="s">
        <v>233</v>
      </c>
      <c r="AR113" s="26" t="str">
        <f>IF($B113="","",IFERROR(INDEX(Paramètres!$Q$6:$Q$13,MATCH($G113,Paramètres!$P$6:$P$13,0)),""))</f>
        <v>Chaussées aéronautiques</v>
      </c>
      <c r="AS113" s="26" t="str">
        <f>IF($B113="","",IFERROR(INDEX(Paramètres!$T$6:$T$11,MATCH($I113,Paramètres!$S$6:$S$11,0)),""))</f>
        <v>mars 2027</v>
      </c>
      <c r="AT113" s="31">
        <f>IF($B113="","",IFERROR(INDEX(Paramètres!$C$27:$C$29,MATCH($H113,Paramètres!$B$27:$B$29,0)),0))</f>
        <v>3</v>
      </c>
      <c r="AU113" s="29"/>
      <c r="AV113" s="32"/>
      <c r="AW113" s="26" t="str">
        <f t="shared" si="25"/>
        <v>hosang1975wander.md</v>
      </c>
      <c r="AX113" s="26">
        <f>IF($B113="","",COUNTIF($I$2:I113,$I113))</f>
        <v>11</v>
      </c>
      <c r="AY113" s="26" t="str">
        <f t="shared" si="26"/>
        <v>6-11</v>
      </c>
      <c r="AZ113" s="26" t="s">
        <v>1547</v>
      </c>
      <c r="BA113" s="36">
        <f t="shared" ca="1" si="27"/>
        <v>65.008870000000002</v>
      </c>
    </row>
    <row r="114" spans="1:53" ht="45" hidden="1" customHeight="1" x14ac:dyDescent="0.25">
      <c r="A114" s="25" t="s">
        <v>1548</v>
      </c>
      <c r="B114" s="25" t="s">
        <v>1549</v>
      </c>
      <c r="C114" s="26" t="str">
        <f t="shared" si="21"/>
        <v>OACI (2022)</v>
      </c>
      <c r="D114" s="4" t="s">
        <v>1550</v>
      </c>
      <c r="E114" s="27" t="str">
        <f>IF(OR($B114="",$AF114=""),"",HYPERLINK(IF(AND(Paramètres!$C$13&lt;&gt;"",$AJ114="Éditeur (abonnement)"),Paramètres!$C$13&amp;$AF114,$AF114),"Ouvrir : "&amp;$AE114))</f>
        <v>Ouvrir : Page de vente / notice</v>
      </c>
      <c r="F114" s="28" t="s">
        <v>235</v>
      </c>
      <c r="G114" s="28">
        <v>7</v>
      </c>
      <c r="H114" s="25" t="s">
        <v>338</v>
      </c>
      <c r="I114" s="28">
        <v>6</v>
      </c>
      <c r="J114" s="29" t="s">
        <v>234</v>
      </c>
      <c r="K114" s="26" t="str">
        <f ca="1">IF($B114="","",IF($J114="Lu","Lu",IF($J114="Écarté","Écarté",IF($I114&lt;Paramètres!$C$8,"EN RETARD",IF($I114=Paramètres!$C$8,"Ce mois-ci",IF($I114=Paramètres!$C$8+1,"Mois prochain","À venir"))))))</f>
        <v>À venir</v>
      </c>
      <c r="L114" s="30" t="str">
        <f t="shared" si="22"/>
        <v>À consulter via l'abonnement de l'école</v>
      </c>
      <c r="M114" s="31">
        <f ca="1">IF($B114="","",IF(OR($J114="Lu",$J114="Écarté"),0,IFERROR(INDEX(Paramètres!$C$17:$C$19,MATCH($H114,Paramètres!$B$17:$B$19,0)),0)+Paramètres!$C$20*(7-$I114)+IF($I114&lt;Paramètres!$C$8,Paramètres!$C$21,0)+IF($F114="Oui",Paramètres!$C$22,0)+IF($AL114&lt;&gt;"Vérifié",Paramètres!$C$23,0)+IF(AND($O114&lt;&gt;"Oui",OR($AJ114="PDF libre",$AJ114="PDF libre (dépôt)")),Paramètres!$C$24,0)))</f>
        <v>65</v>
      </c>
      <c r="N114" s="32"/>
      <c r="O114" s="33" t="str">
        <f>IF($BB114="","Non",HYPERLINK(DossierPDF&amp;$BB114,"Oui"))</f>
        <v>Non</v>
      </c>
      <c r="P114" s="33" t="s">
        <v>235</v>
      </c>
      <c r="Q114" s="33" t="s">
        <v>235</v>
      </c>
      <c r="R114" s="33"/>
      <c r="S114" s="34"/>
      <c r="T114" s="25" t="s">
        <v>777</v>
      </c>
      <c r="U114" s="26" t="str">
        <f>IF($B114="","",IFERROR(INDEX(Paramètres!$N$6:$N$13,MATCH($T114,Paramètres!$M$6:$M$13,0)),$T114))</f>
        <v>Norme</v>
      </c>
      <c r="V114" s="4" t="s">
        <v>1551</v>
      </c>
      <c r="W114" s="28">
        <v>2022</v>
      </c>
      <c r="X114" s="4"/>
      <c r="Y114" s="25"/>
      <c r="Z114" s="25"/>
      <c r="AA114" s="25"/>
      <c r="AB114" s="25" t="s">
        <v>1552</v>
      </c>
      <c r="AC114" s="25"/>
      <c r="AD114" s="25" t="s">
        <v>1553</v>
      </c>
      <c r="AE114" s="25" t="s">
        <v>745</v>
      </c>
      <c r="AF114" s="35" t="s">
        <v>1554</v>
      </c>
      <c r="AG114" s="27" t="str">
        <f t="shared" si="23"/>
        <v/>
      </c>
      <c r="AH114" s="27" t="str">
        <f t="shared" si="24"/>
        <v>Scholar</v>
      </c>
      <c r="AI114" s="28" t="s">
        <v>245</v>
      </c>
      <c r="AJ114" s="25" t="s">
        <v>186</v>
      </c>
      <c r="AK114" s="4" t="s">
        <v>1555</v>
      </c>
      <c r="AL114" s="25" t="s">
        <v>247</v>
      </c>
      <c r="AM114" s="4" t="s">
        <v>1556</v>
      </c>
      <c r="AN114" s="25" t="s">
        <v>249</v>
      </c>
      <c r="AO114" s="4" t="s">
        <v>1557</v>
      </c>
      <c r="AP114" s="4" t="s">
        <v>1558</v>
      </c>
      <c r="AQ114" s="25" t="s">
        <v>233</v>
      </c>
      <c r="AR114" s="26" t="str">
        <f>IF($B114="","",IFERROR(INDEX(Paramètres!$Q$6:$Q$13,MATCH($G114,Paramètres!$P$6:$P$13,0)),""))</f>
        <v>Chaussées aéronautiques</v>
      </c>
      <c r="AS114" s="26" t="str">
        <f>IF($B114="","",IFERROR(INDEX(Paramètres!$T$6:$T$11,MATCH($I114,Paramètres!$S$6:$S$11,0)),""))</f>
        <v>mars 2027</v>
      </c>
      <c r="AT114" s="31">
        <f>IF($B114="","",IFERROR(INDEX(Paramètres!$C$27:$C$29,MATCH($H114,Paramètres!$B$27:$B$29,0)),0))</f>
        <v>3</v>
      </c>
      <c r="AU114" s="29"/>
      <c r="AV114" s="32"/>
      <c r="AW114" s="26" t="str">
        <f t="shared" si="25"/>
        <v>icao2022annex14.md</v>
      </c>
      <c r="AX114" s="26">
        <f>IF($B114="","",COUNTIF($I$2:I114,$I114))</f>
        <v>12</v>
      </c>
      <c r="AY114" s="26" t="str">
        <f t="shared" si="26"/>
        <v>6-12</v>
      </c>
      <c r="AZ114" s="26" t="s">
        <v>1559</v>
      </c>
      <c r="BA114" s="36">
        <f t="shared" ca="1" si="27"/>
        <v>65.008859999999999</v>
      </c>
    </row>
    <row r="115" spans="1:53" ht="45" hidden="1" customHeight="1" x14ac:dyDescent="0.25">
      <c r="A115" s="25" t="s">
        <v>1560</v>
      </c>
      <c r="B115" s="25" t="s">
        <v>1561</v>
      </c>
      <c r="C115" s="26" t="str">
        <f t="shared" si="21"/>
        <v>OACI (2022)</v>
      </c>
      <c r="D115" s="4" t="s">
        <v>1562</v>
      </c>
      <c r="E115" s="27" t="str">
        <f>IF(OR($B115="",$AF115=""),"",HYPERLINK(IF(AND(Paramètres!$C$13&lt;&gt;"",$AJ115="Éditeur (abonnement)"),Paramètres!$C$13&amp;$AF115,$AF115),"Ouvrir : "&amp;$AE115))</f>
        <v>Ouvrir : Page de vente / notice</v>
      </c>
      <c r="F115" s="28" t="s">
        <v>235</v>
      </c>
      <c r="G115" s="28">
        <v>7</v>
      </c>
      <c r="H115" s="25" t="s">
        <v>338</v>
      </c>
      <c r="I115" s="28">
        <v>6</v>
      </c>
      <c r="J115" s="29" t="s">
        <v>234</v>
      </c>
      <c r="K115" s="26" t="str">
        <f ca="1">IF($B115="","",IF($J115="Lu","Lu",IF($J115="Écarté","Écarté",IF($I115&lt;Paramètres!$C$8,"EN RETARD",IF($I115=Paramètres!$C$8,"Ce mois-ci",IF($I115=Paramètres!$C$8+1,"Mois prochain","À venir"))))))</f>
        <v>À venir</v>
      </c>
      <c r="L115" s="30" t="str">
        <f t="shared" si="22"/>
        <v>À consulter via l'abonnement de l'école</v>
      </c>
      <c r="M115" s="31">
        <f ca="1">IF($B115="","",IF(OR($J115="Lu",$J115="Écarté"),0,IFERROR(INDEX(Paramètres!$C$17:$C$19,MATCH($H115,Paramètres!$B$17:$B$19,0)),0)+Paramètres!$C$20*(7-$I115)+IF($I115&lt;Paramètres!$C$8,Paramètres!$C$21,0)+IF($F115="Oui",Paramètres!$C$22,0)+IF($AL115&lt;&gt;"Vérifié",Paramètres!$C$23,0)+IF(AND($O115&lt;&gt;"Oui",OR($AJ115="PDF libre",$AJ115="PDF libre (dépôt)")),Paramètres!$C$24,0)))</f>
        <v>65</v>
      </c>
      <c r="N115" s="32"/>
      <c r="O115" s="33" t="str">
        <f>IF($BB115="","Non",HYPERLINK(DossierPDF&amp;$BB115,"Oui"))</f>
        <v>Non</v>
      </c>
      <c r="P115" s="33" t="s">
        <v>235</v>
      </c>
      <c r="Q115" s="33" t="s">
        <v>235</v>
      </c>
      <c r="R115" s="33"/>
      <c r="S115" s="34"/>
      <c r="T115" s="25" t="s">
        <v>777</v>
      </c>
      <c r="U115" s="26" t="str">
        <f>IF($B115="","",IFERROR(INDEX(Paramètres!$N$6:$N$13,MATCH($T115,Paramètres!$M$6:$M$13,0)),$T115))</f>
        <v>Norme</v>
      </c>
      <c r="V115" s="4" t="s">
        <v>1551</v>
      </c>
      <c r="W115" s="28">
        <v>2022</v>
      </c>
      <c r="X115" s="4"/>
      <c r="Y115" s="25"/>
      <c r="Z115" s="25"/>
      <c r="AA115" s="25"/>
      <c r="AB115" s="25" t="s">
        <v>1552</v>
      </c>
      <c r="AC115" s="25"/>
      <c r="AD115" s="25" t="s">
        <v>1563</v>
      </c>
      <c r="AE115" s="25" t="s">
        <v>745</v>
      </c>
      <c r="AF115" s="35" t="s">
        <v>1564</v>
      </c>
      <c r="AG115" s="27" t="str">
        <f t="shared" si="23"/>
        <v/>
      </c>
      <c r="AH115" s="27" t="str">
        <f t="shared" si="24"/>
        <v>Scholar</v>
      </c>
      <c r="AI115" s="28" t="s">
        <v>245</v>
      </c>
      <c r="AJ115" s="25" t="s">
        <v>186</v>
      </c>
      <c r="AK115" s="4" t="s">
        <v>1555</v>
      </c>
      <c r="AL115" s="25" t="s">
        <v>247</v>
      </c>
      <c r="AM115" s="4" t="s">
        <v>1556</v>
      </c>
      <c r="AN115" s="25" t="s">
        <v>249</v>
      </c>
      <c r="AO115" s="4" t="s">
        <v>1565</v>
      </c>
      <c r="AP115" s="4" t="s">
        <v>1566</v>
      </c>
      <c r="AQ115" s="25" t="s">
        <v>233</v>
      </c>
      <c r="AR115" s="26" t="str">
        <f>IF($B115="","",IFERROR(INDEX(Paramètres!$Q$6:$Q$13,MATCH($G115,Paramètres!$P$6:$P$13,0)),""))</f>
        <v>Chaussées aéronautiques</v>
      </c>
      <c r="AS115" s="26" t="str">
        <f>IF($B115="","",IFERROR(INDEX(Paramètres!$T$6:$T$11,MATCH($I115,Paramètres!$S$6:$S$11,0)),""))</f>
        <v>mars 2027</v>
      </c>
      <c r="AT115" s="31">
        <f>IF($B115="","",IFERROR(INDEX(Paramètres!$C$27:$C$29,MATCH($H115,Paramètres!$B$27:$B$29,0)),0))</f>
        <v>3</v>
      </c>
      <c r="AU115" s="29"/>
      <c r="AV115" s="32"/>
      <c r="AW115" s="26" t="str">
        <f t="shared" si="25"/>
        <v>icao2022doc9157p3.md</v>
      </c>
      <c r="AX115" s="26">
        <f>IF($B115="","",COUNTIF($I$2:I115,$I115))</f>
        <v>13</v>
      </c>
      <c r="AY115" s="26" t="str">
        <f t="shared" si="26"/>
        <v>6-13</v>
      </c>
      <c r="AZ115" s="26" t="s">
        <v>1567</v>
      </c>
      <c r="BA115" s="36">
        <f t="shared" ca="1" si="27"/>
        <v>65.008849999999995</v>
      </c>
    </row>
    <row r="116" spans="1:53" ht="45" hidden="1" customHeight="1" x14ac:dyDescent="0.25">
      <c r="A116" s="25" t="s">
        <v>1568</v>
      </c>
      <c r="B116" s="25" t="s">
        <v>1569</v>
      </c>
      <c r="C116" s="26" t="str">
        <f t="shared" si="21"/>
        <v>Roginski (2007)</v>
      </c>
      <c r="D116" s="4" t="s">
        <v>1570</v>
      </c>
      <c r="E116" s="27" t="str">
        <f>IF(OR($B116="",$AF116=""),"",HYPERLINK(IF(AND(Paramètres!$C$13&lt;&gt;"",$AJ116="Éditeur (abonnement)"),Paramètres!$C$13&amp;$AF116,$AF116),"Ouvrir : "&amp;$AE116))</f>
        <v>Ouvrir : Texte intégral libre</v>
      </c>
      <c r="F116" s="28" t="s">
        <v>235</v>
      </c>
      <c r="G116" s="28">
        <v>7</v>
      </c>
      <c r="H116" s="25" t="s">
        <v>338</v>
      </c>
      <c r="I116" s="28">
        <v>6</v>
      </c>
      <c r="J116" s="29" t="s">
        <v>234</v>
      </c>
      <c r="K116" s="26" t="str">
        <f ca="1">IF($B116="","",IF($J116="Lu","Lu",IF($J116="Écarté","Écarté",IF($I116&lt;Paramètres!$C$8,"EN RETARD",IF($I116=Paramètres!$C$8,"Ce mois-ci",IF($I116=Paramètres!$C$8+1,"Mois prochain","À venir"))))))</f>
        <v>À venir</v>
      </c>
      <c r="L116" s="30" t="str">
        <f t="shared" si="22"/>
        <v>PDF libre à télécharger</v>
      </c>
      <c r="M116" s="31">
        <f ca="1">IF($B116="","",IF(OR($J116="Lu",$J116="Écarté"),0,IFERROR(INDEX(Paramètres!$C$17:$C$19,MATCH($H116,Paramètres!$B$17:$B$19,0)),0)+Paramètres!$C$20*(7-$I116)+IF($I116&lt;Paramètres!$C$8,Paramètres!$C$21,0)+IF($F116="Oui",Paramètres!$C$22,0)+IF($AL116&lt;&gt;"Vérifié",Paramètres!$C$23,0)+IF(AND($O116&lt;&gt;"Oui",OR($AJ116="PDF libre",$AJ116="PDF libre (dépôt)")),Paramètres!$C$24,0)))</f>
        <v>70</v>
      </c>
      <c r="N116" s="32"/>
      <c r="O116" s="33" t="str">
        <f>IF($BB116="","Non",HYPERLINK(DossierPDF&amp;$BB116,"Oui"))</f>
        <v>Non</v>
      </c>
      <c r="P116" s="33" t="s">
        <v>235</v>
      </c>
      <c r="Q116" s="33" t="s">
        <v>235</v>
      </c>
      <c r="R116" s="33"/>
      <c r="S116" s="34"/>
      <c r="T116" s="25" t="s">
        <v>286</v>
      </c>
      <c r="U116" s="26" t="str">
        <f>IF($B116="","",IFERROR(INDEX(Paramètres!$N$6:$N$13,MATCH($T116,Paramètres!$M$6:$M$13,0)),$T116))</f>
        <v>Communication (actes)</v>
      </c>
      <c r="V116" s="4" t="s">
        <v>1571</v>
      </c>
      <c r="W116" s="28">
        <v>2007</v>
      </c>
      <c r="X116" s="4" t="s">
        <v>1572</v>
      </c>
      <c r="Y116" s="25"/>
      <c r="Z116" s="25"/>
      <c r="AA116" s="25"/>
      <c r="AB116" s="25" t="s">
        <v>1573</v>
      </c>
      <c r="AC116" s="25"/>
      <c r="AD116" s="25" t="s">
        <v>1574</v>
      </c>
      <c r="AE116" s="25" t="s">
        <v>275</v>
      </c>
      <c r="AF116" s="35" t="s">
        <v>1575</v>
      </c>
      <c r="AG116" s="27" t="str">
        <f t="shared" si="23"/>
        <v/>
      </c>
      <c r="AH116" s="27" t="str">
        <f t="shared" si="24"/>
        <v>Scholar</v>
      </c>
      <c r="AI116" s="28" t="s">
        <v>277</v>
      </c>
      <c r="AJ116" s="25" t="s">
        <v>183</v>
      </c>
      <c r="AK116" s="4" t="s">
        <v>1576</v>
      </c>
      <c r="AL116" s="25" t="s">
        <v>247</v>
      </c>
      <c r="AM116" s="4" t="s">
        <v>1577</v>
      </c>
      <c r="AN116" s="25" t="s">
        <v>249</v>
      </c>
      <c r="AO116" s="4" t="s">
        <v>1578</v>
      </c>
      <c r="AP116" s="4"/>
      <c r="AQ116" s="25" t="s">
        <v>233</v>
      </c>
      <c r="AR116" s="26" t="str">
        <f>IF($B116="","",IFERROR(INDEX(Paramètres!$Q$6:$Q$13,MATCH($G116,Paramètres!$P$6:$P$13,0)),""))</f>
        <v>Chaussées aéronautiques</v>
      </c>
      <c r="AS116" s="26" t="str">
        <f>IF($B116="","",IFERROR(INDEX(Paramètres!$T$6:$T$11,MATCH($I116,Paramètres!$S$6:$S$11,0)),""))</f>
        <v>mars 2027</v>
      </c>
      <c r="AT116" s="31">
        <f>IF($B116="","",IFERROR(INDEX(Paramètres!$C$27:$C$29,MATCH($H116,Paramètres!$B$27:$B$29,0)),0))</f>
        <v>3</v>
      </c>
      <c r="AU116" s="29"/>
      <c r="AV116" s="32"/>
      <c r="AW116" s="26" t="str">
        <f t="shared" si="25"/>
        <v>roginski2007tire.md</v>
      </c>
      <c r="AX116" s="26">
        <f>IF($B116="","",COUNTIF($I$2:I116,$I116))</f>
        <v>14</v>
      </c>
      <c r="AY116" s="26" t="str">
        <f t="shared" si="26"/>
        <v>6-14</v>
      </c>
      <c r="AZ116" s="26" t="s">
        <v>1579</v>
      </c>
      <c r="BA116" s="36">
        <f t="shared" ca="1" si="27"/>
        <v>70.008840000000006</v>
      </c>
    </row>
    <row r="117" spans="1:53" ht="45" hidden="1" customHeight="1" x14ac:dyDescent="0.25">
      <c r="A117" s="25" t="s">
        <v>1580</v>
      </c>
      <c r="B117" s="25" t="s">
        <v>1581</v>
      </c>
      <c r="C117" s="26" t="str">
        <f t="shared" si="21"/>
        <v>Travailleur &amp; Broutin (2022)</v>
      </c>
      <c r="D117" s="4" t="s">
        <v>1582</v>
      </c>
      <c r="E117" s="27" t="str">
        <f>IF(OR($B117="",$AF117=""),"",HYPERLINK(IF(AND(Paramètres!$C$13&lt;&gt;"",$AJ117="Éditeur (abonnement)"),Paramètres!$C$13&amp;$AF117,$AF117),"Ouvrir : "&amp;$AE117))</f>
        <v>Ouvrir : Page de vente / notice</v>
      </c>
      <c r="F117" s="28" t="s">
        <v>235</v>
      </c>
      <c r="G117" s="28">
        <v>7</v>
      </c>
      <c r="H117" s="25" t="s">
        <v>338</v>
      </c>
      <c r="I117" s="28">
        <v>6</v>
      </c>
      <c r="J117" s="29" t="s">
        <v>234</v>
      </c>
      <c r="K117" s="26" t="str">
        <f ca="1">IF($B117="","",IF($J117="Lu","Lu",IF($J117="Écarté","Écarté",IF($I117&lt;Paramètres!$C$8,"EN RETARD",IF($I117=Paramètres!$C$8,"Ce mois-ci",IF($I117=Paramètres!$C$8+1,"Mois prochain","À venir"))))))</f>
        <v>À venir</v>
      </c>
      <c r="L117" s="30" t="str">
        <f t="shared" si="22"/>
        <v>À consulter via l'abonnement de l'école</v>
      </c>
      <c r="M117" s="31">
        <f ca="1">IF($B117="","",IF(OR($J117="Lu",$J117="Écarté"),0,IFERROR(INDEX(Paramètres!$C$17:$C$19,MATCH($H117,Paramètres!$B$17:$B$19,0)),0)+Paramètres!$C$20*(7-$I117)+IF($I117&lt;Paramètres!$C$8,Paramètres!$C$21,0)+IF($F117="Oui",Paramètres!$C$22,0)+IF($AL117&lt;&gt;"Vérifié",Paramètres!$C$23,0)+IF(AND($O117&lt;&gt;"Oui",OR($AJ117="PDF libre",$AJ117="PDF libre (dépôt)")),Paramètres!$C$24,0)))</f>
        <v>65</v>
      </c>
      <c r="N117" s="32"/>
      <c r="O117" s="33" t="str">
        <f>IF($BB117="","Non",HYPERLINK(DossierPDF&amp;$BB117,"Oui"))</f>
        <v>Non</v>
      </c>
      <c r="P117" s="33" t="s">
        <v>235</v>
      </c>
      <c r="Q117" s="33" t="s">
        <v>235</v>
      </c>
      <c r="R117" s="33"/>
      <c r="S117" s="34"/>
      <c r="T117" s="25" t="s">
        <v>236</v>
      </c>
      <c r="U117" s="26" t="str">
        <f>IF($B117="","",IFERROR(INDEX(Paramètres!$N$6:$N$13,MATCH($T117,Paramètres!$M$6:$M$13,0)),$T117))</f>
        <v>Article de revue</v>
      </c>
      <c r="V117" s="4" t="s">
        <v>1583</v>
      </c>
      <c r="W117" s="28">
        <v>2022</v>
      </c>
      <c r="X117" s="4" t="s">
        <v>1584</v>
      </c>
      <c r="Y117" s="25"/>
      <c r="Z117" s="25" t="s">
        <v>1585</v>
      </c>
      <c r="AA117" s="25"/>
      <c r="AB117" s="25"/>
      <c r="AC117" s="25"/>
      <c r="AD117" s="25"/>
      <c r="AE117" s="25" t="s">
        <v>745</v>
      </c>
      <c r="AF117" s="35" t="s">
        <v>1586</v>
      </c>
      <c r="AG117" s="27" t="str">
        <f t="shared" si="23"/>
        <v/>
      </c>
      <c r="AH117" s="27" t="str">
        <f t="shared" si="24"/>
        <v>Scholar</v>
      </c>
      <c r="AI117" s="28" t="s">
        <v>245</v>
      </c>
      <c r="AJ117" s="25" t="s">
        <v>186</v>
      </c>
      <c r="AK117" s="4" t="s">
        <v>1587</v>
      </c>
      <c r="AL117" s="25" t="s">
        <v>247</v>
      </c>
      <c r="AM117" s="4" t="s">
        <v>1588</v>
      </c>
      <c r="AN117" s="25" t="s">
        <v>249</v>
      </c>
      <c r="AO117" s="4" t="s">
        <v>1589</v>
      </c>
      <c r="AP117" s="4" t="s">
        <v>1590</v>
      </c>
      <c r="AQ117" s="25" t="s">
        <v>235</v>
      </c>
      <c r="AR117" s="26" t="str">
        <f>IF($B117="","",IFERROR(INDEX(Paramètres!$Q$6:$Q$13,MATCH($G117,Paramètres!$P$6:$P$13,0)),""))</f>
        <v>Chaussées aéronautiques</v>
      </c>
      <c r="AS117" s="26" t="str">
        <f>IF($B117="","",IFERROR(INDEX(Paramètres!$T$6:$T$11,MATCH($I117,Paramètres!$S$6:$S$11,0)),""))</f>
        <v>mars 2027</v>
      </c>
      <c r="AT117" s="31">
        <f>IF($B117="","",IFERROR(INDEX(Paramètres!$C$27:$C$29,MATCH($H117,Paramètres!$B$27:$B$29,0)),0))</f>
        <v>3</v>
      </c>
      <c r="AU117" s="29"/>
      <c r="AV117" s="32"/>
      <c r="AW117" s="26" t="str">
        <f t="shared" si="25"/>
        <v>travailleur2022rgra.md</v>
      </c>
      <c r="AX117" s="26">
        <f>IF($B117="","",COUNTIF($I$2:I117,$I117))</f>
        <v>15</v>
      </c>
      <c r="AY117" s="26" t="str">
        <f t="shared" si="26"/>
        <v>6-15</v>
      </c>
      <c r="AZ117" s="26" t="s">
        <v>1591</v>
      </c>
      <c r="BA117" s="36">
        <f t="shared" ca="1" si="27"/>
        <v>65.008830000000003</v>
      </c>
    </row>
    <row r="118" spans="1:53" ht="45" hidden="1" customHeight="1" x14ac:dyDescent="0.25">
      <c r="A118" s="25" t="s">
        <v>1592</v>
      </c>
      <c r="B118" s="25" t="s">
        <v>1593</v>
      </c>
      <c r="C118" s="26" t="str">
        <f t="shared" si="21"/>
        <v>AFNOR (2019)</v>
      </c>
      <c r="D118" s="4" t="s">
        <v>1594</v>
      </c>
      <c r="E118" s="27" t="str">
        <f>IF(OR($B118="",$AF118=""),"",HYPERLINK(IF(AND(Paramètres!$C$13&lt;&gt;"",$AJ118="Éditeur (abonnement)"),Paramètres!$C$13&amp;$AF118,$AF118),"Ouvrir : "&amp;$AE118))</f>
        <v>Ouvrir : Page de vente / notice</v>
      </c>
      <c r="F118" s="28" t="s">
        <v>235</v>
      </c>
      <c r="G118" s="28">
        <v>6</v>
      </c>
      <c r="H118" s="25" t="s">
        <v>405</v>
      </c>
      <c r="I118" s="28">
        <v>6</v>
      </c>
      <c r="J118" s="29" t="s">
        <v>234</v>
      </c>
      <c r="K118" s="26" t="str">
        <f ca="1">IF($B118="","",IF($J118="Lu","Lu",IF($J118="Écarté","Écarté",IF($I118&lt;Paramètres!$C$8,"EN RETARD",IF($I118=Paramètres!$C$8,"Ce mois-ci",IF($I118=Paramètres!$C$8+1,"Mois prochain","À venir"))))))</f>
        <v>À venir</v>
      </c>
      <c r="L118" s="30" t="str">
        <f t="shared" si="22"/>
        <v>À consulter via l'abonnement de l'école</v>
      </c>
      <c r="M118" s="31">
        <f ca="1">IF($B118="","",IF(OR($J118="Lu",$J118="Écarté"),0,IFERROR(INDEX(Paramètres!$C$17:$C$19,MATCH($H118,Paramètres!$B$17:$B$19,0)),0)+Paramètres!$C$20*(7-$I118)+IF($I118&lt;Paramètres!$C$8,Paramètres!$C$21,0)+IF($F118="Oui",Paramètres!$C$22,0)+IF($AL118&lt;&gt;"Vérifié",Paramètres!$C$23,0)+IF(AND($O118&lt;&gt;"Oui",OR($AJ118="PDF libre",$AJ118="PDF libre (dépôt)")),Paramètres!$C$24,0)))</f>
        <v>35</v>
      </c>
      <c r="N118" s="32"/>
      <c r="O118" s="33" t="str">
        <f>IF($BB118="","Non",HYPERLINK(DossierPDF&amp;$BB118,"Oui"))</f>
        <v>Non</v>
      </c>
      <c r="P118" s="33" t="s">
        <v>235</v>
      </c>
      <c r="Q118" s="33" t="s">
        <v>235</v>
      </c>
      <c r="R118" s="33"/>
      <c r="S118" s="34"/>
      <c r="T118" s="25" t="s">
        <v>777</v>
      </c>
      <c r="U118" s="26" t="str">
        <f>IF($B118="","",IFERROR(INDEX(Paramètres!$N$6:$N$13,MATCH($T118,Paramètres!$M$6:$M$13,0)),$T118))</f>
        <v>Norme</v>
      </c>
      <c r="V118" s="4" t="s">
        <v>778</v>
      </c>
      <c r="W118" s="28">
        <v>2019</v>
      </c>
      <c r="X118" s="4"/>
      <c r="Y118" s="25"/>
      <c r="Z118" s="25"/>
      <c r="AA118" s="25"/>
      <c r="AB118" s="25" t="s">
        <v>779</v>
      </c>
      <c r="AC118" s="25"/>
      <c r="AD118" s="25" t="s">
        <v>1595</v>
      </c>
      <c r="AE118" s="25" t="s">
        <v>745</v>
      </c>
      <c r="AF118" s="35" t="s">
        <v>1596</v>
      </c>
      <c r="AG118" s="27" t="str">
        <f t="shared" si="23"/>
        <v/>
      </c>
      <c r="AH118" s="27" t="str">
        <f t="shared" si="24"/>
        <v>Scholar</v>
      </c>
      <c r="AI118" s="28" t="s">
        <v>245</v>
      </c>
      <c r="AJ118" s="25" t="s">
        <v>186</v>
      </c>
      <c r="AK118" s="4" t="s">
        <v>782</v>
      </c>
      <c r="AL118" s="25" t="s">
        <v>247</v>
      </c>
      <c r="AM118" s="4" t="s">
        <v>1597</v>
      </c>
      <c r="AN118" s="25" t="s">
        <v>249</v>
      </c>
      <c r="AO118" s="4" t="s">
        <v>1598</v>
      </c>
      <c r="AP118" s="4" t="s">
        <v>1599</v>
      </c>
      <c r="AQ118" s="25" t="s">
        <v>233</v>
      </c>
      <c r="AR118" s="26" t="str">
        <f>IF($B118="","",IFERROR(INDEX(Paramètres!$Q$6:$Q$13,MATCH($G118,Paramètres!$P$6:$P$13,0)),""))</f>
        <v>Fatigue et endommagement</v>
      </c>
      <c r="AS118" s="26" t="str">
        <f>IF($B118="","",IFERROR(INDEX(Paramètres!$T$6:$T$11,MATCH($I118,Paramètres!$S$6:$S$11,0)),""))</f>
        <v>mars 2027</v>
      </c>
      <c r="AT118" s="31">
        <f>IF($B118="","",IFERROR(INDEX(Paramètres!$C$27:$C$29,MATCH($H118,Paramètres!$B$27:$B$29,0)),0))</f>
        <v>1</v>
      </c>
      <c r="AU118" s="29"/>
      <c r="AV118" s="32"/>
      <c r="AW118" s="26" t="str">
        <f t="shared" si="25"/>
        <v>afnor2019en1269724.md</v>
      </c>
      <c r="AX118" s="26">
        <f>IF($B118="","",COUNTIF($I$2:I118,$I118))</f>
        <v>16</v>
      </c>
      <c r="AY118" s="26" t="str">
        <f t="shared" si="26"/>
        <v>6-16</v>
      </c>
      <c r="AZ118" s="26" t="s">
        <v>1600</v>
      </c>
      <c r="BA118" s="36">
        <f t="shared" ca="1" si="27"/>
        <v>35.00882</v>
      </c>
    </row>
    <row r="119" spans="1:53" ht="45" customHeight="1" x14ac:dyDescent="0.25">
      <c r="A119" s="25" t="s">
        <v>1601</v>
      </c>
      <c r="B119" s="25" t="s">
        <v>1602</v>
      </c>
      <c r="C119" s="26" t="str">
        <f t="shared" si="21"/>
        <v>Garg et al. (2018)</v>
      </c>
      <c r="D119" s="4" t="s">
        <v>1603</v>
      </c>
      <c r="E119" s="27" t="str">
        <f>IF(OR($B119="",$AF119=""),"",HYPERLINK(IF(AND(Paramètres!$C$13&lt;&gt;"",$AJ119="Éditeur (abonnement)"),Paramètres!$C$13&amp;$AF119,$AF119),"Ouvrir : "&amp;$AE119))</f>
        <v>Ouvrir : Page éditeur (DOI)</v>
      </c>
      <c r="F119" s="28" t="s">
        <v>235</v>
      </c>
      <c r="G119" s="28">
        <v>6</v>
      </c>
      <c r="H119" s="25" t="s">
        <v>405</v>
      </c>
      <c r="I119" s="28">
        <v>6</v>
      </c>
      <c r="J119" s="29" t="s">
        <v>234</v>
      </c>
      <c r="K119" s="26" t="str">
        <f ca="1">IF($B119="","",IF($J119="Lu","Lu",IF($J119="Écarté","Écarté",IF($I119&lt;Paramètres!$C$8,"EN RETARD",IF($I119=Paramètres!$C$8,"Ce mois-ci",IF($I119=Paramètres!$C$8+1,"Mois prochain","À venir"))))))</f>
        <v>À venir</v>
      </c>
      <c r="L119" s="30" t="str">
        <f t="shared" si="22"/>
        <v>À télécharger via l'accès ENTPE</v>
      </c>
      <c r="M119" s="31">
        <f ca="1">IF($B119="","",IF(OR($J119="Lu",$J119="Écarté"),0,IFERROR(INDEX(Paramètres!$C$17:$C$19,MATCH($H119,Paramètres!$B$17:$B$19,0)),0)+Paramètres!$C$20*(7-$I119)+IF($I119&lt;Paramètres!$C$8,Paramètres!$C$21,0)+IF($F119="Oui",Paramètres!$C$22,0)+IF($AL119&lt;&gt;"Vérifié",Paramètres!$C$23,0)+IF(AND($O119&lt;&gt;"Oui",OR($AJ119="PDF libre",$AJ119="PDF libre (dépôt)")),Paramètres!$C$24,0)))</f>
        <v>35</v>
      </c>
      <c r="N119" s="32"/>
      <c r="O119" s="33" t="str">
        <f>IF($BB119="","Non",HYPERLINK(DossierPDF&amp;$BB119,"Oui"))</f>
        <v>Non</v>
      </c>
      <c r="P119" s="33" t="s">
        <v>235</v>
      </c>
      <c r="Q119" s="33" t="s">
        <v>235</v>
      </c>
      <c r="R119" s="33"/>
      <c r="S119" s="34"/>
      <c r="T119" s="25" t="s">
        <v>236</v>
      </c>
      <c r="U119" s="26" t="str">
        <f>IF($B119="","",IFERROR(INDEX(Paramètres!$N$6:$N$13,MATCH($T119,Paramètres!$M$6:$M$13,0)),$T119))</f>
        <v>Article de revue</v>
      </c>
      <c r="V119" s="4" t="s">
        <v>1604</v>
      </c>
      <c r="W119" s="28">
        <v>2018</v>
      </c>
      <c r="X119" s="4" t="s">
        <v>1070</v>
      </c>
      <c r="Y119" s="25" t="s">
        <v>1605</v>
      </c>
      <c r="Z119" s="25" t="s">
        <v>711</v>
      </c>
      <c r="AA119" s="25" t="s">
        <v>1606</v>
      </c>
      <c r="AB119" s="25"/>
      <c r="AC119" s="25" t="s">
        <v>1607</v>
      </c>
      <c r="AD119" s="25"/>
      <c r="AE119" s="25" t="s">
        <v>243</v>
      </c>
      <c r="AF119" s="35" t="s">
        <v>1608</v>
      </c>
      <c r="AG119" s="27" t="str">
        <f t="shared" si="23"/>
        <v>doi.org</v>
      </c>
      <c r="AH119" s="27" t="str">
        <f t="shared" si="24"/>
        <v>Scholar</v>
      </c>
      <c r="AI119" s="28" t="s">
        <v>245</v>
      </c>
      <c r="AJ119" s="25" t="s">
        <v>185</v>
      </c>
      <c r="AK119" s="4" t="s">
        <v>1075</v>
      </c>
      <c r="AL119" s="25" t="s">
        <v>247</v>
      </c>
      <c r="AM119" s="4" t="s">
        <v>264</v>
      </c>
      <c r="AN119" s="25" t="s">
        <v>249</v>
      </c>
      <c r="AO119" s="4" t="s">
        <v>1609</v>
      </c>
      <c r="AP119" s="4" t="s">
        <v>1610</v>
      </c>
      <c r="AQ119" s="25" t="s">
        <v>235</v>
      </c>
      <c r="AR119" s="26" t="str">
        <f>IF($B119="","",IFERROR(INDEX(Paramètres!$Q$6:$Q$13,MATCH($G119,Paramètres!$P$6:$P$13,0)),""))</f>
        <v>Fatigue et endommagement</v>
      </c>
      <c r="AS119" s="26" t="str">
        <f>IF($B119="","",IFERROR(INDEX(Paramètres!$T$6:$T$11,MATCH($I119,Paramètres!$S$6:$S$11,0)),""))</f>
        <v>mars 2027</v>
      </c>
      <c r="AT119" s="31">
        <f>IF($B119="","",IFERROR(INDEX(Paramètres!$C$27:$C$29,MATCH($H119,Paramètres!$B$27:$B$29,0)),0))</f>
        <v>1</v>
      </c>
      <c r="AU119" s="29"/>
      <c r="AV119" s="32"/>
      <c r="AW119" s="26" t="str">
        <f t="shared" si="25"/>
        <v>garg2018rutting.md</v>
      </c>
      <c r="AX119" s="26">
        <f>IF($B119="","",COUNTIF($I$2:I119,$I119))</f>
        <v>17</v>
      </c>
      <c r="AY119" s="26" t="str">
        <f t="shared" si="26"/>
        <v>6-17</v>
      </c>
      <c r="AZ119" s="26" t="s">
        <v>1611</v>
      </c>
      <c r="BA119" s="36">
        <f t="shared" ca="1" si="27"/>
        <v>35.008809999999997</v>
      </c>
    </row>
    <row r="120" spans="1:53" ht="45" hidden="1" customHeight="1" x14ac:dyDescent="0.25">
      <c r="A120" s="25" t="s">
        <v>1612</v>
      </c>
      <c r="B120" s="25" t="s">
        <v>1613</v>
      </c>
      <c r="C120" s="26" t="str">
        <f t="shared" si="21"/>
        <v>Guo et al. (2025)</v>
      </c>
      <c r="D120" s="4" t="s">
        <v>1614</v>
      </c>
      <c r="E120" s="27" t="str">
        <f>IF(OR($B120="",$AF120=""),"",HYPERLINK(IF(AND(Paramètres!$C$13&lt;&gt;"",$AJ120="Éditeur (abonnement)"),Paramètres!$C$13&amp;$AF120,$AF120),"Ouvrir : "&amp;$AE120))</f>
        <v>Ouvrir : Texte intégral libre</v>
      </c>
      <c r="F120" s="28" t="s">
        <v>233</v>
      </c>
      <c r="G120" s="28">
        <v>6</v>
      </c>
      <c r="H120" s="25" t="s">
        <v>405</v>
      </c>
      <c r="I120" s="28">
        <v>6</v>
      </c>
      <c r="J120" s="29" t="s">
        <v>234</v>
      </c>
      <c r="K120" s="26" t="str">
        <f ca="1">IF($B120="","",IF($J120="Lu","Lu",IF($J120="Écarté","Écarté",IF($I120&lt;Paramètres!$C$8,"EN RETARD",IF($I120=Paramètres!$C$8,"Ce mois-ci",IF($I120=Paramètres!$C$8+1,"Mois prochain","À venir"))))))</f>
        <v>À venir</v>
      </c>
      <c r="L120" s="30" t="str">
        <f t="shared" si="22"/>
        <v>PDF libre à télécharger</v>
      </c>
      <c r="M120" s="31">
        <f ca="1">IF($B120="","",IF(OR($J120="Lu",$J120="Écarté"),0,IFERROR(INDEX(Paramètres!$C$17:$C$19,MATCH($H120,Paramètres!$B$17:$B$19,0)),0)+Paramètres!$C$20*(7-$I120)+IF($I120&lt;Paramètres!$C$8,Paramètres!$C$21,0)+IF($F120="Oui",Paramètres!$C$22,0)+IF($AL120&lt;&gt;"Vérifié",Paramètres!$C$23,0)+IF(AND($O120&lt;&gt;"Oui",OR($AJ120="PDF libre",$AJ120="PDF libre (dépôt)")),Paramètres!$C$24,0)))</f>
        <v>50</v>
      </c>
      <c r="N120" s="32"/>
      <c r="O120" s="33" t="str">
        <f>IF($BB120="","Non",HYPERLINK(DossierPDF&amp;$BB120,"Oui"))</f>
        <v>Non</v>
      </c>
      <c r="P120" s="33" t="s">
        <v>235</v>
      </c>
      <c r="Q120" s="33" t="s">
        <v>235</v>
      </c>
      <c r="R120" s="33"/>
      <c r="S120" s="34"/>
      <c r="T120" s="25" t="s">
        <v>236</v>
      </c>
      <c r="U120" s="26" t="str">
        <f>IF($B120="","",IFERROR(INDEX(Paramètres!$N$6:$N$13,MATCH($T120,Paramètres!$M$6:$M$13,0)),$T120))</f>
        <v>Article de revue</v>
      </c>
      <c r="V120" s="4" t="s">
        <v>1615</v>
      </c>
      <c r="W120" s="28">
        <v>2025</v>
      </c>
      <c r="X120" s="4" t="s">
        <v>1616</v>
      </c>
      <c r="Y120" s="25" t="s">
        <v>1617</v>
      </c>
      <c r="Z120" s="25" t="s">
        <v>394</v>
      </c>
      <c r="AA120" s="25" t="s">
        <v>1618</v>
      </c>
      <c r="AB120" s="25"/>
      <c r="AC120" s="25" t="s">
        <v>1619</v>
      </c>
      <c r="AD120" s="25"/>
      <c r="AE120" s="25" t="s">
        <v>275</v>
      </c>
      <c r="AF120" s="35" t="s">
        <v>1620</v>
      </c>
      <c r="AG120" s="27" t="str">
        <f t="shared" si="23"/>
        <v>doi.org</v>
      </c>
      <c r="AH120" s="27" t="str">
        <f t="shared" si="24"/>
        <v>Scholar</v>
      </c>
      <c r="AI120" s="28" t="s">
        <v>277</v>
      </c>
      <c r="AJ120" s="25" t="s">
        <v>183</v>
      </c>
      <c r="AK120" s="4" t="s">
        <v>1621</v>
      </c>
      <c r="AL120" s="25" t="s">
        <v>247</v>
      </c>
      <c r="AM120" s="4" t="s">
        <v>264</v>
      </c>
      <c r="AN120" s="25" t="s">
        <v>249</v>
      </c>
      <c r="AO120" s="4" t="s">
        <v>1622</v>
      </c>
      <c r="AP120" s="4" t="s">
        <v>1623</v>
      </c>
      <c r="AQ120" s="25" t="s">
        <v>235</v>
      </c>
      <c r="AR120" s="26" t="str">
        <f>IF($B120="","",IFERROR(INDEX(Paramètres!$Q$6:$Q$13,MATCH($G120,Paramètres!$P$6:$P$13,0)),""))</f>
        <v>Fatigue et endommagement</v>
      </c>
      <c r="AS120" s="26" t="str">
        <f>IF($B120="","",IFERROR(INDEX(Paramètres!$T$6:$T$11,MATCH($I120,Paramètres!$S$6:$S$11,0)),""))</f>
        <v>mars 2027</v>
      </c>
      <c r="AT120" s="31">
        <f>IF($B120="","",IFERROR(INDEX(Paramètres!$C$27:$C$29,MATCH($H120,Paramètres!$B$27:$B$29,0)),0))</f>
        <v>1</v>
      </c>
      <c r="AU120" s="29"/>
      <c r="AV120" s="32"/>
      <c r="AW120" s="26" t="str">
        <f t="shared" si="25"/>
        <v>guo2025rutting.md</v>
      </c>
      <c r="AX120" s="26">
        <f>IF($B120="","",COUNTIF($I$2:I120,$I120))</f>
        <v>18</v>
      </c>
      <c r="AY120" s="26" t="str">
        <f t="shared" si="26"/>
        <v>6-18</v>
      </c>
      <c r="AZ120" s="26" t="s">
        <v>1624</v>
      </c>
      <c r="BA120" s="36">
        <f t="shared" ca="1" si="27"/>
        <v>50.008800000000001</v>
      </c>
    </row>
    <row r="121" spans="1:53" ht="45" customHeight="1" x14ac:dyDescent="0.25">
      <c r="A121" s="25" t="s">
        <v>1625</v>
      </c>
      <c r="B121" s="25" t="s">
        <v>1626</v>
      </c>
      <c r="C121" s="26" t="str">
        <f t="shared" si="21"/>
        <v>Miner (1945)</v>
      </c>
      <c r="D121" s="4" t="s">
        <v>1627</v>
      </c>
      <c r="E121" s="27" t="str">
        <f>IF(OR($B121="",$AF121=""),"",HYPERLINK(IF(AND(Paramètres!$C$13&lt;&gt;"",$AJ121="Éditeur (abonnement)"),Paramètres!$C$13&amp;$AF121,$AF121),"Ouvrir : "&amp;$AE121))</f>
        <v>Ouvrir : Page éditeur (DOI)</v>
      </c>
      <c r="F121" s="28" t="s">
        <v>235</v>
      </c>
      <c r="G121" s="28">
        <v>6</v>
      </c>
      <c r="H121" s="25" t="s">
        <v>405</v>
      </c>
      <c r="I121" s="28">
        <v>6</v>
      </c>
      <c r="J121" s="29" t="s">
        <v>234</v>
      </c>
      <c r="K121" s="26" t="str">
        <f ca="1">IF($B121="","",IF($J121="Lu","Lu",IF($J121="Écarté","Écarté",IF($I121&lt;Paramètres!$C$8,"EN RETARD",IF($I121=Paramètres!$C$8,"Ce mois-ci",IF($I121=Paramètres!$C$8+1,"Mois prochain","À venir"))))))</f>
        <v>À venir</v>
      </c>
      <c r="L121" s="30" t="str">
        <f t="shared" si="22"/>
        <v>À télécharger via l'accès ENTPE</v>
      </c>
      <c r="M121" s="31">
        <f ca="1">IF($B121="","",IF(OR($J121="Lu",$J121="Écarté"),0,IFERROR(INDEX(Paramètres!$C$17:$C$19,MATCH($H121,Paramètres!$B$17:$B$19,0)),0)+Paramètres!$C$20*(7-$I121)+IF($I121&lt;Paramètres!$C$8,Paramètres!$C$21,0)+IF($F121="Oui",Paramètres!$C$22,0)+IF($AL121&lt;&gt;"Vérifié",Paramètres!$C$23,0)+IF(AND($O121&lt;&gt;"Oui",OR($AJ121="PDF libre",$AJ121="PDF libre (dépôt)")),Paramètres!$C$24,0)))</f>
        <v>35</v>
      </c>
      <c r="N121" s="32"/>
      <c r="O121" s="33" t="str">
        <f>IF($BB121="","Non",HYPERLINK(DossierPDF&amp;$BB121,"Oui"))</f>
        <v>Non</v>
      </c>
      <c r="P121" s="33" t="s">
        <v>235</v>
      </c>
      <c r="Q121" s="33" t="s">
        <v>235</v>
      </c>
      <c r="R121" s="33"/>
      <c r="S121" s="34"/>
      <c r="T121" s="25" t="s">
        <v>236</v>
      </c>
      <c r="U121" s="26" t="str">
        <f>IF($B121="","",IFERROR(INDEX(Paramètres!$N$6:$N$13,MATCH($T121,Paramètres!$M$6:$M$13,0)),$T121))</f>
        <v>Article de revue</v>
      </c>
      <c r="V121" s="4" t="s">
        <v>1628</v>
      </c>
      <c r="W121" s="28">
        <v>1945</v>
      </c>
      <c r="X121" s="4" t="s">
        <v>1629</v>
      </c>
      <c r="Y121" s="25" t="s">
        <v>500</v>
      </c>
      <c r="Z121" s="25" t="s">
        <v>827</v>
      </c>
      <c r="AA121" s="25" t="s">
        <v>1630</v>
      </c>
      <c r="AB121" s="25"/>
      <c r="AC121" s="25" t="s">
        <v>1631</v>
      </c>
      <c r="AD121" s="25"/>
      <c r="AE121" s="25" t="s">
        <v>243</v>
      </c>
      <c r="AF121" s="35" t="s">
        <v>1632</v>
      </c>
      <c r="AG121" s="27" t="str">
        <f t="shared" si="23"/>
        <v>doi.org</v>
      </c>
      <c r="AH121" s="27" t="str">
        <f t="shared" si="24"/>
        <v>Scholar</v>
      </c>
      <c r="AI121" s="28" t="s">
        <v>245</v>
      </c>
      <c r="AJ121" s="25" t="s">
        <v>185</v>
      </c>
      <c r="AK121" s="4" t="s">
        <v>1633</v>
      </c>
      <c r="AL121" s="25" t="s">
        <v>247</v>
      </c>
      <c r="AM121" s="4" t="s">
        <v>264</v>
      </c>
      <c r="AN121" s="25" t="s">
        <v>249</v>
      </c>
      <c r="AO121" s="4" t="s">
        <v>1634</v>
      </c>
      <c r="AP121" s="4" t="s">
        <v>1635</v>
      </c>
      <c r="AQ121" s="25" t="s">
        <v>235</v>
      </c>
      <c r="AR121" s="26" t="str">
        <f>IF($B121="","",IFERROR(INDEX(Paramètres!$Q$6:$Q$13,MATCH($G121,Paramètres!$P$6:$P$13,0)),""))</f>
        <v>Fatigue et endommagement</v>
      </c>
      <c r="AS121" s="26" t="str">
        <f>IF($B121="","",IFERROR(INDEX(Paramètres!$T$6:$T$11,MATCH($I121,Paramètres!$S$6:$S$11,0)),""))</f>
        <v>mars 2027</v>
      </c>
      <c r="AT121" s="31">
        <f>IF($B121="","",IFERROR(INDEX(Paramètres!$C$27:$C$29,MATCH($H121,Paramètres!$B$27:$B$29,0)),0))</f>
        <v>1</v>
      </c>
      <c r="AU121" s="29"/>
      <c r="AV121" s="32"/>
      <c r="AW121" s="26" t="str">
        <f t="shared" si="25"/>
        <v>miner1945.md</v>
      </c>
      <c r="AX121" s="26">
        <f>IF($B121="","",COUNTIF($I$2:I121,$I121))</f>
        <v>19</v>
      </c>
      <c r="AY121" s="26" t="str">
        <f t="shared" si="26"/>
        <v>6-19</v>
      </c>
      <c r="AZ121" s="26" t="s">
        <v>1636</v>
      </c>
      <c r="BA121" s="36">
        <f t="shared" ca="1" si="27"/>
        <v>35.008789999999998</v>
      </c>
    </row>
    <row r="122" spans="1:53" ht="45" customHeight="1" x14ac:dyDescent="0.25">
      <c r="A122" s="25" t="s">
        <v>1637</v>
      </c>
      <c r="B122" s="25" t="s">
        <v>1638</v>
      </c>
      <c r="C122" s="26" t="str">
        <f t="shared" si="21"/>
        <v>Bazi et al. (2021)</v>
      </c>
      <c r="D122" s="4" t="s">
        <v>1639</v>
      </c>
      <c r="E122" s="27" t="str">
        <f>IF(OR($B122="",$AF122=""),"",HYPERLINK(IF(AND(Paramètres!$C$13&lt;&gt;"",$AJ122="Éditeur (abonnement)"),Paramètres!$C$13&amp;$AF122,$AF122),"Ouvrir : "&amp;$AE122))</f>
        <v>Ouvrir : Page éditeur (DOI)</v>
      </c>
      <c r="F122" s="28" t="s">
        <v>235</v>
      </c>
      <c r="G122" s="28">
        <v>7</v>
      </c>
      <c r="H122" s="25" t="s">
        <v>405</v>
      </c>
      <c r="I122" s="28">
        <v>6</v>
      </c>
      <c r="J122" s="29" t="s">
        <v>234</v>
      </c>
      <c r="K122" s="26" t="str">
        <f ca="1">IF($B122="","",IF($J122="Lu","Lu",IF($J122="Écarté","Écarté",IF($I122&lt;Paramètres!$C$8,"EN RETARD",IF($I122=Paramètres!$C$8,"Ce mois-ci",IF($I122=Paramètres!$C$8+1,"Mois prochain","À venir"))))))</f>
        <v>À venir</v>
      </c>
      <c r="L122" s="30" t="str">
        <f t="shared" si="22"/>
        <v>À télécharger via l'accès ENTPE</v>
      </c>
      <c r="M122" s="31">
        <f ca="1">IF($B122="","",IF(OR($J122="Lu",$J122="Écarté"),0,IFERROR(INDEX(Paramètres!$C$17:$C$19,MATCH($H122,Paramètres!$B$17:$B$19,0)),0)+Paramètres!$C$20*(7-$I122)+IF($I122&lt;Paramètres!$C$8,Paramètres!$C$21,0)+IF($F122="Oui",Paramètres!$C$22,0)+IF($AL122&lt;&gt;"Vérifié",Paramètres!$C$23,0)+IF(AND($O122&lt;&gt;"Oui",OR($AJ122="PDF libre",$AJ122="PDF libre (dépôt)")),Paramètres!$C$24,0)))</f>
        <v>35</v>
      </c>
      <c r="N122" s="32"/>
      <c r="O122" s="33" t="str">
        <f>IF($BB122="","Non",HYPERLINK(DossierPDF&amp;$BB122,"Oui"))</f>
        <v>Non</v>
      </c>
      <c r="P122" s="33" t="s">
        <v>235</v>
      </c>
      <c r="Q122" s="33" t="s">
        <v>235</v>
      </c>
      <c r="R122" s="33"/>
      <c r="S122" s="34"/>
      <c r="T122" s="25" t="s">
        <v>236</v>
      </c>
      <c r="U122" s="26" t="str">
        <f>IF($B122="","",IFERROR(INDEX(Paramètres!$N$6:$N$13,MATCH($T122,Paramètres!$M$6:$M$13,0)),$T122))</f>
        <v>Article de revue</v>
      </c>
      <c r="V122" s="4" t="s">
        <v>1640</v>
      </c>
      <c r="W122" s="28">
        <v>2021</v>
      </c>
      <c r="X122" s="4" t="s">
        <v>573</v>
      </c>
      <c r="Y122" s="25" t="s">
        <v>1641</v>
      </c>
      <c r="Z122" s="25" t="s">
        <v>463</v>
      </c>
      <c r="AA122" s="25" t="s">
        <v>1642</v>
      </c>
      <c r="AB122" s="25"/>
      <c r="AC122" s="25" t="s">
        <v>1643</v>
      </c>
      <c r="AD122" s="25"/>
      <c r="AE122" s="25" t="s">
        <v>243</v>
      </c>
      <c r="AF122" s="35" t="s">
        <v>1644</v>
      </c>
      <c r="AG122" s="27" t="str">
        <f t="shared" si="23"/>
        <v>doi.org</v>
      </c>
      <c r="AH122" s="27" t="str">
        <f t="shared" si="24"/>
        <v>Scholar</v>
      </c>
      <c r="AI122" s="28" t="s">
        <v>245</v>
      </c>
      <c r="AJ122" s="25" t="s">
        <v>185</v>
      </c>
      <c r="AK122" s="4" t="s">
        <v>480</v>
      </c>
      <c r="AL122" s="25" t="s">
        <v>247</v>
      </c>
      <c r="AM122" s="4" t="s">
        <v>1645</v>
      </c>
      <c r="AN122" s="25" t="s">
        <v>249</v>
      </c>
      <c r="AO122" s="4" t="s">
        <v>1646</v>
      </c>
      <c r="AP122" s="4"/>
      <c r="AQ122" s="25" t="s">
        <v>235</v>
      </c>
      <c r="AR122" s="26" t="str">
        <f>IF($B122="","",IFERROR(INDEX(Paramètres!$Q$6:$Q$13,MATCH($G122,Paramètres!$P$6:$P$13,0)),""))</f>
        <v>Chaussées aéronautiques</v>
      </c>
      <c r="AS122" s="26" t="str">
        <f>IF($B122="","",IFERROR(INDEX(Paramètres!$T$6:$T$11,MATCH($I122,Paramètres!$S$6:$S$11,0)),""))</f>
        <v>mars 2027</v>
      </c>
      <c r="AT122" s="31">
        <f>IF($B122="","",IFERROR(INDEX(Paramètres!$C$27:$C$29,MATCH($H122,Paramètres!$B$27:$B$29,0)),0))</f>
        <v>1</v>
      </c>
      <c r="AU122" s="29"/>
      <c r="AV122" s="32"/>
      <c r="AW122" s="26" t="str">
        <f t="shared" si="25"/>
        <v>bazi2021naptf.md</v>
      </c>
      <c r="AX122" s="26">
        <f>IF($B122="","",COUNTIF($I$2:I122,$I122))</f>
        <v>20</v>
      </c>
      <c r="AY122" s="26" t="str">
        <f t="shared" si="26"/>
        <v>6-20</v>
      </c>
      <c r="AZ122" s="26" t="s">
        <v>1647</v>
      </c>
      <c r="BA122" s="36">
        <f t="shared" ca="1" si="27"/>
        <v>35.008780000000002</v>
      </c>
    </row>
    <row r="123" spans="1:53" ht="45" hidden="1" customHeight="1" x14ac:dyDescent="0.25">
      <c r="A123" s="25" t="s">
        <v>1648</v>
      </c>
      <c r="B123" s="25" t="s">
        <v>1649</v>
      </c>
      <c r="C123" s="26" t="str">
        <f t="shared" si="21"/>
        <v>FAA (2024)</v>
      </c>
      <c r="D123" s="4" t="s">
        <v>1650</v>
      </c>
      <c r="E123" s="27" t="str">
        <f>IF(OR($B123="",$AF123=""),"",HYPERLINK(IF(AND(Paramètres!$C$13&lt;&gt;"",$AJ123="Éditeur (abonnement)"),Paramètres!$C$13&amp;$AF123,$AF123),"Ouvrir : "&amp;$AE123))</f>
        <v>Ouvrir : Texte intégral libre</v>
      </c>
      <c r="F123" s="28" t="s">
        <v>235</v>
      </c>
      <c r="G123" s="28">
        <v>7</v>
      </c>
      <c r="H123" s="25" t="s">
        <v>405</v>
      </c>
      <c r="I123" s="28">
        <v>6</v>
      </c>
      <c r="J123" s="29" t="s">
        <v>234</v>
      </c>
      <c r="K123" s="26" t="str">
        <f ca="1">IF($B123="","",IF($J123="Lu","Lu",IF($J123="Écarté","Écarté",IF($I123&lt;Paramètres!$C$8,"EN RETARD",IF($I123=Paramètres!$C$8,"Ce mois-ci",IF($I123=Paramètres!$C$8+1,"Mois prochain","À venir"))))))</f>
        <v>À venir</v>
      </c>
      <c r="L123" s="30" t="str">
        <f t="shared" si="22"/>
        <v>PDF libre à télécharger</v>
      </c>
      <c r="M123" s="31">
        <f ca="1">IF($B123="","",IF(OR($J123="Lu",$J123="Écarté"),0,IFERROR(INDEX(Paramètres!$C$17:$C$19,MATCH($H123,Paramètres!$B$17:$B$19,0)),0)+Paramètres!$C$20*(7-$I123)+IF($I123&lt;Paramètres!$C$8,Paramètres!$C$21,0)+IF($F123="Oui",Paramètres!$C$22,0)+IF($AL123&lt;&gt;"Vérifié",Paramètres!$C$23,0)+IF(AND($O123&lt;&gt;"Oui",OR($AJ123="PDF libre",$AJ123="PDF libre (dépôt)")),Paramètres!$C$24,0)))</f>
        <v>40</v>
      </c>
      <c r="N123" s="32"/>
      <c r="O123" s="33" t="str">
        <f>IF($BB123="","Non",HYPERLINK(DossierPDF&amp;$BB123,"Oui"))</f>
        <v>Non</v>
      </c>
      <c r="P123" s="33" t="s">
        <v>235</v>
      </c>
      <c r="Q123" s="33" t="s">
        <v>235</v>
      </c>
      <c r="R123" s="33"/>
      <c r="S123" s="34"/>
      <c r="T123" s="25" t="s">
        <v>1106</v>
      </c>
      <c r="U123" s="26" t="str">
        <f>IF($B123="","",IFERROR(INDEX(Paramètres!$N$6:$N$13,MATCH($T123,Paramètres!$M$6:$M$13,0)),$T123))</f>
        <v>Logiciel / manuel</v>
      </c>
      <c r="V123" s="4" t="s">
        <v>1519</v>
      </c>
      <c r="W123" s="28">
        <v>2024</v>
      </c>
      <c r="X123" s="4"/>
      <c r="Y123" s="25"/>
      <c r="Z123" s="25"/>
      <c r="AA123" s="25"/>
      <c r="AB123" s="25" t="s">
        <v>1651</v>
      </c>
      <c r="AC123" s="25"/>
      <c r="AD123" s="25" t="s">
        <v>1652</v>
      </c>
      <c r="AE123" s="25" t="s">
        <v>275</v>
      </c>
      <c r="AF123" s="35" t="s">
        <v>1653</v>
      </c>
      <c r="AG123" s="27" t="str">
        <f t="shared" si="23"/>
        <v/>
      </c>
      <c r="AH123" s="27" t="str">
        <f t="shared" si="24"/>
        <v>Scholar</v>
      </c>
      <c r="AI123" s="28" t="s">
        <v>277</v>
      </c>
      <c r="AJ123" s="25" t="s">
        <v>183</v>
      </c>
      <c r="AK123" s="4" t="s">
        <v>1654</v>
      </c>
      <c r="AL123" s="25" t="s">
        <v>247</v>
      </c>
      <c r="AM123" s="4" t="s">
        <v>1655</v>
      </c>
      <c r="AN123" s="25" t="s">
        <v>249</v>
      </c>
      <c r="AO123" s="4" t="s">
        <v>1656</v>
      </c>
      <c r="AP123" s="4" t="s">
        <v>1657</v>
      </c>
      <c r="AQ123" s="25" t="s">
        <v>233</v>
      </c>
      <c r="AR123" s="26" t="str">
        <f>IF($B123="","",IFERROR(INDEX(Paramètres!$Q$6:$Q$13,MATCH($G123,Paramètres!$P$6:$P$13,0)),""))</f>
        <v>Chaussées aéronautiques</v>
      </c>
      <c r="AS123" s="26" t="str">
        <f>IF($B123="","",IFERROR(INDEX(Paramètres!$T$6:$T$11,MATCH($I123,Paramètres!$S$6:$S$11,0)),""))</f>
        <v>mars 2027</v>
      </c>
      <c r="AT123" s="31">
        <f>IF($B123="","",IFERROR(INDEX(Paramètres!$C$27:$C$29,MATCH($H123,Paramètres!$B$27:$B$29,0)),0))</f>
        <v>1</v>
      </c>
      <c r="AU123" s="29"/>
      <c r="AV123" s="32"/>
      <c r="AW123" s="26" t="str">
        <f t="shared" si="25"/>
        <v>faa2024faarfield.md</v>
      </c>
      <c r="AX123" s="26">
        <f>IF($B123="","",COUNTIF($I$2:I123,$I123))</f>
        <v>21</v>
      </c>
      <c r="AY123" s="26" t="str">
        <f t="shared" si="26"/>
        <v>6-21</v>
      </c>
      <c r="AZ123" s="26" t="s">
        <v>1658</v>
      </c>
      <c r="BA123" s="36">
        <f t="shared" ca="1" si="27"/>
        <v>40.008769999999998</v>
      </c>
    </row>
    <row r="124" spans="1:54" ht="127.5" x14ac:dyDescent="0.25">
      <c r="A124" s="25" t="s">
        <v>3175</v>
      </c>
      <c r="B124" s="25" t="s">
        <v>3176</v>
      </c>
      <c r="C124" s="26" t="str">
        <f t="shared" si="21"/>
        <v>Kausel &amp; Roësset (1981)</v>
      </c>
      <c r="D124" s="4" t="s">
        <v>3177</v>
      </c>
      <c r="E124" s="27" t="str">
        <f>IF(OR($B124="",$AF124=""),"",HYPERLINK(IF(AND(Paramètres!$C$13&lt;&gt;"",$AJ124="Éditeur (abonnement)"),Paramètres!$C$13&amp;$AF124,$AF124),"Ouvrir : "&amp;$AE124))</f>
        <v>Ouvrir : Page éditeur (DOI)</v>
      </c>
      <c r="F124" s="28" t="s">
        <v>235</v>
      </c>
      <c r="G124" s="28">
        <v>5</v>
      </c>
      <c r="H124" s="25" t="s">
        <v>122</v>
      </c>
      <c r="I124" s="28">
        <v>5</v>
      </c>
      <c r="J124" s="29" t="s">
        <v>234</v>
      </c>
      <c r="K124" s="26" t="str">
        <f ca="1">IF($B124="","",IF($J124="Lu","Lu",IF($J124="Écarté","Écarté",IF($I124&lt;Paramètres!$C$8,"EN RETARD",IF($I124=Paramètres!$C$8,"Ce mois-ci",IF($I124=Paramètres!$C$8+1,"Mois prochain","À venir"))))))</f>
        <v>À venir</v>
      </c>
      <c r="L124" s="30" t="str">
        <f t="shared" ca="1" si="22"/>
        <v/>
      </c>
      <c r="M124" s="31">
        <f ca="1">IF($B124="","",IF(OR($J124="Lu",$J124="Écarté"),0,IFERROR(INDEX(Paramètres!$C$17:$C$19,MATCH($H124,Paramètres!$B$17:$B$19,0)),0)+Paramètres!$C$20*(7-$I124)+IF($I124&lt;Paramètres!$C$8,Paramètres!$C$21,0)+IF($F124="Oui",Paramètres!$C$22,0)+IF($AL124&lt;&gt;"Vérifié",Paramètres!$C$23,0)+IF(AND($O124&lt;&gt;"Oui",OR($AJ124="PDF libre",$AJ124="PDF libre (dépôt)")),Paramètres!$C$24,0)))</f>
        <v>110</v>
      </c>
      <c r="N124" s="32"/>
      <c r="O124" s="33" t="str">
        <f ca="1">IF($B124="","Non",HYPERLINK(DossierPDF&amp;$BB124,"Oui"))</f>
        <v>Oui</v>
      </c>
      <c r="P124" s="33" t="s">
        <v>235</v>
      </c>
      <c r="Q124" s="33" t="s">
        <v>235</v>
      </c>
      <c r="R124" s="33"/>
      <c r="S124" s="34"/>
      <c r="T124" s="25" t="s">
        <v>236</v>
      </c>
      <c r="U124" s="26" t="str">
        <f>IF($B124="","",IFERROR(INDEX(Paramètres!$N$6:$N$13,MATCH($T124,Paramètres!$M$6:$M$13,0)),$T124))</f>
        <v>Article de revue</v>
      </c>
      <c r="V124" s="4" t="s">
        <v>3178</v>
      </c>
      <c r="W124" s="28">
        <v>1981</v>
      </c>
      <c r="X124" s="4" t="s">
        <v>3179</v>
      </c>
      <c r="Y124" s="25" t="s">
        <v>3180</v>
      </c>
      <c r="Z124" s="25" t="s">
        <v>464</v>
      </c>
      <c r="AA124" s="25" t="s">
        <v>3181</v>
      </c>
      <c r="AB124" s="25"/>
      <c r="AC124" s="25" t="s">
        <v>3182</v>
      </c>
      <c r="AD124" s="25"/>
      <c r="AE124" s="25" t="s">
        <v>243</v>
      </c>
      <c r="AF124" s="35" t="s">
        <v>3183</v>
      </c>
      <c r="AG124" s="27" t="str">
        <f t="shared" si="23"/>
        <v>doi.org</v>
      </c>
      <c r="AH124" s="27" t="str">
        <f t="shared" si="24"/>
        <v>Scholar</v>
      </c>
      <c r="AI124" s="28" t="s">
        <v>245</v>
      </c>
      <c r="AJ124" s="25" t="s">
        <v>185</v>
      </c>
      <c r="AK124" s="4" t="s">
        <v>3184</v>
      </c>
      <c r="AL124" s="25" t="s">
        <v>247</v>
      </c>
      <c r="AM124" s="4" t="s">
        <v>3185</v>
      </c>
      <c r="AN124" s="25" t="s">
        <v>3186</v>
      </c>
      <c r="AO124" s="4" t="s">
        <v>3187</v>
      </c>
      <c r="AP124" s="4" t="s">
        <v>3188</v>
      </c>
      <c r="AQ124" s="25" t="s">
        <v>235</v>
      </c>
      <c r="AR124" s="26" t="str">
        <f>IF($B124="","",IFERROR(INDEX(Paramètres!$Q$6:$Q$13,MATCH($G124,Paramètres!$P$6:$P$13,0)),""))</f>
        <v>Calcul de structures viscoélastiques</v>
      </c>
      <c r="AS124" s="26" t="str">
        <f>IF($B124="","",IFERROR(INDEX(Paramètres!$T$6:$T$11,MATCH($I124,Paramètres!$S$6:$S$11,0)),""))</f>
        <v>février 2027</v>
      </c>
      <c r="AT124" s="31">
        <f>IF($B124="","",IFERROR(INDEX(Paramètres!$C$27:$C$29,MATCH($H124,Paramètres!$B$27:$B$29,0)),0))</f>
        <v>6</v>
      </c>
      <c r="AU124" s="29"/>
      <c r="AV124" s="32"/>
      <c r="AW124" s="26" t="str">
        <f t="shared" si="25"/>
        <v>kausel1981stiffness.md</v>
      </c>
      <c r="AX124" s="26">
        <f>IF($B124="","",COUNTIF($I$2:I124,$I124))</f>
        <v>18</v>
      </c>
      <c r="AY124" s="26" t="str">
        <f t="shared" si="26"/>
        <v>5-18</v>
      </c>
      <c r="AZ124" s="26" t="s">
        <v>3189</v>
      </c>
      <c r="BA124" s="36">
        <f t="shared" ca="1" si="27"/>
        <v>110.00876</v>
      </c>
      <c r="BB124" t="inlineStr">
        <is>
          <t>BIB-123_Kausel-Roesset_1981_Stiffness-matrices-layered-soils.pdf</t>
        </is>
      </c>
    </row>
    <row r="125" spans="1:54" ht="102" hidden="1" x14ac:dyDescent="0.25">
      <c r="A125" s="25" t="s">
        <v>3190</v>
      </c>
      <c r="B125" s="25" t="s">
        <v>3191</v>
      </c>
      <c r="C125" s="26" t="str">
        <f t="shared" si="21"/>
        <v>Burmister (1943)</v>
      </c>
      <c r="D125" s="4" t="s">
        <v>3192</v>
      </c>
      <c r="E125" s="27" t="str">
        <f>IF(OR($B125="",$AF125=""),"",HYPERLINK(IF(AND(Paramètres!$C$13&lt;&gt;"",$AJ125="Éditeur (abonnement)"),Paramètres!$C$13&amp;$AF125,$AF125),"Ouvrir : "&amp;$AE125))</f>
        <v>Ouvrir : Recherche Google Scholar</v>
      </c>
      <c r="F125" s="28" t="s">
        <v>235</v>
      </c>
      <c r="G125" s="28">
        <v>5</v>
      </c>
      <c r="H125" s="25" t="s">
        <v>338</v>
      </c>
      <c r="I125" s="28">
        <v>4</v>
      </c>
      <c r="J125" s="29" t="s">
        <v>234</v>
      </c>
      <c r="K125" s="26" t="str">
        <f ca="1">IF($B125="","",IF($J125="Lu","Lu",IF($J125="Écarté","Écarté",IF($I125&lt;Paramètres!$C$8,"EN RETARD",IF($I125=Paramètres!$C$8,"Ce mois-ci",IF($I125=Paramètres!$C$8+1,"Mois prochain","À venir"))))))</f>
        <v>À venir</v>
      </c>
      <c r="L125" s="30" t="str">
        <f t="shared" si="22"/>
        <v>Vérification à compléter avant de citer</v>
      </c>
      <c r="M125" s="31">
        <f ca="1">IF($B125="","",IF(OR($J125="Lu",$J125="Écarté"),0,IFERROR(INDEX(Paramètres!$C$17:$C$19,MATCH($H125,Paramètres!$B$17:$B$19,0)),0)+Paramètres!$C$20*(7-$I125)+IF($I125&lt;Paramètres!$C$8,Paramètres!$C$21,0)+IF($F125="Oui",Paramètres!$C$22,0)+IF($AL125&lt;&gt;"Vérifié",Paramètres!$C$23,0)+IF(AND($O125&lt;&gt;"Oui",OR($AJ125="PDF libre",$AJ125="PDF libre (dépôt)")),Paramètres!$C$24,0)))</f>
        <v>90</v>
      </c>
      <c r="N125" s="32"/>
      <c r="O125" s="33" t="str">
        <f ca="1">IF($B125="","Non",HYPERLINK(DossierPDF&amp;$BB125,"Oui"))</f>
        <v>Oui</v>
      </c>
      <c r="P125" s="33" t="s">
        <v>235</v>
      </c>
      <c r="Q125" s="33" t="s">
        <v>235</v>
      </c>
      <c r="R125" s="33"/>
      <c r="S125" s="34"/>
      <c r="T125" s="25" t="s">
        <v>286</v>
      </c>
      <c r="U125" s="26" t="str">
        <f>IF($B125="","",IFERROR(INDEX(Paramètres!$N$6:$N$13,MATCH($T125,Paramètres!$M$6:$M$13,0)),$T125))</f>
        <v>Communication (actes)</v>
      </c>
      <c r="V125" s="4" t="s">
        <v>997</v>
      </c>
      <c r="W125" s="28">
        <v>1943</v>
      </c>
      <c r="X125" s="4" t="s">
        <v>3193</v>
      </c>
      <c r="Y125" s="25" t="s">
        <v>711</v>
      </c>
      <c r="Z125" s="25"/>
      <c r="AA125" s="25"/>
      <c r="AB125" s="25"/>
      <c r="AC125" s="25"/>
      <c r="AD125" s="25"/>
      <c r="AE125" s="25" t="s">
        <v>341</v>
      </c>
      <c r="AF125" s="35" t="s">
        <v>3194</v>
      </c>
      <c r="AG125" s="27" t="str">
        <f t="shared" si="23"/>
        <v/>
      </c>
      <c r="AH125" s="27" t="str">
        <f t="shared" si="24"/>
        <v>Scholar</v>
      </c>
      <c r="AI125" s="28" t="s">
        <v>689</v>
      </c>
      <c r="AJ125" s="25" t="s">
        <v>188</v>
      </c>
      <c r="AK125" s="4" t="s">
        <v>3195</v>
      </c>
      <c r="AL125" s="25" t="s">
        <v>517</v>
      </c>
      <c r="AM125" s="4" t="s">
        <v>3196</v>
      </c>
      <c r="AN125" s="25" t="s">
        <v>3186</v>
      </c>
      <c r="AO125" s="4" t="s">
        <v>3197</v>
      </c>
      <c r="AP125" s="4" t="s">
        <v>1170</v>
      </c>
      <c r="AQ125" s="25" t="s">
        <v>235</v>
      </c>
      <c r="AR125" s="26" t="str">
        <f>IF($B125="","",IFERROR(INDEX(Paramètres!$Q$6:$Q$13,MATCH($G125,Paramètres!$P$6:$P$13,0)),""))</f>
        <v>Calcul de structures viscoélastiques</v>
      </c>
      <c r="AS125" s="26" t="str">
        <f>IF($B125="","",IFERROR(INDEX(Paramètres!$T$6:$T$11,MATCH($I125,Paramètres!$S$6:$S$11,0)),""))</f>
        <v>janvier 2027</v>
      </c>
      <c r="AT125" s="31">
        <f>IF($B125="","",IFERROR(INDEX(Paramètres!$C$27:$C$29,MATCH($H125,Paramètres!$B$27:$B$29,0)),0))</f>
        <v>3</v>
      </c>
      <c r="AU125" s="29"/>
      <c r="AV125" s="32"/>
      <c r="AW125" s="26" t="str">
        <f t="shared" si="25"/>
        <v>burmister1943runways.md</v>
      </c>
      <c r="AX125" s="26">
        <f>IF($B125="","",COUNTIF($I$2:I125,$I125))</f>
        <v>23</v>
      </c>
      <c r="AY125" s="26" t="str">
        <f t="shared" si="26"/>
        <v>4-23</v>
      </c>
      <c r="AZ125" s="26" t="s">
        <v>3194</v>
      </c>
      <c r="BA125" s="36">
        <f t="shared" ca="1" si="27"/>
        <v>90.008750000000006</v>
      </c>
      <c r="BB125" t="inlineStr">
        <is>
          <t>BIB-124_Burmister_1943_Layered-systems-airport-runways.pdf</t>
        </is>
      </c>
    </row>
    <row r="126" spans="1:53" ht="76.5" x14ac:dyDescent="0.25">
      <c r="A126" s="25" t="s">
        <v>3198</v>
      </c>
      <c r="B126" s="25" t="s">
        <v>3199</v>
      </c>
      <c r="C126" s="26" t="str">
        <f t="shared" si="21"/>
        <v>Thomson (1950)</v>
      </c>
      <c r="D126" s="4" t="s">
        <v>3200</v>
      </c>
      <c r="E126" s="27" t="str">
        <f>IF(OR($B126="",$AF126=""),"",HYPERLINK(IF(AND(Paramètres!$C$13&lt;&gt;"",$AJ126="Éditeur (abonnement)"),Paramètres!$C$13&amp;$AF126,$AF126),"Ouvrir : "&amp;$AE126))</f>
        <v>Ouvrir : Page éditeur (DOI)</v>
      </c>
      <c r="F126" s="28" t="s">
        <v>235</v>
      </c>
      <c r="G126" s="28">
        <v>5</v>
      </c>
      <c r="H126" s="25" t="s">
        <v>405</v>
      </c>
      <c r="I126" s="28">
        <v>5</v>
      </c>
      <c r="J126" s="29" t="s">
        <v>234</v>
      </c>
      <c r="K126" s="26" t="str">
        <f ca="1">IF($B126="","",IF($J126="Lu","Lu",IF($J126="Écarté","Écarté",IF($I126&lt;Paramètres!$C$8,"EN RETARD",IF($I126=Paramètres!$C$8,"Ce mois-ci",IF($I126=Paramètres!$C$8+1,"Mois prochain","À venir"))))))</f>
        <v>À venir</v>
      </c>
      <c r="L126" s="30" t="str">
        <f t="shared" si="22"/>
        <v>Vérification à compléter avant de citer</v>
      </c>
      <c r="M126" s="31">
        <f ca="1">IF($B126="","",IF(OR($J126="Lu",$J126="Écarté"),0,IFERROR(INDEX(Paramètres!$C$17:$C$19,MATCH($H126,Paramètres!$B$17:$B$19,0)),0)+Paramètres!$C$20*(7-$I126)+IF($I126&lt;Paramètres!$C$8,Paramètres!$C$21,0)+IF($F126="Oui",Paramètres!$C$22,0)+IF($AL126&lt;&gt;"Vérifié",Paramètres!$C$23,0)+IF(AND($O126&lt;&gt;"Oui",OR($AJ126="PDF libre",$AJ126="PDF libre (dépôt)")),Paramètres!$C$24,0)))</f>
        <v>55</v>
      </c>
      <c r="N126" s="32"/>
      <c r="O126" s="33" t="str">
        <f ca="1">IF($B126="","Non",HYPERLINK(DossierPDF&amp;$BB126,"Oui"))</f>
        <v>Oui</v>
      </c>
      <c r="P126" s="33" t="s">
        <v>235</v>
      </c>
      <c r="Q126" s="33" t="s">
        <v>235</v>
      </c>
      <c r="R126" s="33"/>
      <c r="S126" s="34"/>
      <c r="T126" s="25" t="s">
        <v>236</v>
      </c>
      <c r="U126" s="26" t="str">
        <f>IF($B126="","",IFERROR(INDEX(Paramètres!$N$6:$N$13,MATCH($T126,Paramètres!$M$6:$M$13,0)),$T126))</f>
        <v>Article de revue</v>
      </c>
      <c r="V126" s="4" t="s">
        <v>3201</v>
      </c>
      <c r="W126" s="28">
        <v>1950</v>
      </c>
      <c r="X126" s="4" t="s">
        <v>998</v>
      </c>
      <c r="Y126" s="25" t="s">
        <v>1463</v>
      </c>
      <c r="Z126" s="25" t="s">
        <v>368</v>
      </c>
      <c r="AA126" s="25" t="s">
        <v>3202</v>
      </c>
      <c r="AB126" s="25"/>
      <c r="AC126" s="25" t="s">
        <v>3203</v>
      </c>
      <c r="AD126" s="25"/>
      <c r="AE126" s="25" t="s">
        <v>243</v>
      </c>
      <c r="AF126" s="35" t="s">
        <v>3204</v>
      </c>
      <c r="AG126" s="27" t="str">
        <f t="shared" si="23"/>
        <v>doi.org</v>
      </c>
      <c r="AH126" s="27" t="str">
        <f t="shared" si="24"/>
        <v>Scholar</v>
      </c>
      <c r="AI126" s="28" t="s">
        <v>245</v>
      </c>
      <c r="AJ126" s="25" t="s">
        <v>185</v>
      </c>
      <c r="AK126" s="4" t="s">
        <v>3205</v>
      </c>
      <c r="AL126" s="25" t="s">
        <v>517</v>
      </c>
      <c r="AM126" s="4" t="s">
        <v>3206</v>
      </c>
      <c r="AN126" s="25" t="s">
        <v>3186</v>
      </c>
      <c r="AO126" s="4" t="s">
        <v>3207</v>
      </c>
      <c r="AP126" s="4" t="s">
        <v>3208</v>
      </c>
      <c r="AQ126" s="25" t="s">
        <v>235</v>
      </c>
      <c r="AR126" s="26" t="str">
        <f>IF($B126="","",IFERROR(INDEX(Paramètres!$Q$6:$Q$13,MATCH($G126,Paramètres!$P$6:$P$13,0)),""))</f>
        <v>Calcul de structures viscoélastiques</v>
      </c>
      <c r="AS126" s="26" t="str">
        <f>IF($B126="","",IFERROR(INDEX(Paramètres!$T$6:$T$11,MATCH($I126,Paramètres!$S$6:$S$11,0)),""))</f>
        <v>février 2027</v>
      </c>
      <c r="AT126" s="31">
        <f>IF($B126="","",IFERROR(INDEX(Paramètres!$C$27:$C$29,MATCH($H126,Paramètres!$B$27:$B$29,0)),0))</f>
        <v>1</v>
      </c>
      <c r="AU126" s="29"/>
      <c r="AV126" s="32"/>
      <c r="AW126" s="26" t="str">
        <f t="shared" si="25"/>
        <v>thomson1950transmission.md</v>
      </c>
      <c r="AX126" s="26">
        <f>IF($B126="","",COUNTIF($I$2:I126,$I126))</f>
        <v>19</v>
      </c>
      <c r="AY126" s="26" t="str">
        <f t="shared" si="26"/>
        <v>5-19</v>
      </c>
      <c r="AZ126" s="26" t="s">
        <v>3209</v>
      </c>
      <c r="BA126" s="36">
        <f t="shared" ca="1" si="27"/>
        <v>55.008740000000003</v>
      </c>
    </row>
    <row r="127" spans="1:53" ht="127.5" x14ac:dyDescent="0.25">
      <c r="A127" s="25" t="s">
        <v>3210</v>
      </c>
      <c r="B127" s="25" t="s">
        <v>3211</v>
      </c>
      <c r="C127" s="26" t="str">
        <f t="shared" si="21"/>
        <v>Haskell (1953)</v>
      </c>
      <c r="D127" s="4" t="s">
        <v>3212</v>
      </c>
      <c r="E127" s="27" t="str">
        <f>IF(OR($B127="",$AF127=""),"",HYPERLINK(IF(AND(Paramètres!$C$13&lt;&gt;"",$AJ127="Éditeur (abonnement)"),Paramètres!$C$13&amp;$AF127,$AF127),"Ouvrir : "&amp;$AE127))</f>
        <v>Ouvrir : Page éditeur (DOI)</v>
      </c>
      <c r="F127" s="28" t="s">
        <v>235</v>
      </c>
      <c r="G127" s="28">
        <v>5</v>
      </c>
      <c r="H127" s="25" t="s">
        <v>405</v>
      </c>
      <c r="I127" s="28">
        <v>5</v>
      </c>
      <c r="J127" s="29" t="s">
        <v>234</v>
      </c>
      <c r="K127" s="26" t="str">
        <f ca="1">IF($B127="","",IF($J127="Lu","Lu",IF($J127="Écarté","Écarté",IF($I127&lt;Paramètres!$C$8,"EN RETARD",IF($I127=Paramètres!$C$8,"Ce mois-ci",IF($I127=Paramètres!$C$8+1,"Mois prochain","À venir"))))))</f>
        <v>À venir</v>
      </c>
      <c r="L127" s="30" t="str">
        <f t="shared" si="22"/>
        <v>Vérification à compléter avant de citer</v>
      </c>
      <c r="M127" s="31">
        <f ca="1">IF($B127="","",IF(OR($J127="Lu",$J127="Écarté"),0,IFERROR(INDEX(Paramètres!$C$17:$C$19,MATCH($H127,Paramètres!$B$17:$B$19,0)),0)+Paramètres!$C$20*(7-$I127)+IF($I127&lt;Paramètres!$C$8,Paramètres!$C$21,0)+IF($F127="Oui",Paramètres!$C$22,0)+IF($AL127&lt;&gt;"Vérifié",Paramètres!$C$23,0)+IF(AND($O127&lt;&gt;"Oui",OR($AJ127="PDF libre",$AJ127="PDF libre (dépôt)")),Paramètres!$C$24,0)))</f>
        <v>55</v>
      </c>
      <c r="N127" s="32"/>
      <c r="O127" s="33" t="str">
        <f ca="1">IF($B127="","Non",HYPERLINK(DossierPDF&amp;$BB127,"Oui"))</f>
        <v>Oui</v>
      </c>
      <c r="P127" s="33" t="s">
        <v>235</v>
      </c>
      <c r="Q127" s="33" t="s">
        <v>235</v>
      </c>
      <c r="R127" s="33"/>
      <c r="S127" s="34"/>
      <c r="T127" s="25" t="s">
        <v>236</v>
      </c>
      <c r="U127" s="26" t="str">
        <f>IF($B127="","",IFERROR(INDEX(Paramètres!$N$6:$N$13,MATCH($T127,Paramètres!$M$6:$M$13,0)),$T127))</f>
        <v>Article de revue</v>
      </c>
      <c r="V127" s="4" t="s">
        <v>3213</v>
      </c>
      <c r="W127" s="28">
        <v>1953</v>
      </c>
      <c r="X127" s="4" t="s">
        <v>3179</v>
      </c>
      <c r="Y127" s="25" t="s">
        <v>3214</v>
      </c>
      <c r="Z127" s="25" t="s">
        <v>394</v>
      </c>
      <c r="AA127" s="25" t="s">
        <v>3215</v>
      </c>
      <c r="AB127" s="25"/>
      <c r="AC127" s="25" t="s">
        <v>3216</v>
      </c>
      <c r="AD127" s="25"/>
      <c r="AE127" s="25" t="s">
        <v>243</v>
      </c>
      <c r="AF127" s="35" t="s">
        <v>3217</v>
      </c>
      <c r="AG127" s="27" t="str">
        <f t="shared" si="23"/>
        <v>doi.org</v>
      </c>
      <c r="AH127" s="27" t="str">
        <f t="shared" si="24"/>
        <v>Scholar</v>
      </c>
      <c r="AI127" s="28" t="s">
        <v>245</v>
      </c>
      <c r="AJ127" s="25" t="s">
        <v>185</v>
      </c>
      <c r="AK127" s="4" t="s">
        <v>3218</v>
      </c>
      <c r="AL127" s="25" t="s">
        <v>517</v>
      </c>
      <c r="AM127" s="4" t="s">
        <v>3206</v>
      </c>
      <c r="AN127" s="25" t="s">
        <v>3186</v>
      </c>
      <c r="AO127" s="4" t="s">
        <v>3219</v>
      </c>
      <c r="AP127" s="4" t="s">
        <v>3220</v>
      </c>
      <c r="AQ127" s="25" t="s">
        <v>235</v>
      </c>
      <c r="AR127" s="26" t="str">
        <f>IF($B127="","",IFERROR(INDEX(Paramètres!$Q$6:$Q$13,MATCH($G127,Paramètres!$P$6:$P$13,0)),""))</f>
        <v>Calcul de structures viscoélastiques</v>
      </c>
      <c r="AS127" s="26" t="str">
        <f>IF($B127="","",IFERROR(INDEX(Paramètres!$T$6:$T$11,MATCH($I127,Paramètres!$S$6:$S$11,0)),""))</f>
        <v>février 2027</v>
      </c>
      <c r="AT127" s="31">
        <f>IF($B127="","",IFERROR(INDEX(Paramètres!$C$27:$C$29,MATCH($H127,Paramètres!$B$27:$B$29,0)),0))</f>
        <v>1</v>
      </c>
      <c r="AU127" s="29"/>
      <c r="AV127" s="32"/>
      <c r="AW127" s="26" t="str">
        <f t="shared" si="25"/>
        <v>haskell1953dispersion.md</v>
      </c>
      <c r="AX127" s="26">
        <f>IF($B127="","",COUNTIF($I$2:I127,$I127))</f>
        <v>20</v>
      </c>
      <c r="AY127" s="26" t="str">
        <f t="shared" si="26"/>
        <v>5-20</v>
      </c>
      <c r="AZ127" s="26" t="s">
        <v>3221</v>
      </c>
      <c r="BA127" s="36">
        <f t="shared" ca="1" si="27"/>
        <v>55.00873</v>
      </c>
    </row>
    <row r="128" spans="1:53" ht="127.5" x14ac:dyDescent="0.25">
      <c r="A128" s="25" t="s">
        <v>3222</v>
      </c>
      <c r="B128" s="25" t="s">
        <v>3223</v>
      </c>
      <c r="C128" s="26" t="str">
        <f t="shared" si="21"/>
        <v>Kausel &amp; Peek (1982)</v>
      </c>
      <c r="D128" s="4" t="s">
        <v>3224</v>
      </c>
      <c r="E128" s="27" t="str">
        <f>IF(OR($B128="",$AF128=""),"",HYPERLINK(IF(AND(Paramètres!$C$13&lt;&gt;"",$AJ128="Éditeur (abonnement)"),Paramètres!$C$13&amp;$AF128,$AF128),"Ouvrir : "&amp;$AE128))</f>
        <v>Ouvrir : Page éditeur (DOI)</v>
      </c>
      <c r="F128" s="28" t="s">
        <v>235</v>
      </c>
      <c r="G128" s="28">
        <v>5</v>
      </c>
      <c r="H128" s="25" t="s">
        <v>405</v>
      </c>
      <c r="I128" s="28">
        <v>5</v>
      </c>
      <c r="J128" s="29" t="s">
        <v>234</v>
      </c>
      <c r="K128" s="26" t="str">
        <f ca="1">IF($B128="","",IF($J128="Lu","Lu",IF($J128="Écarté","Écarté",IF($I128&lt;Paramètres!$C$8,"EN RETARD",IF($I128=Paramètres!$C$8,"Ce mois-ci",IF($I128=Paramètres!$C$8+1,"Mois prochain","À venir"))))))</f>
        <v>À venir</v>
      </c>
      <c r="L128" s="30" t="str">
        <f t="shared" ca="1" si="22"/>
        <v/>
      </c>
      <c r="M128" s="31">
        <f ca="1">IF($B128="","",IF(OR($J128="Lu",$J128="Écarté"),0,IFERROR(INDEX(Paramètres!$C$17:$C$19,MATCH($H128,Paramètres!$B$17:$B$19,0)),0)+Paramètres!$C$20*(7-$I128)+IF($I128&lt;Paramètres!$C$8,Paramètres!$C$21,0)+IF($F128="Oui",Paramètres!$C$22,0)+IF($AL128&lt;&gt;"Vérifié",Paramètres!$C$23,0)+IF(AND($O128&lt;&gt;"Oui",OR($AJ128="PDF libre",$AJ128="PDF libre (dépôt)")),Paramètres!$C$24,0)))</f>
        <v>40</v>
      </c>
      <c r="N128" s="32"/>
      <c r="O128" s="33" t="str">
        <f ca="1">IF($B128="","Non",HYPERLINK(DossierPDF&amp;$BB128,"Oui"))</f>
        <v>Oui</v>
      </c>
      <c r="P128" s="33" t="s">
        <v>235</v>
      </c>
      <c r="Q128" s="33" t="s">
        <v>235</v>
      </c>
      <c r="R128" s="33"/>
      <c r="S128" s="34"/>
      <c r="T128" s="25" t="s">
        <v>236</v>
      </c>
      <c r="U128" s="26" t="str">
        <f>IF($B128="","",IFERROR(INDEX(Paramètres!$N$6:$N$13,MATCH($T128,Paramètres!$M$6:$M$13,0)),$T128))</f>
        <v>Article de revue</v>
      </c>
      <c r="V128" s="4" t="s">
        <v>3225</v>
      </c>
      <c r="W128" s="28">
        <v>1982</v>
      </c>
      <c r="X128" s="4" t="s">
        <v>3179</v>
      </c>
      <c r="Y128" s="25" t="s">
        <v>3226</v>
      </c>
      <c r="Z128" s="25" t="s">
        <v>475</v>
      </c>
      <c r="AA128" s="25" t="s">
        <v>3227</v>
      </c>
      <c r="AB128" s="25"/>
      <c r="AC128" s="25" t="s">
        <v>3228</v>
      </c>
      <c r="AD128" s="25"/>
      <c r="AE128" s="25" t="s">
        <v>243</v>
      </c>
      <c r="AF128" s="35" t="s">
        <v>3229</v>
      </c>
      <c r="AG128" s="27" t="str">
        <f t="shared" si="23"/>
        <v>doi.org</v>
      </c>
      <c r="AH128" s="27" t="str">
        <f t="shared" si="24"/>
        <v>Scholar</v>
      </c>
      <c r="AI128" s="28" t="s">
        <v>245</v>
      </c>
      <c r="AJ128" s="25" t="s">
        <v>185</v>
      </c>
      <c r="AK128" s="4" t="s">
        <v>3218</v>
      </c>
      <c r="AL128" s="25" t="s">
        <v>247</v>
      </c>
      <c r="AM128" s="4" t="s">
        <v>3185</v>
      </c>
      <c r="AN128" s="25" t="s">
        <v>3186</v>
      </c>
      <c r="AO128" s="4" t="s">
        <v>3230</v>
      </c>
      <c r="AP128" s="4" t="s">
        <v>3231</v>
      </c>
      <c r="AQ128" s="25" t="s">
        <v>235</v>
      </c>
      <c r="AR128" s="26" t="str">
        <f>IF($B128="","",IFERROR(INDEX(Paramètres!$Q$6:$Q$13,MATCH($G128,Paramètres!$P$6:$P$13,0)),""))</f>
        <v>Calcul de structures viscoélastiques</v>
      </c>
      <c r="AS128" s="26" t="str">
        <f>IF($B128="","",IFERROR(INDEX(Paramètres!$T$6:$T$11,MATCH($I128,Paramètres!$S$6:$S$11,0)),""))</f>
        <v>février 2027</v>
      </c>
      <c r="AT128" s="31">
        <f>IF($B128="","",IFERROR(INDEX(Paramètres!$C$27:$C$29,MATCH($H128,Paramètres!$B$27:$B$29,0)),0))</f>
        <v>1</v>
      </c>
      <c r="AU128" s="29"/>
      <c r="AV128" s="32"/>
      <c r="AW128" s="26" t="str">
        <f t="shared" si="25"/>
        <v>kausel1982peek.md</v>
      </c>
      <c r="AX128" s="26">
        <f>IF($B128="","",COUNTIF($I$2:I128,$I128))</f>
        <v>21</v>
      </c>
      <c r="AY128" s="26" t="str">
        <f t="shared" si="26"/>
        <v>5-21</v>
      </c>
      <c r="AZ128" s="26" t="s">
        <v>3232</v>
      </c>
      <c r="BA128" s="36">
        <f t="shared" ca="1" si="27"/>
        <v>40.008719999999997</v>
      </c>
    </row>
    <row r="129" spans="1:54" ht="25.5" hidden="1" x14ac:dyDescent="0.25">
      <c r="A129" s="25" t="s">
        <v>3233</v>
      </c>
      <c r="B129" s="25" t="s">
        <v>3234</v>
      </c>
      <c r="C129" s="26" t="str">
        <f t="shared" si="21"/>
        <v>Kausel (2006)</v>
      </c>
      <c r="D129" s="4" t="s">
        <v>3235</v>
      </c>
      <c r="E129" s="27" t="str">
        <f>IF(OR($B129="",$AF129=""),"",HYPERLINK(IF(AND(Paramètres!$C$13&lt;&gt;"",$AJ129="Éditeur (abonnement)"),Paramètres!$C$13&amp;$AF129,$AF129),"Ouvrir : "&amp;$AE129))</f>
        <v>Ouvrir : Recherche Google Scholar</v>
      </c>
      <c r="F129" s="28" t="s">
        <v>235</v>
      </c>
      <c r="G129" s="28">
        <v>5</v>
      </c>
      <c r="H129" s="25" t="s">
        <v>405</v>
      </c>
      <c r="I129" s="28">
        <v>5</v>
      </c>
      <c r="J129" s="29" t="s">
        <v>234</v>
      </c>
      <c r="K129" s="26" t="str">
        <f ca="1">IF($B129="","",IF($J129="Lu","Lu",IF($J129="Écarté","Écarté",IF($I129&lt;Paramètres!$C$8,"EN RETARD",IF($I129=Paramètres!$C$8,"Ce mois-ci",IF($I129=Paramètres!$C$8+1,"Mois prochain","À venir"))))))</f>
        <v>À venir</v>
      </c>
      <c r="L129" s="30" t="str">
        <f t="shared" si="22"/>
        <v>Vérification à compléter avant de citer</v>
      </c>
      <c r="M129" s="31">
        <f ca="1">IF($B129="","",IF(OR($J129="Lu",$J129="Écarté"),0,IFERROR(INDEX(Paramètres!$C$17:$C$19,MATCH($H129,Paramètres!$B$17:$B$19,0)),0)+Paramètres!$C$20*(7-$I129)+IF($I129&lt;Paramètres!$C$8,Paramètres!$C$21,0)+IF($F129="Oui",Paramètres!$C$22,0)+IF($AL129&lt;&gt;"Vérifié",Paramètres!$C$23,0)+IF(AND($O129&lt;&gt;"Oui",OR($AJ129="PDF libre",$AJ129="PDF libre (dépôt)")),Paramètres!$C$24,0)))</f>
        <v>55</v>
      </c>
      <c r="N129" s="32"/>
      <c r="O129" s="33" t="str">
        <f ca="1">IF($B129="","Non",HYPERLINK(DossierPDF&amp;$BB129,"Oui"))</f>
        <v>Oui</v>
      </c>
      <c r="P129" s="33" t="s">
        <v>235</v>
      </c>
      <c r="Q129" s="33" t="s">
        <v>235</v>
      </c>
      <c r="R129" s="33"/>
      <c r="S129" s="34"/>
      <c r="T129" s="25" t="s">
        <v>661</v>
      </c>
      <c r="U129" s="26" t="str">
        <f>IF($B129="","",IFERROR(INDEX(Paramètres!$N$6:$N$13,MATCH($T129,Paramètres!$M$6:$M$13,0)),$T129))</f>
        <v>Ouvrage / guide</v>
      </c>
      <c r="V129" s="4" t="s">
        <v>3236</v>
      </c>
      <c r="W129" s="28">
        <v>2006</v>
      </c>
      <c r="X129" s="4"/>
      <c r="Y129" s="25"/>
      <c r="Z129" s="25"/>
      <c r="AA129" s="25"/>
      <c r="AB129" s="25" t="s">
        <v>1309</v>
      </c>
      <c r="AC129" s="25"/>
      <c r="AD129" s="25"/>
      <c r="AE129" s="25" t="s">
        <v>341</v>
      </c>
      <c r="AF129" s="35" t="s">
        <v>3237</v>
      </c>
      <c r="AG129" s="27" t="str">
        <f t="shared" si="23"/>
        <v/>
      </c>
      <c r="AH129" s="27" t="str">
        <f t="shared" si="24"/>
        <v>Scholar</v>
      </c>
      <c r="AI129" s="28" t="s">
        <v>245</v>
      </c>
      <c r="AJ129" s="25" t="s">
        <v>186</v>
      </c>
      <c r="AK129" s="4" t="s">
        <v>3238</v>
      </c>
      <c r="AL129" s="25" t="s">
        <v>517</v>
      </c>
      <c r="AM129" s="4" t="s">
        <v>3239</v>
      </c>
      <c r="AN129" s="25" t="s">
        <v>3186</v>
      </c>
      <c r="AO129" s="4" t="s">
        <v>3240</v>
      </c>
      <c r="AP129" s="4" t="s">
        <v>3231</v>
      </c>
      <c r="AQ129" s="25" t="s">
        <v>235</v>
      </c>
      <c r="AR129" s="26" t="str">
        <f>IF($B129="","",IFERROR(INDEX(Paramètres!$Q$6:$Q$13,MATCH($G129,Paramètres!$P$6:$P$13,0)),""))</f>
        <v>Calcul de structures viscoélastiques</v>
      </c>
      <c r="AS129" s="26" t="str">
        <f>IF($B129="","",IFERROR(INDEX(Paramètres!$T$6:$T$11,MATCH($I129,Paramètres!$S$6:$S$11,0)),""))</f>
        <v>février 2027</v>
      </c>
      <c r="AT129" s="31">
        <f>IF($B129="","",IFERROR(INDEX(Paramètres!$C$27:$C$29,MATCH($H129,Paramètres!$B$27:$B$29,0)),0))</f>
        <v>1</v>
      </c>
      <c r="AU129" s="29"/>
      <c r="AV129" s="32"/>
      <c r="AW129" s="26" t="str">
        <f t="shared" si="25"/>
        <v>kausel2006fundamental.md</v>
      </c>
      <c r="AX129" s="26">
        <f>IF($B129="","",COUNTIF($I$2:I129,$I129))</f>
        <v>22</v>
      </c>
      <c r="AY129" s="26" t="str">
        <f t="shared" si="26"/>
        <v>5-22</v>
      </c>
      <c r="AZ129" s="26" t="s">
        <v>3237</v>
      </c>
      <c r="BA129" s="36">
        <f t="shared" ca="1" si="27"/>
        <v>55.008710000000001</v>
      </c>
    </row>
    <row r="130" spans="1:54" ht="63.75" hidden="1" x14ac:dyDescent="0.25">
      <c r="A130" s="25" t="s">
        <v>3241</v>
      </c>
      <c r="B130" s="25" t="s">
        <v>3242</v>
      </c>
      <c r="C130" s="26" t="str">
        <f t="shared" ref="C130:C161" si="28">IF($B130="","",IFERROR(LEFT(LEFT($V130,FIND(";",$V130&amp;";")-1),FIND(",",LEFT($V130,FIND(";",$V130&amp;";")-1))-1),LEFT($V130,FIND(";",$V130&amp;";")-1))&amp;IF((LEN($V130)-LEN(SUBSTITUTE($V130,";",""))+1)=1,"",IF((LEN($V130)-LEN(SUBSTITUTE($V130,";",""))+1)=2," &amp; "&amp;IFERROR(LEFT(TRIM(MID($V130,FIND(";",$V130)+1,FIND(";",$V130&amp;";",FIND(";",$V130)+1)-FIND(";",$V130)-1)),FIND(",",TRIM(MID($V130,FIND(";",$V130)+1,FIND(";",$V130&amp;";",FIND(";",$V130)+1)-FIND(";",$V130)-1)))-1),TRIM(MID($V130,FIND(";",$V130)+1,FIND(";",$V130&amp;";",FIND(";",$V130)+1)-FIND(";",$V130)-1)))," et al."))&amp;" ("&amp;$W130&amp;")")</f>
        <v>Timoshenko &amp; Goodier (1970)</v>
      </c>
      <c r="D130" s="4" t="s">
        <v>3243</v>
      </c>
      <c r="E130" s="27" t="str">
        <f>IF(OR($B130="",$AF130=""),"",HYPERLINK(IF(AND(Paramètres!$C$13&lt;&gt;"",$AJ130="Éditeur (abonnement)"),Paramètres!$C$13&amp;$AF130,$AF130),"Ouvrir : "&amp;$AE130))</f>
        <v>Ouvrir : Recherche Google Scholar</v>
      </c>
      <c r="F130" s="28" t="s">
        <v>235</v>
      </c>
      <c r="G130" s="28">
        <v>5</v>
      </c>
      <c r="H130" s="25" t="s">
        <v>338</v>
      </c>
      <c r="I130" s="28">
        <v>4</v>
      </c>
      <c r="J130" s="29" t="s">
        <v>234</v>
      </c>
      <c r="K130" s="26" t="str">
        <f ca="1">IF($B130="","",IF($J130="Lu","Lu",IF($J130="Écarté","Écarté",IF($I130&lt;Paramètres!$C$8,"EN RETARD",IF($I130=Paramètres!$C$8,"Ce mois-ci",IF($I130=Paramètres!$C$8+1,"Mois prochain","À venir"))))))</f>
        <v>À venir</v>
      </c>
      <c r="L130" s="30" t="str">
        <f t="shared" ref="L130:L161" si="29">IF($B130="","",IF($AL130="Non vérifié","Ne pas citer en l'état : métadonnées non vérifiées",IF($AL130="Partiel","Vérification à compléter avant de citer",IF($O130="Oui","",IF(OR($AJ130="PDF libre",$AJ130="PDF libre (dépôt)"),"PDF libre à télécharger",IF($AJ130="Éditeur (abonnement)","À télécharger via l'accès ENTPE",IF($AJ130="Payant (boutique)","À consulter via l'abonnement de l'école",IF($AJ130="Non diffusé (à demander)","Document à demander (feuille Demandes)","Texte intégral à localiser"))))))))</f>
        <v>Vérification à compléter avant de citer</v>
      </c>
      <c r="M130" s="31">
        <f ca="1">IF($B130="","",IF(OR($J130="Lu",$J130="Écarté"),0,IFERROR(INDEX(Paramètres!$C$17:$C$19,MATCH($H130,Paramètres!$B$17:$B$19,0)),0)+Paramètres!$C$20*(7-$I130)+IF($I130&lt;Paramètres!$C$8,Paramètres!$C$21,0)+IF($F130="Oui",Paramètres!$C$22,0)+IF($AL130&lt;&gt;"Vérifié",Paramètres!$C$23,0)+IF(AND($O130&lt;&gt;"Oui",OR($AJ130="PDF libre",$AJ130="PDF libre (dépôt)")),Paramètres!$C$24,0)))</f>
        <v>90</v>
      </c>
      <c r="N130" s="32"/>
      <c r="O130" s="33" t="str">
        <f ca="1">IF($B130="","Non",HYPERLINK(DossierPDF&amp;$BB130,"Oui"))</f>
        <v>Oui</v>
      </c>
      <c r="P130" s="33" t="s">
        <v>235</v>
      </c>
      <c r="Q130" s="33" t="s">
        <v>235</v>
      </c>
      <c r="R130" s="33"/>
      <c r="S130" s="34"/>
      <c r="T130" s="25" t="s">
        <v>661</v>
      </c>
      <c r="U130" s="26" t="str">
        <f>IF($B130="","",IFERROR(INDEX(Paramètres!$N$6:$N$13,MATCH($T130,Paramètres!$M$6:$M$13,0)),$T130))</f>
        <v>Ouvrage / guide</v>
      </c>
      <c r="V130" s="4" t="s">
        <v>3244</v>
      </c>
      <c r="W130" s="28">
        <v>1970</v>
      </c>
      <c r="X130" s="4"/>
      <c r="Y130" s="25"/>
      <c r="Z130" s="25"/>
      <c r="AA130" s="25"/>
      <c r="AB130" s="25" t="s">
        <v>3245</v>
      </c>
      <c r="AC130" s="25"/>
      <c r="AD130" s="25"/>
      <c r="AE130" s="25" t="s">
        <v>341</v>
      </c>
      <c r="AF130" s="35" t="s">
        <v>3246</v>
      </c>
      <c r="AG130" s="27" t="str">
        <f t="shared" ref="AG130:AG161" si="30">IF($AC130="","",HYPERLINK("https://doi.org/"&amp;$AC130,"doi.org"))</f>
        <v/>
      </c>
      <c r="AH130" s="27" t="str">
        <f t="shared" ref="AH130:AH161" si="31">IF($AZ130="","",HYPERLINK($AZ130,"Scholar"))</f>
        <v>Scholar</v>
      </c>
      <c r="AI130" s="28" t="s">
        <v>245</v>
      </c>
      <c r="AJ130" s="25" t="s">
        <v>186</v>
      </c>
      <c r="AK130" s="4" t="s">
        <v>3247</v>
      </c>
      <c r="AL130" s="25" t="s">
        <v>517</v>
      </c>
      <c r="AM130" s="4" t="s">
        <v>3248</v>
      </c>
      <c r="AN130" s="25" t="s">
        <v>3186</v>
      </c>
      <c r="AO130" s="4" t="s">
        <v>3249</v>
      </c>
      <c r="AP130" s="4" t="s">
        <v>3250</v>
      </c>
      <c r="AQ130" s="25" t="s">
        <v>235</v>
      </c>
      <c r="AR130" s="26" t="str">
        <f>IF($B130="","",IFERROR(INDEX(Paramètres!$Q$6:$Q$13,MATCH($G130,Paramètres!$P$6:$P$13,0)),""))</f>
        <v>Calcul de structures viscoélastiques</v>
      </c>
      <c r="AS130" s="26" t="str">
        <f>IF($B130="","",IFERROR(INDEX(Paramètres!$T$6:$T$11,MATCH($I130,Paramètres!$S$6:$S$11,0)),""))</f>
        <v>janvier 2027</v>
      </c>
      <c r="AT130" s="31">
        <f>IF($B130="","",IFERROR(INDEX(Paramètres!$C$27:$C$29,MATCH($H130,Paramètres!$B$27:$B$29,0)),0))</f>
        <v>3</v>
      </c>
      <c r="AU130" s="29"/>
      <c r="AV130" s="32"/>
      <c r="AW130" s="26" t="str">
        <f t="shared" ref="AW130:AW161" si="32">IF($B130="","",$B130&amp;".md")</f>
        <v>timoshenko1970elasticity.md</v>
      </c>
      <c r="AX130" s="26">
        <f>IF($B130="","",COUNTIF($I$2:I130,$I130))</f>
        <v>24</v>
      </c>
      <c r="AY130" s="26" t="str">
        <f t="shared" ref="AY130:AY161" si="33">IF($B130="","",$I130&amp;"-"&amp;$AX130)</f>
        <v>4-24</v>
      </c>
      <c r="AZ130" s="26" t="s">
        <v>3246</v>
      </c>
      <c r="BA130" s="36">
        <f t="shared" ref="BA130:BA161" ca="1" si="34">IF($B130="","",$M130+(1000-ROW())/100000)</f>
        <v>90.008700000000005</v>
      </c>
    </row>
    <row r="131" spans="1:54" ht="25.5" hidden="1" x14ac:dyDescent="0.25">
      <c r="A131" s="25" t="s">
        <v>3251</v>
      </c>
      <c r="B131" s="25" t="s">
        <v>3252</v>
      </c>
      <c r="C131" s="26" t="str">
        <f t="shared" si="28"/>
        <v>Huang (2004)</v>
      </c>
      <c r="D131" s="4" t="s">
        <v>3253</v>
      </c>
      <c r="E131" s="27" t="str">
        <f>IF(OR($B131="",$AF131=""),"",HYPERLINK(IF(AND(Paramètres!$C$13&lt;&gt;"",$AJ131="Éditeur (abonnement)"),Paramètres!$C$13&amp;$AF131,$AF131),"Ouvrir : "&amp;$AE131))</f>
        <v>Ouvrir : Recherche Google Scholar</v>
      </c>
      <c r="F131" s="28" t="s">
        <v>235</v>
      </c>
      <c r="G131" s="28">
        <v>5</v>
      </c>
      <c r="H131" s="25" t="s">
        <v>405</v>
      </c>
      <c r="I131" s="28">
        <v>4</v>
      </c>
      <c r="J131" s="29" t="s">
        <v>234</v>
      </c>
      <c r="K131" s="26" t="str">
        <f ca="1">IF($B131="","",IF($J131="Lu","Lu",IF($J131="Écarté","Écarté",IF($I131&lt;Paramètres!$C$8,"EN RETARD",IF($I131=Paramètres!$C$8,"Ce mois-ci",IF($I131=Paramètres!$C$8+1,"Mois prochain","À venir"))))))</f>
        <v>À venir</v>
      </c>
      <c r="L131" s="30" t="str">
        <f t="shared" si="29"/>
        <v>Vérification à compléter avant de citer</v>
      </c>
      <c r="M131" s="31">
        <f ca="1">IF($B131="","",IF(OR($J131="Lu",$J131="Écarté"),0,IFERROR(INDEX(Paramètres!$C$17:$C$19,MATCH($H131,Paramètres!$B$17:$B$19,0)),0)+Paramètres!$C$20*(7-$I131)+IF($I131&lt;Paramètres!$C$8,Paramètres!$C$21,0)+IF($F131="Oui",Paramètres!$C$22,0)+IF($AL131&lt;&gt;"Vérifié",Paramètres!$C$23,0)+IF(AND($O131&lt;&gt;"Oui",OR($AJ131="PDF libre",$AJ131="PDF libre (dépôt)")),Paramètres!$C$24,0)))</f>
        <v>60</v>
      </c>
      <c r="N131" s="32"/>
      <c r="O131" s="33" t="str">
        <f ca="1">IF($B131="","Non",HYPERLINK(DossierPDF&amp;$BB131,"Oui"))</f>
        <v>Oui</v>
      </c>
      <c r="P131" s="33" t="s">
        <v>235</v>
      </c>
      <c r="Q131" s="33" t="s">
        <v>235</v>
      </c>
      <c r="R131" s="33"/>
      <c r="S131" s="34"/>
      <c r="T131" s="25" t="s">
        <v>661</v>
      </c>
      <c r="U131" s="26" t="str">
        <f>IF($B131="","",IFERROR(INDEX(Paramètres!$N$6:$N$13,MATCH($T131,Paramètres!$M$6:$M$13,0)),$T131))</f>
        <v>Ouvrage / guide</v>
      </c>
      <c r="V131" s="4" t="s">
        <v>3254</v>
      </c>
      <c r="W131" s="28">
        <v>2004</v>
      </c>
      <c r="X131" s="4"/>
      <c r="Y131" s="25"/>
      <c r="Z131" s="25"/>
      <c r="AA131" s="25"/>
      <c r="AB131" s="25" t="s">
        <v>3255</v>
      </c>
      <c r="AC131" s="25"/>
      <c r="AD131" s="25"/>
      <c r="AE131" s="25" t="s">
        <v>341</v>
      </c>
      <c r="AF131" s="35" t="s">
        <v>3256</v>
      </c>
      <c r="AG131" s="27" t="str">
        <f t="shared" si="30"/>
        <v/>
      </c>
      <c r="AH131" s="27" t="str">
        <f t="shared" si="31"/>
        <v>Scholar</v>
      </c>
      <c r="AI131" s="28" t="s">
        <v>245</v>
      </c>
      <c r="AJ131" s="25" t="s">
        <v>186</v>
      </c>
      <c r="AK131" s="4" t="s">
        <v>3247</v>
      </c>
      <c r="AL131" s="25" t="s">
        <v>517</v>
      </c>
      <c r="AM131" s="4" t="s">
        <v>3257</v>
      </c>
      <c r="AN131" s="25" t="s">
        <v>3186</v>
      </c>
      <c r="AO131" s="4" t="s">
        <v>3258</v>
      </c>
      <c r="AP131" s="4"/>
      <c r="AQ131" s="25" t="s">
        <v>235</v>
      </c>
      <c r="AR131" s="26" t="str">
        <f>IF($B131="","",IFERROR(INDEX(Paramètres!$Q$6:$Q$13,MATCH($G131,Paramètres!$P$6:$P$13,0)),""))</f>
        <v>Calcul de structures viscoélastiques</v>
      </c>
      <c r="AS131" s="26" t="str">
        <f>IF($B131="","",IFERROR(INDEX(Paramètres!$T$6:$T$11,MATCH($I131,Paramètres!$S$6:$S$11,0)),""))</f>
        <v>janvier 2027</v>
      </c>
      <c r="AT131" s="31">
        <f>IF($B131="","",IFERROR(INDEX(Paramètres!$C$27:$C$29,MATCH($H131,Paramètres!$B$27:$B$29,0)),0))</f>
        <v>1</v>
      </c>
      <c r="AU131" s="29"/>
      <c r="AV131" s="32"/>
      <c r="AW131" s="26" t="str">
        <f t="shared" si="32"/>
        <v>huang2004pavement.md</v>
      </c>
      <c r="AX131" s="26">
        <f>IF($B131="","",COUNTIF($I$2:I131,$I131))</f>
        <v>25</v>
      </c>
      <c r="AY131" s="26" t="str">
        <f t="shared" si="33"/>
        <v>4-25</v>
      </c>
      <c r="AZ131" s="26" t="s">
        <v>3256</v>
      </c>
      <c r="BA131" s="36">
        <f t="shared" ca="1" si="34"/>
        <v>60.008690000000001</v>
      </c>
    </row>
    <row r="132" spans="1:54" ht="25.5" hidden="1" x14ac:dyDescent="0.25">
      <c r="A132" s="25" t="s">
        <v>3259</v>
      </c>
      <c r="B132" s="25" t="s">
        <v>3260</v>
      </c>
      <c r="C132" s="26" t="str">
        <f t="shared" si="28"/>
        <v>Nakhaei (2023)</v>
      </c>
      <c r="D132" s="4" t="s">
        <v>3261</v>
      </c>
      <c r="E132" s="27" t="str">
        <f>IF(OR($B132="",$AF132=""),"",HYPERLINK(IF(AND(Paramètres!$C$13&lt;&gt;"",$AJ132="Éditeur (abonnement)"),Paramètres!$C$13&amp;$AF132,$AF132),"Ouvrir : "&amp;$AE132))</f>
        <v>Ouvrir : Texte intégral libre</v>
      </c>
      <c r="F132" s="28" t="s">
        <v>235</v>
      </c>
      <c r="G132" s="28">
        <v>5</v>
      </c>
      <c r="H132" s="25" t="s">
        <v>338</v>
      </c>
      <c r="I132" s="28">
        <v>5</v>
      </c>
      <c r="J132" s="29" t="s">
        <v>234</v>
      </c>
      <c r="K132" s="26" t="str">
        <f ca="1">IF($B132="","",IF($J132="Lu","Lu",IF($J132="Écarté","Écarté",IF($I132&lt;Paramètres!$C$8,"EN RETARD",IF($I132=Paramètres!$C$8,"Ce mois-ci",IF($I132=Paramètres!$C$8+1,"Mois prochain","À venir"))))))</f>
        <v>À venir</v>
      </c>
      <c r="L132" s="30" t="str">
        <f t="shared" si="29"/>
        <v>Vérification à compléter avant de citer</v>
      </c>
      <c r="M132" s="31">
        <f ca="1">IF($B132="","",IF(OR($J132="Lu",$J132="Écarté"),0,IFERROR(INDEX(Paramètres!$C$17:$C$19,MATCH($H132,Paramètres!$B$17:$B$19,0)),0)+Paramètres!$C$20*(7-$I132)+IF($I132&lt;Paramètres!$C$8,Paramètres!$C$21,0)+IF($F132="Oui",Paramètres!$C$22,0)+IF($AL132&lt;&gt;"Vérifié",Paramètres!$C$23,0)+IF(AND($O132&lt;&gt;"Oui",OR($AJ132="PDF libre",$AJ132="PDF libre (dépôt)")),Paramètres!$C$24,0)))</f>
        <v>85</v>
      </c>
      <c r="N132" s="32"/>
      <c r="O132" s="33" t="str">
        <f ca="1">IF($B132="","Non",HYPERLINK(DossierPDF&amp;$BB132,"Oui"))</f>
        <v>Oui</v>
      </c>
      <c r="P132" s="33" t="s">
        <v>235</v>
      </c>
      <c r="Q132" s="33" t="s">
        <v>235</v>
      </c>
      <c r="R132" s="33"/>
      <c r="S132" s="34"/>
      <c r="T132" s="25" t="s">
        <v>1106</v>
      </c>
      <c r="U132" s="26" t="str">
        <f>IF($B132="","",IFERROR(INDEX(Paramètres!$N$6:$N$13,MATCH($T132,Paramètres!$M$6:$M$13,0)),$T132))</f>
        <v>Logiciel / manuel</v>
      </c>
      <c r="V132" s="4" t="s">
        <v>3262</v>
      </c>
      <c r="W132" s="28">
        <v>2023</v>
      </c>
      <c r="X132" s="4"/>
      <c r="Y132" s="25"/>
      <c r="Z132" s="25"/>
      <c r="AA132" s="25"/>
      <c r="AB132" s="25" t="s">
        <v>3263</v>
      </c>
      <c r="AC132" s="25"/>
      <c r="AD132" s="25"/>
      <c r="AE132" s="25" t="s">
        <v>275</v>
      </c>
      <c r="AF132" s="35" t="s">
        <v>3264</v>
      </c>
      <c r="AG132" s="27" t="str">
        <f t="shared" si="30"/>
        <v/>
      </c>
      <c r="AH132" s="27" t="str">
        <f t="shared" si="31"/>
        <v>Scholar</v>
      </c>
      <c r="AI132" s="28" t="s">
        <v>277</v>
      </c>
      <c r="AJ132" s="25" t="s">
        <v>183</v>
      </c>
      <c r="AK132" s="4" t="s">
        <v>3265</v>
      </c>
      <c r="AL132" s="25" t="s">
        <v>517</v>
      </c>
      <c r="AM132" s="4" t="s">
        <v>3266</v>
      </c>
      <c r="AN132" s="25" t="s">
        <v>3186</v>
      </c>
      <c r="AO132" s="4" t="s">
        <v>3267</v>
      </c>
      <c r="AP132" s="4" t="s">
        <v>3268</v>
      </c>
      <c r="AQ132" s="25" t="s">
        <v>233</v>
      </c>
      <c r="AR132" s="26" t="str">
        <f>IF($B132="","",IFERROR(INDEX(Paramètres!$Q$6:$Q$13,MATCH($G132,Paramètres!$P$6:$P$13,0)),""))</f>
        <v>Calcul de structures viscoélastiques</v>
      </c>
      <c r="AS132" s="26" t="str">
        <f>IF($B132="","",IFERROR(INDEX(Paramètres!$T$6:$T$11,MATCH($I132,Paramètres!$S$6:$S$11,0)),""))</f>
        <v>février 2027</v>
      </c>
      <c r="AT132" s="31">
        <f>IF($B132="","",IFERROR(INDEX(Paramètres!$C$27:$C$29,MATCH($H132,Paramètres!$B$27:$B$29,0)),0))</f>
        <v>3</v>
      </c>
      <c r="AU132" s="29"/>
      <c r="AV132" s="32"/>
      <c r="AW132" s="26" t="str">
        <f t="shared" si="32"/>
        <v>nakhaei_pymastic.md</v>
      </c>
      <c r="AX132" s="26">
        <f>IF($B132="","",COUNTIF($I$2:I132,$I132))</f>
        <v>23</v>
      </c>
      <c r="AY132" s="26" t="str">
        <f t="shared" si="33"/>
        <v>5-23</v>
      </c>
      <c r="AZ132" s="26" t="s">
        <v>3269</v>
      </c>
      <c r="BA132" s="36">
        <f t="shared" ca="1" si="34"/>
        <v>85.008679999999998</v>
      </c>
    </row>
    <row r="133" spans="1:54" ht="127.5" hidden="1" x14ac:dyDescent="0.25">
      <c r="A133" s="25" t="s">
        <v>3270</v>
      </c>
      <c r="B133" s="25" t="s">
        <v>3271</v>
      </c>
      <c r="C133" s="26" t="str">
        <f t="shared" si="28"/>
        <v>Muki (1956)</v>
      </c>
      <c r="D133" s="4" t="s">
        <v>3272</v>
      </c>
      <c r="E133" s="27" t="str">
        <f>IF(OR($B133="",$AF133=""),"",HYPERLINK(IF(AND(Paramètres!$C$13&lt;&gt;"",$AJ133="Éditeur (abonnement)"),Paramètres!$C$13&amp;$AF133,$AF133),"Ouvrir : "&amp;$AE133))</f>
        <v>Ouvrir : Recherche Google Scholar</v>
      </c>
      <c r="F133" s="28" t="s">
        <v>235</v>
      </c>
      <c r="G133" s="28">
        <v>5</v>
      </c>
      <c r="H133" s="25" t="s">
        <v>405</v>
      </c>
      <c r="I133" s="28">
        <v>5</v>
      </c>
      <c r="J133" s="29" t="s">
        <v>234</v>
      </c>
      <c r="K133" s="26" t="str">
        <f ca="1">IF($B133="","",IF($J133="Lu","Lu",IF($J133="Écarté","Écarté",IF($I133&lt;Paramètres!$C$8,"EN RETARD",IF($I133=Paramètres!$C$8,"Ce mois-ci",IF($I133=Paramètres!$C$8+1,"Mois prochain","À venir"))))))</f>
        <v>À venir</v>
      </c>
      <c r="L133" s="30" t="str">
        <f t="shared" si="29"/>
        <v>Vérification à compléter avant de citer</v>
      </c>
      <c r="M133" s="31">
        <f ca="1">IF($B133="","",IF(OR($J133="Lu",$J133="Écarté"),0,IFERROR(INDEX(Paramètres!$C$17:$C$19,MATCH($H133,Paramètres!$B$17:$B$19,0)),0)+Paramètres!$C$20*(7-$I133)+IF($I133&lt;Paramètres!$C$8,Paramètres!$C$21,0)+IF($F133="Oui",Paramètres!$C$22,0)+IF($AL133&lt;&gt;"Vérifié",Paramètres!$C$23,0)+IF(AND($O133&lt;&gt;"Oui",OR($AJ133="PDF libre",$AJ133="PDF libre (dépôt)")),Paramètres!$C$24,0)))</f>
        <v>55</v>
      </c>
      <c r="N133" s="32"/>
      <c r="O133" s="33" t="str">
        <f ca="1">IF($B133="","Non",HYPERLINK(DossierPDF&amp;$BB133,"Oui"))</f>
        <v>Oui</v>
      </c>
      <c r="P133" s="33" t="s">
        <v>235</v>
      </c>
      <c r="Q133" s="33" t="s">
        <v>235</v>
      </c>
      <c r="R133" s="33"/>
      <c r="S133" s="34"/>
      <c r="T133" s="25" t="s">
        <v>236</v>
      </c>
      <c r="U133" s="26" t="str">
        <f>IF($B133="","",IFERROR(INDEX(Paramètres!$N$6:$N$13,MATCH($T133,Paramètres!$M$6:$M$13,0)),$T133))</f>
        <v>Article de revue</v>
      </c>
      <c r="V133" s="4" t="s">
        <v>3273</v>
      </c>
      <c r="W133" s="28">
        <v>1956</v>
      </c>
      <c r="X133" s="4" t="s">
        <v>3274</v>
      </c>
      <c r="Y133" s="25" t="s">
        <v>1641</v>
      </c>
      <c r="Z133" s="25" t="s">
        <v>3275</v>
      </c>
      <c r="AA133" s="25" t="s">
        <v>3276</v>
      </c>
      <c r="AB133" s="25"/>
      <c r="AC133" s="25"/>
      <c r="AD133" s="25"/>
      <c r="AE133" s="25" t="s">
        <v>341</v>
      </c>
      <c r="AF133" s="35" t="s">
        <v>3277</v>
      </c>
      <c r="AG133" s="27" t="str">
        <f t="shared" si="30"/>
        <v/>
      </c>
      <c r="AH133" s="27" t="str">
        <f t="shared" si="31"/>
        <v>Scholar</v>
      </c>
      <c r="AI133" s="28" t="s">
        <v>689</v>
      </c>
      <c r="AJ133" s="25" t="s">
        <v>188</v>
      </c>
      <c r="AK133" s="4" t="s">
        <v>3278</v>
      </c>
      <c r="AL133" s="25" t="s">
        <v>517</v>
      </c>
      <c r="AM133" s="4" t="s">
        <v>3279</v>
      </c>
      <c r="AN133" s="25" t="s">
        <v>3186</v>
      </c>
      <c r="AO133" s="4" t="s">
        <v>3280</v>
      </c>
      <c r="AP133" s="4" t="s">
        <v>3250</v>
      </c>
      <c r="AQ133" s="25" t="s">
        <v>235</v>
      </c>
      <c r="AR133" s="26" t="str">
        <f>IF($B133="","",IFERROR(INDEX(Paramètres!$Q$6:$Q$13,MATCH($G133,Paramètres!$P$6:$P$13,0)),""))</f>
        <v>Calcul de structures viscoélastiques</v>
      </c>
      <c r="AS133" s="26" t="str">
        <f>IF($B133="","",IFERROR(INDEX(Paramètres!$T$6:$T$11,MATCH($I133,Paramètres!$S$6:$S$11,0)),""))</f>
        <v>février 2027</v>
      </c>
      <c r="AT133" s="31">
        <f>IF($B133="","",IFERROR(INDEX(Paramètres!$C$27:$C$29,MATCH($H133,Paramètres!$B$27:$B$29,0)),0))</f>
        <v>1</v>
      </c>
      <c r="AU133" s="29"/>
      <c r="AV133" s="32"/>
      <c r="AW133" s="26" t="str">
        <f t="shared" si="32"/>
        <v>muki1956tangential.md</v>
      </c>
      <c r="AX133" s="26">
        <f>IF($B133="","",COUNTIF($I$2:I133,$I133))</f>
        <v>24</v>
      </c>
      <c r="AY133" s="26" t="str">
        <f t="shared" si="33"/>
        <v>5-24</v>
      </c>
      <c r="AZ133" s="26" t="s">
        <v>3277</v>
      </c>
      <c r="BA133" s="36">
        <f t="shared" ca="1" si="34"/>
        <v>55.008670000000002</v>
      </c>
    </row>
    <row r="134" spans="1:54" ht="76.5" x14ac:dyDescent="0.25">
      <c r="A134" s="25" t="s">
        <v>3281</v>
      </c>
      <c r="B134" s="25" t="s">
        <v>3282</v>
      </c>
      <c r="C134" s="26" t="str">
        <f t="shared" si="28"/>
        <v>Khazanovich &amp; Wang (2007)</v>
      </c>
      <c r="D134" s="4" t="s">
        <v>3283</v>
      </c>
      <c r="E134" s="27" t="str">
        <f>IF(OR($B134="",$AF134=""),"",HYPERLINK(IF(AND(Paramètres!$C$13&lt;&gt;"",$AJ134="Éditeur (abonnement)"),Paramètres!$C$13&amp;$AF134,$AF134),"Ouvrir : "&amp;$AE134))</f>
        <v>Ouvrir : Page éditeur (DOI)</v>
      </c>
      <c r="F134" s="28" t="s">
        <v>235</v>
      </c>
      <c r="G134" s="28">
        <v>5</v>
      </c>
      <c r="H134" s="25" t="s">
        <v>338</v>
      </c>
      <c r="I134" s="28">
        <v>5</v>
      </c>
      <c r="J134" s="29" t="s">
        <v>234</v>
      </c>
      <c r="K134" s="26" t="str">
        <f ca="1">IF($B134="","",IF($J134="Lu","Lu",IF($J134="Écarté","Écarté",IF($I134&lt;Paramètres!$C$8,"EN RETARD",IF($I134=Paramètres!$C$8,"Ce mois-ci",IF($I134=Paramètres!$C$8+1,"Mois prochain","À venir"))))))</f>
        <v>À venir</v>
      </c>
      <c r="L134" s="30" t="str">
        <f t="shared" ca="1" si="29"/>
        <v/>
      </c>
      <c r="M134" s="31">
        <f ca="1">IF($B134="","",IF(OR($J134="Lu",$J134="Écarté"),0,IFERROR(INDEX(Paramètres!$C$17:$C$19,MATCH($H134,Paramètres!$B$17:$B$19,0)),0)+Paramètres!$C$20*(7-$I134)+IF($I134&lt;Paramètres!$C$8,Paramètres!$C$21,0)+IF($F134="Oui",Paramètres!$C$22,0)+IF($AL134&lt;&gt;"Vérifié",Paramètres!$C$23,0)+IF(AND($O134&lt;&gt;"Oui",OR($AJ134="PDF libre",$AJ134="PDF libre (dépôt)")),Paramètres!$C$24,0)))</f>
        <v>70</v>
      </c>
      <c r="N134" s="32"/>
      <c r="O134" s="33" t="str">
        <f ca="1">IF($B134="","Non",HYPERLINK(DossierPDF&amp;$BB134,"Oui"))</f>
        <v>Oui</v>
      </c>
      <c r="P134" s="33" t="s">
        <v>235</v>
      </c>
      <c r="Q134" s="33" t="s">
        <v>235</v>
      </c>
      <c r="R134" s="33"/>
      <c r="S134" s="34"/>
      <c r="T134" s="25" t="s">
        <v>236</v>
      </c>
      <c r="U134" s="26" t="str">
        <f>IF($B134="","",IFERROR(INDEX(Paramètres!$N$6:$N$13,MATCH($T134,Paramètres!$M$6:$M$13,0)),$T134))</f>
        <v>Article de revue</v>
      </c>
      <c r="V134" s="4" t="s">
        <v>3284</v>
      </c>
      <c r="W134" s="28">
        <v>2007</v>
      </c>
      <c r="X134" s="4" t="s">
        <v>1070</v>
      </c>
      <c r="Y134" s="25" t="s">
        <v>3285</v>
      </c>
      <c r="Z134" s="25"/>
      <c r="AA134" s="25" t="s">
        <v>3286</v>
      </c>
      <c r="AB134" s="25"/>
      <c r="AC134" s="25" t="s">
        <v>3287</v>
      </c>
      <c r="AD134" s="25"/>
      <c r="AE134" s="25" t="s">
        <v>243</v>
      </c>
      <c r="AF134" s="35" t="s">
        <v>3288</v>
      </c>
      <c r="AG134" s="27" t="str">
        <f t="shared" si="30"/>
        <v>doi.org</v>
      </c>
      <c r="AH134" s="27" t="str">
        <f t="shared" si="31"/>
        <v>Scholar</v>
      </c>
      <c r="AI134" s="28" t="s">
        <v>245</v>
      </c>
      <c r="AJ134" s="25" t="s">
        <v>185</v>
      </c>
      <c r="AK134" s="4" t="s">
        <v>3289</v>
      </c>
      <c r="AL134" s="25" t="s">
        <v>247</v>
      </c>
      <c r="AM134" s="4" t="s">
        <v>3290</v>
      </c>
      <c r="AN134" s="25" t="s">
        <v>3186</v>
      </c>
      <c r="AO134" s="4" t="s">
        <v>3291</v>
      </c>
      <c r="AP134" s="4" t="s">
        <v>3292</v>
      </c>
      <c r="AQ134" s="25" t="s">
        <v>235</v>
      </c>
      <c r="AR134" s="26" t="str">
        <f>IF($B134="","",IFERROR(INDEX(Paramètres!$Q$6:$Q$13,MATCH($G134,Paramètres!$P$6:$P$13,0)),""))</f>
        <v>Calcul de structures viscoélastiques</v>
      </c>
      <c r="AS134" s="26" t="str">
        <f>IF($B134="","",IFERROR(INDEX(Paramètres!$T$6:$T$11,MATCH($I134,Paramètres!$S$6:$S$11,0)),""))</f>
        <v>février 2027</v>
      </c>
      <c r="AT134" s="31">
        <f>IF($B134="","",IFERROR(INDEX(Paramètres!$C$27:$C$29,MATCH($H134,Paramètres!$B$27:$B$29,0)),0))</f>
        <v>3</v>
      </c>
      <c r="AU134" s="29"/>
      <c r="AV134" s="32"/>
      <c r="AW134" s="26" t="str">
        <f t="shared" si="32"/>
        <v>khazanovich2007mnlayer.md</v>
      </c>
      <c r="AX134" s="26">
        <f>IF($B134="","",COUNTIF($I$2:I134,$I134))</f>
        <v>25</v>
      </c>
      <c r="AY134" s="26" t="str">
        <f t="shared" si="33"/>
        <v>5-25</v>
      </c>
      <c r="AZ134" s="26" t="s">
        <v>3293</v>
      </c>
      <c r="BA134" s="36">
        <f t="shared" ca="1" si="34"/>
        <v>70.008660000000006</v>
      </c>
      <c r="BB134" t="inlineStr">
        <is>
          <t>BIB-133_Khazanovich-Wang_2007_MnLayer-layered-elastic-analysis.pdf</t>
        </is>
      </c>
    </row>
    <row r="135" spans="1:54" ht="165.75" hidden="1" x14ac:dyDescent="0.25">
      <c r="A135" s="25" t="s">
        <v>3294</v>
      </c>
      <c r="B135" s="25" t="s">
        <v>3295</v>
      </c>
      <c r="C135" s="26" t="str">
        <f t="shared" si="28"/>
        <v>Chabot et al. (2006)</v>
      </c>
      <c r="D135" s="4" t="s">
        <v>3296</v>
      </c>
      <c r="E135" s="27" t="str">
        <f>IF(OR($B135="",$AF135=""),"",HYPERLINK(IF(AND(Paramètres!$C$13&lt;&gt;"",$AJ135="Éditeur (abonnement)"),Paramètres!$C$13&amp;$AF135,$AF135),"Ouvrir : "&amp;$AE135))</f>
        <v>Ouvrir : Recherche Google Scholar</v>
      </c>
      <c r="F135" s="28" t="s">
        <v>235</v>
      </c>
      <c r="G135" s="28">
        <v>5</v>
      </c>
      <c r="H135" s="25" t="s">
        <v>405</v>
      </c>
      <c r="I135" s="28">
        <v>4</v>
      </c>
      <c r="J135" s="29" t="s">
        <v>234</v>
      </c>
      <c r="K135" s="26" t="str">
        <f ca="1">IF($B135="","",IF($J135="Lu","Lu",IF($J135="Écarté","Écarté",IF($I135&lt;Paramètres!$C$8,"EN RETARD",IF($I135=Paramètres!$C$8,"Ce mois-ci",IF($I135=Paramètres!$C$8+1,"Mois prochain","À venir"))))))</f>
        <v>À venir</v>
      </c>
      <c r="L135" s="30" t="str">
        <f t="shared" ca="1" si="29"/>
        <v/>
      </c>
      <c r="M135" s="31">
        <f ca="1">IF($B135="","",IF(OR($J135="Lu",$J135="Écarté"),0,IFERROR(INDEX(Paramètres!$C$17:$C$19,MATCH($H135,Paramètres!$B$17:$B$19,0)),0)+Paramètres!$C$20*(7-$I135)+IF($I135&lt;Paramètres!$C$8,Paramètres!$C$21,0)+IF($F135="Oui",Paramètres!$C$22,0)+IF($AL135&lt;&gt;"Vérifié",Paramètres!$C$23,0)+IF(AND($O135&lt;&gt;"Oui",OR($AJ135="PDF libre",$AJ135="PDF libre (dépôt)")),Paramètres!$C$24,0)))</f>
        <v>45</v>
      </c>
      <c r="N135" s="32"/>
      <c r="O135" s="33" t="str">
        <f ca="1">IF($B135="","Non",HYPERLINK(DossierPDF&amp;$BB135,"Oui"))</f>
        <v>Oui</v>
      </c>
      <c r="P135" s="33" t="s">
        <v>235</v>
      </c>
      <c r="Q135" s="33" t="s">
        <v>235</v>
      </c>
      <c r="R135" s="33"/>
      <c r="S135" s="34"/>
      <c r="T135" s="25" t="s">
        <v>286</v>
      </c>
      <c r="U135" s="26" t="str">
        <f>IF($B135="","",IFERROR(INDEX(Paramètres!$N$6:$N$13,MATCH($T135,Paramètres!$M$6:$M$13,0)),$T135))</f>
        <v>Communication (actes)</v>
      </c>
      <c r="V135" s="4" t="s">
        <v>3297</v>
      </c>
      <c r="W135" s="28">
        <v>2006</v>
      </c>
      <c r="X135" s="4" t="s">
        <v>3298</v>
      </c>
      <c r="Y135" s="25" t="s">
        <v>368</v>
      </c>
      <c r="Z135" s="25"/>
      <c r="AA135" s="25" t="s">
        <v>3299</v>
      </c>
      <c r="AB135" s="25"/>
      <c r="AC135" s="25"/>
      <c r="AD135" s="25"/>
      <c r="AE135" s="25" t="s">
        <v>341</v>
      </c>
      <c r="AF135" s="35" t="s">
        <v>3300</v>
      </c>
      <c r="AG135" s="27" t="str">
        <f t="shared" si="30"/>
        <v/>
      </c>
      <c r="AH135" s="27" t="str">
        <f t="shared" si="31"/>
        <v>Scholar</v>
      </c>
      <c r="AI135" s="28" t="s">
        <v>689</v>
      </c>
      <c r="AJ135" s="25" t="s">
        <v>188</v>
      </c>
      <c r="AK135" s="4" t="s">
        <v>3301</v>
      </c>
      <c r="AL135" s="25" t="s">
        <v>247</v>
      </c>
      <c r="AM135" s="4" t="s">
        <v>3302</v>
      </c>
      <c r="AN135" s="25" t="s">
        <v>3186</v>
      </c>
      <c r="AO135" s="4" t="s">
        <v>3303</v>
      </c>
      <c r="AP135" s="4" t="s">
        <v>3304</v>
      </c>
      <c r="AQ135" s="25" t="s">
        <v>235</v>
      </c>
      <c r="AR135" s="26" t="str">
        <f>IF($B135="","",IFERROR(INDEX(Paramètres!$Q$6:$Q$13,MATCH($G135,Paramètres!$P$6:$P$13,0)),""))</f>
        <v>Calcul de structures viscoélastiques</v>
      </c>
      <c r="AS135" s="26" t="str">
        <f>IF($B135="","",IFERROR(INDEX(Paramètres!$T$6:$T$11,MATCH($I135,Paramètres!$S$6:$S$11,0)),""))</f>
        <v>janvier 2027</v>
      </c>
      <c r="AT135" s="31">
        <f>IF($B135="","",IFERROR(INDEX(Paramètres!$C$27:$C$29,MATCH($H135,Paramètres!$B$27:$B$29,0)),0))</f>
        <v>1</v>
      </c>
      <c r="AU135" s="29"/>
      <c r="AV135" s="32"/>
      <c r="AW135" s="26" t="str">
        <f t="shared" si="32"/>
        <v>chabot2006isap.md</v>
      </c>
      <c r="AX135" s="26">
        <f>IF($B135="","",COUNTIF($I$2:I135,$I135))</f>
        <v>26</v>
      </c>
      <c r="AY135" s="26" t="str">
        <f t="shared" si="33"/>
        <v>4-26</v>
      </c>
      <c r="AZ135" s="26" t="s">
        <v>3300</v>
      </c>
      <c r="BA135" s="36">
        <f t="shared" ca="1" si="34"/>
        <v>45.008650000000003</v>
      </c>
      <c r="BB135" t="inlineStr">
        <is>
          <t>BIB-134_Chabot-etal_2006_Viscoelastic-modelling-ViscoRoute.pdf</t>
        </is>
      </c>
    </row>
    <row r="136" spans="1:54" ht="89.25" hidden="1" x14ac:dyDescent="0.25">
      <c r="A136" s="25" t="s">
        <v>3305</v>
      </c>
      <c r="B136" s="25" t="s">
        <v>3306</v>
      </c>
      <c r="C136" s="26" t="str">
        <f t="shared" si="28"/>
        <v>Zhao et al. (2014)</v>
      </c>
      <c r="D136" s="4" t="s">
        <v>3307</v>
      </c>
      <c r="E136" s="27" t="str">
        <f>IF(OR($B136="",$AF136=""),"",HYPERLINK(IF(AND(Paramètres!$C$13&lt;&gt;"",$AJ136="Éditeur (abonnement)"),Paramètres!$C$13&amp;$AF136,$AF136),"Ouvrir : "&amp;$AE136))</f>
        <v>Ouvrir : Recherche Google Scholar</v>
      </c>
      <c r="F136" s="28" t="s">
        <v>235</v>
      </c>
      <c r="G136" s="28">
        <v>5</v>
      </c>
      <c r="H136" s="25" t="s">
        <v>405</v>
      </c>
      <c r="I136" s="28">
        <v>4</v>
      </c>
      <c r="J136" s="29" t="s">
        <v>234</v>
      </c>
      <c r="K136" s="26" t="str">
        <f ca="1">IF($B136="","",IF($J136="Lu","Lu",IF($J136="Écarté","Écarté",IF($I136&lt;Paramètres!$C$8,"EN RETARD",IF($I136=Paramètres!$C$8,"Ce mois-ci",IF($I136=Paramètres!$C$8+1,"Mois prochain","À venir"))))))</f>
        <v>À venir</v>
      </c>
      <c r="L136" s="30" t="str">
        <f t="shared" si="29"/>
        <v>Vérification à compléter avant de citer</v>
      </c>
      <c r="M136" s="31">
        <f ca="1">IF($B136="","",IF(OR($J136="Lu",$J136="Écarté"),0,IFERROR(INDEX(Paramètres!$C$17:$C$19,MATCH($H136,Paramètres!$B$17:$B$19,0)),0)+Paramètres!$C$20*(7-$I136)+IF($I136&lt;Paramètres!$C$8,Paramètres!$C$21,0)+IF($F136="Oui",Paramètres!$C$22,0)+IF($AL136&lt;&gt;"Vérifié",Paramètres!$C$23,0)+IF(AND($O136&lt;&gt;"Oui",OR($AJ136="PDF libre",$AJ136="PDF libre (dépôt)")),Paramètres!$C$24,0)))</f>
        <v>60</v>
      </c>
      <c r="N136" s="32"/>
      <c r="O136" s="33" t="str">
        <f ca="1">IF($B136="","Non",HYPERLINK(DossierPDF&amp;$BB136,"Oui"))</f>
        <v>Oui</v>
      </c>
      <c r="P136" s="33" t="s">
        <v>235</v>
      </c>
      <c r="Q136" s="33" t="s">
        <v>235</v>
      </c>
      <c r="R136" s="33"/>
      <c r="S136" s="34"/>
      <c r="T136" s="25" t="s">
        <v>236</v>
      </c>
      <c r="U136" s="26" t="str">
        <f>IF($B136="","",IFERROR(INDEX(Paramètres!$N$6:$N$13,MATCH($T136,Paramètres!$M$6:$M$13,0)),$T136))</f>
        <v>Article de revue</v>
      </c>
      <c r="V136" s="4" t="s">
        <v>3308</v>
      </c>
      <c r="W136" s="28">
        <v>2014</v>
      </c>
      <c r="X136" s="4" t="s">
        <v>1011</v>
      </c>
      <c r="Y136" s="25" t="s">
        <v>3309</v>
      </c>
      <c r="Z136" s="25" t="s">
        <v>463</v>
      </c>
      <c r="AA136" s="25" t="s">
        <v>3310</v>
      </c>
      <c r="AB136" s="25"/>
      <c r="AC136" s="25"/>
      <c r="AD136" s="25"/>
      <c r="AE136" s="25" t="s">
        <v>341</v>
      </c>
      <c r="AF136" s="35" t="s">
        <v>3311</v>
      </c>
      <c r="AG136" s="27" t="str">
        <f t="shared" si="30"/>
        <v/>
      </c>
      <c r="AH136" s="27" t="str">
        <f t="shared" si="31"/>
        <v>Scholar</v>
      </c>
      <c r="AI136" s="28" t="s">
        <v>245</v>
      </c>
      <c r="AJ136" s="25" t="s">
        <v>185</v>
      </c>
      <c r="AK136" s="4" t="s">
        <v>3312</v>
      </c>
      <c r="AL136" s="25" t="s">
        <v>517</v>
      </c>
      <c r="AM136" s="4" t="s">
        <v>3313</v>
      </c>
      <c r="AN136" s="25" t="s">
        <v>3186</v>
      </c>
      <c r="AO136" s="4" t="s">
        <v>3314</v>
      </c>
      <c r="AP136" s="4" t="s">
        <v>1400</v>
      </c>
      <c r="AQ136" s="25" t="s">
        <v>235</v>
      </c>
      <c r="AR136" s="26" t="str">
        <f>IF($B136="","",IFERROR(INDEX(Paramètres!$Q$6:$Q$13,MATCH($G136,Paramètres!$P$6:$P$13,0)),""))</f>
        <v>Calcul de structures viscoélastiques</v>
      </c>
      <c r="AS136" s="26" t="str">
        <f>IF($B136="","",IFERROR(INDEX(Paramètres!$T$6:$T$11,MATCH($I136,Paramètres!$S$6:$S$11,0)),""))</f>
        <v>janvier 2027</v>
      </c>
      <c r="AT136" s="31">
        <f>IF($B136="","",IFERROR(INDEX(Paramètres!$C$27:$C$29,MATCH($H136,Paramètres!$B$27:$B$29,0)),0))</f>
        <v>1</v>
      </c>
      <c r="AU136" s="29"/>
      <c r="AV136" s="32"/>
      <c r="AW136" s="26" t="str">
        <f t="shared" si="32"/>
        <v>zhao2014viscoelastic.md</v>
      </c>
      <c r="AX136" s="26">
        <f>IF($B136="","",COUNTIF($I$2:I136,$I136))</f>
        <v>27</v>
      </c>
      <c r="AY136" s="26" t="str">
        <f t="shared" si="33"/>
        <v>4-27</v>
      </c>
      <c r="AZ136" s="26" t="s">
        <v>3311</v>
      </c>
      <c r="BA136" s="36">
        <f t="shared" ca="1" si="34"/>
        <v>60.00864</v>
      </c>
      <c r="BB136" t="inlineStr">
        <is>
          <t>BIB-135_Zhao-etal_2014_Viscoelastic-response-multilayered-pavements.pdf</t>
        </is>
      </c>
    </row>
    <row r="137" spans="1:54" ht="38.25" hidden="1" x14ac:dyDescent="0.25">
      <c r="A137" s="25" t="s">
        <v>3315</v>
      </c>
      <c r="B137" s="25" t="s">
        <v>3316</v>
      </c>
      <c r="C137" s="26" t="str">
        <f t="shared" si="28"/>
        <v>Hughes (2000)</v>
      </c>
      <c r="D137" s="4" t="s">
        <v>3317</v>
      </c>
      <c r="E137" s="27" t="str">
        <f>IF(OR($B137="",$AF137=""),"",HYPERLINK(IF(AND(Paramètres!$C$13&lt;&gt;"",$AJ137="Éditeur (abonnement)"),Paramètres!$C$13&amp;$AF137,$AF137),"Ouvrir : "&amp;$AE137))</f>
        <v>Ouvrir : Recherche Google Scholar</v>
      </c>
      <c r="F137" s="28" t="s">
        <v>235</v>
      </c>
      <c r="G137" s="28">
        <v>5</v>
      </c>
      <c r="H137" s="25" t="s">
        <v>338</v>
      </c>
      <c r="I137" s="28">
        <v>4</v>
      </c>
      <c r="J137" s="29" t="s">
        <v>234</v>
      </c>
      <c r="K137" s="26" t="str">
        <f ca="1">IF($B137="","",IF($J137="Lu","Lu",IF($J137="Écarté","Écarté",IF($I137&lt;Paramètres!$C$8,"EN RETARD",IF($I137=Paramètres!$C$8,"Ce mois-ci",IF($I137=Paramètres!$C$8+1,"Mois prochain","À venir"))))))</f>
        <v>À venir</v>
      </c>
      <c r="L137" s="30" t="str">
        <f t="shared" si="29"/>
        <v>Vérification à compléter avant de citer</v>
      </c>
      <c r="M137" s="31">
        <f ca="1">IF($B137="","",IF(OR($J137="Lu",$J137="Écarté"),0,IFERROR(INDEX(Paramètres!$C$17:$C$19,MATCH($H137,Paramètres!$B$17:$B$19,0)),0)+Paramètres!$C$20*(7-$I137)+IF($I137&lt;Paramètres!$C$8,Paramètres!$C$21,0)+IF($F137="Oui",Paramètres!$C$22,0)+IF($AL137&lt;&gt;"Vérifié",Paramètres!$C$23,0)+IF(AND($O137&lt;&gt;"Oui",OR($AJ137="PDF libre",$AJ137="PDF libre (dépôt)")),Paramètres!$C$24,0)))</f>
        <v>90</v>
      </c>
      <c r="N137" s="32"/>
      <c r="O137" s="33" t="str">
        <f ca="1">IF($B137="","Non",HYPERLINK(DossierPDF&amp;$BB137,"Oui"))</f>
        <v>Oui</v>
      </c>
      <c r="P137" s="33" t="s">
        <v>235</v>
      </c>
      <c r="Q137" s="33" t="s">
        <v>235</v>
      </c>
      <c r="R137" s="33"/>
      <c r="S137" s="34"/>
      <c r="T137" s="25" t="s">
        <v>661</v>
      </c>
      <c r="U137" s="26" t="str">
        <f>IF($B137="","",IFERROR(INDEX(Paramètres!$N$6:$N$13,MATCH($T137,Paramètres!$M$6:$M$13,0)),$T137))</f>
        <v>Ouvrage / guide</v>
      </c>
      <c r="V137" s="4" t="s">
        <v>3318</v>
      </c>
      <c r="W137" s="28">
        <v>2000</v>
      </c>
      <c r="X137" s="4"/>
      <c r="Y137" s="25"/>
      <c r="Z137" s="25"/>
      <c r="AA137" s="25"/>
      <c r="AB137" s="25" t="s">
        <v>3319</v>
      </c>
      <c r="AC137" s="25"/>
      <c r="AD137" s="25"/>
      <c r="AE137" s="25" t="s">
        <v>341</v>
      </c>
      <c r="AF137" s="35" t="s">
        <v>3320</v>
      </c>
      <c r="AG137" s="27" t="str">
        <f t="shared" si="30"/>
        <v/>
      </c>
      <c r="AH137" s="27" t="str">
        <f t="shared" si="31"/>
        <v>Scholar</v>
      </c>
      <c r="AI137" s="28" t="s">
        <v>245</v>
      </c>
      <c r="AJ137" s="25" t="s">
        <v>186</v>
      </c>
      <c r="AK137" s="4" t="s">
        <v>3321</v>
      </c>
      <c r="AL137" s="25" t="s">
        <v>517</v>
      </c>
      <c r="AM137" s="4" t="s">
        <v>3322</v>
      </c>
      <c r="AN137" s="25" t="s">
        <v>3186</v>
      </c>
      <c r="AO137" s="4" t="s">
        <v>3323</v>
      </c>
      <c r="AP137" s="4"/>
      <c r="AQ137" s="25" t="s">
        <v>235</v>
      </c>
      <c r="AR137" s="26" t="str">
        <f>IF($B137="","",IFERROR(INDEX(Paramètres!$Q$6:$Q$13,MATCH($G137,Paramètres!$P$6:$P$13,0)),""))</f>
        <v>Calcul de structures viscoélastiques</v>
      </c>
      <c r="AS137" s="26" t="str">
        <f>IF($B137="","",IFERROR(INDEX(Paramètres!$T$6:$T$11,MATCH($I137,Paramètres!$S$6:$S$11,0)),""))</f>
        <v>janvier 2027</v>
      </c>
      <c r="AT137" s="31">
        <f>IF($B137="","",IFERROR(INDEX(Paramètres!$C$27:$C$29,MATCH($H137,Paramètres!$B$27:$B$29,0)),0))</f>
        <v>3</v>
      </c>
      <c r="AU137" s="29"/>
      <c r="AV137" s="32"/>
      <c r="AW137" s="26" t="str">
        <f t="shared" si="32"/>
        <v>hughes2000fem.md</v>
      </c>
      <c r="AX137" s="26">
        <f>IF($B137="","",COUNTIF($I$2:I137,$I137))</f>
        <v>28</v>
      </c>
      <c r="AY137" s="26" t="str">
        <f t="shared" si="33"/>
        <v>4-28</v>
      </c>
      <c r="AZ137" s="26" t="s">
        <v>3320</v>
      </c>
      <c r="BA137" s="36">
        <f t="shared" ca="1" si="34"/>
        <v>90.008629999999997</v>
      </c>
      <c r="BB137" t="inlineStr">
        <is>
          <t>BIB-136_Hughes_2000_Finite-element-method-linear-static-dynamic.pdf</t>
        </is>
      </c>
    </row>
    <row r="138" spans="1:54" ht="76.5" hidden="1" x14ac:dyDescent="0.25">
      <c r="A138" s="25" t="s">
        <v>3324</v>
      </c>
      <c r="B138" s="25" t="s">
        <v>3325</v>
      </c>
      <c r="C138" s="26" t="str">
        <f t="shared" si="28"/>
        <v>Bornert et al. (2001)</v>
      </c>
      <c r="D138" s="4" t="s">
        <v>3326</v>
      </c>
      <c r="E138" s="27" t="str">
        <f>IF(OR($B138="",$AF138=""),"",HYPERLINK(IF(AND(Paramètres!$C$13&lt;&gt;"",$AJ138="Éditeur (abonnement)"),Paramètres!$C$13&amp;$AF138,$AF138),"Ouvrir : "&amp;$AE138))</f>
        <v>Ouvrir : Recherche Google Scholar</v>
      </c>
      <c r="F138" s="28" t="s">
        <v>235</v>
      </c>
      <c r="G138" s="28">
        <v>5</v>
      </c>
      <c r="H138" s="25" t="s">
        <v>338</v>
      </c>
      <c r="I138" s="28">
        <v>5</v>
      </c>
      <c r="J138" s="29" t="s">
        <v>234</v>
      </c>
      <c r="K138" s="26" t="str">
        <f ca="1">IF($B138="","",IF($J138="Lu","Lu",IF($J138="Écarté","Écarté",IF($I138&lt;Paramètres!$C$8,"EN RETARD",IF($I138=Paramètres!$C$8,"Ce mois-ci",IF($I138=Paramètres!$C$8+1,"Mois prochain","À venir"))))))</f>
        <v>À venir</v>
      </c>
      <c r="L138" s="30" t="str">
        <f t="shared" si="29"/>
        <v>Vérification à compléter avant de citer</v>
      </c>
      <c r="M138" s="31">
        <f ca="1">IF($B138="","",IF(OR($J138="Lu",$J138="Écarté"),0,IFERROR(INDEX(Paramètres!$C$17:$C$19,MATCH($H138,Paramètres!$B$17:$B$19,0)),0)+Paramètres!$C$20*(7-$I138)+IF($I138&lt;Paramètres!$C$8,Paramètres!$C$21,0)+IF($F138="Oui",Paramètres!$C$22,0)+IF($AL138&lt;&gt;"Vérifié",Paramètres!$C$23,0)+IF(AND($O138&lt;&gt;"Oui",OR($AJ138="PDF libre",$AJ138="PDF libre (dépôt)")),Paramètres!$C$24,0)))</f>
        <v>85</v>
      </c>
      <c r="N138" s="32"/>
      <c r="O138" s="33" t="str">
        <f ca="1">IF($B138="","Non",HYPERLINK(DossierPDF&amp;$BB138,"Oui"))</f>
        <v>Oui</v>
      </c>
      <c r="P138" s="33" t="s">
        <v>235</v>
      </c>
      <c r="Q138" s="33" t="s">
        <v>235</v>
      </c>
      <c r="R138" s="33"/>
      <c r="S138" s="34"/>
      <c r="T138" s="25" t="s">
        <v>661</v>
      </c>
      <c r="U138" s="26" t="str">
        <f>IF($B138="","",IFERROR(INDEX(Paramètres!$N$6:$N$13,MATCH($T138,Paramètres!$M$6:$M$13,0)),$T138))</f>
        <v>Ouvrage / guide</v>
      </c>
      <c r="V138" s="4" t="s">
        <v>3327</v>
      </c>
      <c r="W138" s="28">
        <v>2001</v>
      </c>
      <c r="X138" s="4"/>
      <c r="Y138" s="25"/>
      <c r="Z138" s="25"/>
      <c r="AA138" s="25"/>
      <c r="AB138" s="25" t="s">
        <v>3328</v>
      </c>
      <c r="AC138" s="25"/>
      <c r="AD138" s="25"/>
      <c r="AE138" s="25" t="s">
        <v>341</v>
      </c>
      <c r="AF138" s="35" t="s">
        <v>3329</v>
      </c>
      <c r="AG138" s="27" t="str">
        <f t="shared" si="30"/>
        <v/>
      </c>
      <c r="AH138" s="27" t="str">
        <f t="shared" si="31"/>
        <v>Scholar</v>
      </c>
      <c r="AI138" s="28" t="s">
        <v>245</v>
      </c>
      <c r="AJ138" s="25" t="s">
        <v>186</v>
      </c>
      <c r="AK138" s="4" t="s">
        <v>3247</v>
      </c>
      <c r="AL138" s="25" t="s">
        <v>517</v>
      </c>
      <c r="AM138" s="4" t="s">
        <v>3330</v>
      </c>
      <c r="AN138" s="25" t="s">
        <v>3186</v>
      </c>
      <c r="AO138" s="4" t="s">
        <v>3331</v>
      </c>
      <c r="AP138" s="4"/>
      <c r="AQ138" s="25" t="s">
        <v>235</v>
      </c>
      <c r="AR138" s="26" t="str">
        <f>IF($B138="","",IFERROR(INDEX(Paramètres!$Q$6:$Q$13,MATCH($G138,Paramètres!$P$6:$P$13,0)),""))</f>
        <v>Calcul de structures viscoélastiques</v>
      </c>
      <c r="AS138" s="26" t="str">
        <f>IF($B138="","",IFERROR(INDEX(Paramètres!$T$6:$T$11,MATCH($I138,Paramètres!$S$6:$S$11,0)),""))</f>
        <v>février 2027</v>
      </c>
      <c r="AT138" s="31">
        <f>IF($B138="","",IFERROR(INDEX(Paramètres!$C$27:$C$29,MATCH($H138,Paramètres!$B$27:$B$29,0)),0))</f>
        <v>3</v>
      </c>
      <c r="AU138" s="29"/>
      <c r="AV138" s="32"/>
      <c r="AW138" s="26" t="str">
        <f t="shared" si="32"/>
        <v>bornert2001homogeneisation.md</v>
      </c>
      <c r="AX138" s="26">
        <f>IF($B138="","",COUNTIF($I$2:I138,$I138))</f>
        <v>26</v>
      </c>
      <c r="AY138" s="26" t="str">
        <f t="shared" si="33"/>
        <v>5-26</v>
      </c>
      <c r="AZ138" s="26" t="s">
        <v>3329</v>
      </c>
      <c r="BA138" s="36">
        <f t="shared" ca="1" si="34"/>
        <v>85.008619999999993</v>
      </c>
    </row>
    <row r="139" spans="1:54" ht="140.25" x14ac:dyDescent="0.25">
      <c r="A139" s="25" t="s">
        <v>3332</v>
      </c>
      <c r="B139" s="25" t="s">
        <v>3333</v>
      </c>
      <c r="C139" s="26" t="str">
        <f t="shared" si="28"/>
        <v>Moulinec &amp; Suquet (1998)</v>
      </c>
      <c r="D139" s="4" t="s">
        <v>3334</v>
      </c>
      <c r="E139" s="27" t="str">
        <f>IF(OR($B139="",$AF139=""),"",HYPERLINK(IF(AND(Paramètres!$C$13&lt;&gt;"",$AJ139="Éditeur (abonnement)"),Paramètres!$C$13&amp;$AF139,$AF139),"Ouvrir : "&amp;$AE139))</f>
        <v>Ouvrir : Page éditeur (DOI)</v>
      </c>
      <c r="F139" s="28" t="s">
        <v>235</v>
      </c>
      <c r="G139" s="28">
        <v>5</v>
      </c>
      <c r="H139" s="25" t="s">
        <v>405</v>
      </c>
      <c r="I139" s="28">
        <v>5</v>
      </c>
      <c r="J139" s="29" t="s">
        <v>234</v>
      </c>
      <c r="K139" s="26" t="str">
        <f ca="1">IF($B139="","",IF($J139="Lu","Lu",IF($J139="Écarté","Écarté",IF($I139&lt;Paramètres!$C$8,"EN RETARD",IF($I139=Paramètres!$C$8,"Ce mois-ci",IF($I139=Paramètres!$C$8+1,"Mois prochain","À venir"))))))</f>
        <v>À venir</v>
      </c>
      <c r="L139" s="30" t="str">
        <f t="shared" ca="1" si="29"/>
        <v/>
      </c>
      <c r="M139" s="31">
        <f ca="1">IF($B139="","",IF(OR($J139="Lu",$J139="Écarté"),0,IFERROR(INDEX(Paramètres!$C$17:$C$19,MATCH($H139,Paramètres!$B$17:$B$19,0)),0)+Paramètres!$C$20*(7-$I139)+IF($I139&lt;Paramètres!$C$8,Paramètres!$C$21,0)+IF($F139="Oui",Paramètres!$C$22,0)+IF($AL139&lt;&gt;"Vérifié",Paramètres!$C$23,0)+IF(AND($O139&lt;&gt;"Oui",OR($AJ139="PDF libre",$AJ139="PDF libre (dépôt)")),Paramètres!$C$24,0)))</f>
        <v>40</v>
      </c>
      <c r="N139" s="32"/>
      <c r="O139" s="33" t="str">
        <f ca="1">IF($B139="","Non",HYPERLINK(DossierPDF&amp;$BB139,"Oui"))</f>
        <v>Oui</v>
      </c>
      <c r="P139" s="33" t="s">
        <v>235</v>
      </c>
      <c r="Q139" s="33" t="s">
        <v>235</v>
      </c>
      <c r="R139" s="33"/>
      <c r="S139" s="34"/>
      <c r="T139" s="25" t="s">
        <v>236</v>
      </c>
      <c r="U139" s="26" t="str">
        <f>IF($B139="","",IFERROR(INDEX(Paramètres!$N$6:$N$13,MATCH($T139,Paramètres!$M$6:$M$13,0)),$T139))</f>
        <v>Article de revue</v>
      </c>
      <c r="V139" s="4" t="s">
        <v>3335</v>
      </c>
      <c r="W139" s="28">
        <v>1998</v>
      </c>
      <c r="X139" s="4" t="s">
        <v>3336</v>
      </c>
      <c r="Y139" s="25" t="s">
        <v>369</v>
      </c>
      <c r="Z139" s="25" t="s">
        <v>1263</v>
      </c>
      <c r="AA139" s="25" t="s">
        <v>3337</v>
      </c>
      <c r="AB139" s="25"/>
      <c r="AC139" s="25" t="s">
        <v>3338</v>
      </c>
      <c r="AD139" s="25"/>
      <c r="AE139" s="25" t="s">
        <v>243</v>
      </c>
      <c r="AF139" s="35" t="s">
        <v>3339</v>
      </c>
      <c r="AG139" s="27" t="str">
        <f t="shared" si="30"/>
        <v>doi.org</v>
      </c>
      <c r="AH139" s="27" t="str">
        <f t="shared" si="31"/>
        <v>Scholar</v>
      </c>
      <c r="AI139" s="28" t="s">
        <v>245</v>
      </c>
      <c r="AJ139" s="25" t="s">
        <v>185</v>
      </c>
      <c r="AK139" s="4" t="s">
        <v>3340</v>
      </c>
      <c r="AL139" s="25" t="s">
        <v>247</v>
      </c>
      <c r="AM139" s="4" t="s">
        <v>243</v>
      </c>
      <c r="AN139" s="25" t="s">
        <v>3186</v>
      </c>
      <c r="AO139" s="4" t="s">
        <v>3341</v>
      </c>
      <c r="AP139" s="4" t="s">
        <v>3342</v>
      </c>
      <c r="AQ139" s="25" t="s">
        <v>235</v>
      </c>
      <c r="AR139" s="26" t="str">
        <f>IF($B139="","",IFERROR(INDEX(Paramètres!$Q$6:$Q$13,MATCH($G139,Paramètres!$P$6:$P$13,0)),""))</f>
        <v>Calcul de structures viscoélastiques</v>
      </c>
      <c r="AS139" s="26" t="str">
        <f>IF($B139="","",IFERROR(INDEX(Paramètres!$T$6:$T$11,MATCH($I139,Paramètres!$S$6:$S$11,0)),""))</f>
        <v>février 2027</v>
      </c>
      <c r="AT139" s="31">
        <f>IF($B139="","",IFERROR(INDEX(Paramètres!$C$27:$C$29,MATCH($H139,Paramètres!$B$27:$B$29,0)),0))</f>
        <v>1</v>
      </c>
      <c r="AU139" s="29"/>
      <c r="AV139" s="32"/>
      <c r="AW139" s="26" t="str">
        <f t="shared" si="32"/>
        <v>moulinec1998fft.md</v>
      </c>
      <c r="AX139" s="26">
        <f>IF($B139="","",COUNTIF($I$2:I139,$I139))</f>
        <v>27</v>
      </c>
      <c r="AY139" s="26" t="str">
        <f t="shared" si="33"/>
        <v>5-27</v>
      </c>
      <c r="AZ139" s="26" t="s">
        <v>3343</v>
      </c>
      <c r="BA139" s="36">
        <f t="shared" ca="1" si="34"/>
        <v>40.008609999999997</v>
      </c>
      <c r="BB139" t="inlineStr">
        <is>
          <t>BIB-138_Moulinec-Suquet_1998_FFT-nonlinear-composites.pdf</t>
        </is>
      </c>
    </row>
    <row r="140" spans="1:54" ht="76.5" hidden="1" x14ac:dyDescent="0.25">
      <c r="A140" s="25" t="s">
        <v>3344</v>
      </c>
      <c r="B140" s="25" t="s">
        <v>3345</v>
      </c>
      <c r="C140" s="26" t="str">
        <f t="shared" si="28"/>
        <v>Lee (1955)</v>
      </c>
      <c r="D140" s="4" t="s">
        <v>3346</v>
      </c>
      <c r="E140" s="27" t="str">
        <f>IF(OR($B140="",$AF140=""),"",HYPERLINK(IF(AND(Paramètres!$C$13&lt;&gt;"",$AJ140="Éditeur (abonnement)"),Paramètres!$C$13&amp;$AF140,$AF140),"Ouvrir : "&amp;$AE140))</f>
        <v>Ouvrir : Recherche Google Scholar</v>
      </c>
      <c r="F140" s="28" t="s">
        <v>235</v>
      </c>
      <c r="G140" s="28">
        <v>3</v>
      </c>
      <c r="H140" s="25" t="s">
        <v>338</v>
      </c>
      <c r="I140" s="28">
        <v>2</v>
      </c>
      <c r="J140" s="29" t="s">
        <v>234</v>
      </c>
      <c r="K140" s="26" t="str">
        <f ca="1">IF($B140="","",IF($J140="Lu","Lu",IF($J140="Écarté","Écarté",IF($I140&lt;Paramètres!$C$8,"EN RETARD",IF($I140=Paramètres!$C$8,"Ce mois-ci",IF($I140=Paramètres!$C$8+1,"Mois prochain","À venir"))))))</f>
        <v>Mois prochain</v>
      </c>
      <c r="L140" s="30" t="str">
        <f t="shared" si="29"/>
        <v>Vérification à compléter avant de citer</v>
      </c>
      <c r="M140" s="31">
        <f ca="1">IF($B140="","",IF(OR($J140="Lu",$J140="Écarté"),0,IFERROR(INDEX(Paramètres!$C$17:$C$19,MATCH($H140,Paramètres!$B$17:$B$19,0)),0)+Paramètres!$C$20*(7-$I140)+IF($I140&lt;Paramètres!$C$8,Paramètres!$C$21,0)+IF($F140="Oui",Paramètres!$C$22,0)+IF($AL140&lt;&gt;"Vérifié",Paramètres!$C$23,0)+IF(AND($O140&lt;&gt;"Oui",OR($AJ140="PDF libre",$AJ140="PDF libre (dépôt)")),Paramètres!$C$24,0)))</f>
        <v>100</v>
      </c>
      <c r="N140" s="32"/>
      <c r="O140" s="33" t="str">
        <f ca="1">IF($B140="","Non",HYPERLINK(DossierPDF&amp;$BB140,"Oui"))</f>
        <v>Oui</v>
      </c>
      <c r="P140" s="33" t="s">
        <v>235</v>
      </c>
      <c r="Q140" s="33" t="s">
        <v>235</v>
      </c>
      <c r="R140" s="33"/>
      <c r="S140" s="34"/>
      <c r="T140" s="25" t="s">
        <v>236</v>
      </c>
      <c r="U140" s="26" t="str">
        <f>IF($B140="","",IFERROR(INDEX(Paramètres!$N$6:$N$13,MATCH($T140,Paramètres!$M$6:$M$13,0)),$T140))</f>
        <v>Article de revue</v>
      </c>
      <c r="V140" s="4" t="s">
        <v>3347</v>
      </c>
      <c r="W140" s="28">
        <v>1955</v>
      </c>
      <c r="X140" s="4" t="s">
        <v>3348</v>
      </c>
      <c r="Y140" s="25" t="s">
        <v>407</v>
      </c>
      <c r="Z140" s="25" t="s">
        <v>368</v>
      </c>
      <c r="AA140" s="25" t="s">
        <v>3349</v>
      </c>
      <c r="AB140" s="25"/>
      <c r="AC140" s="25"/>
      <c r="AD140" s="25"/>
      <c r="AE140" s="25" t="s">
        <v>341</v>
      </c>
      <c r="AF140" s="35" t="s">
        <v>3350</v>
      </c>
      <c r="AG140" s="27" t="str">
        <f t="shared" si="30"/>
        <v/>
      </c>
      <c r="AH140" s="27" t="str">
        <f t="shared" si="31"/>
        <v>Scholar</v>
      </c>
      <c r="AI140" s="28" t="s">
        <v>245</v>
      </c>
      <c r="AJ140" s="25" t="s">
        <v>185</v>
      </c>
      <c r="AK140" s="4" t="s">
        <v>3351</v>
      </c>
      <c r="AL140" s="25" t="s">
        <v>517</v>
      </c>
      <c r="AM140" s="4" t="s">
        <v>3352</v>
      </c>
      <c r="AN140" s="25" t="s">
        <v>3186</v>
      </c>
      <c r="AO140" s="4" t="s">
        <v>3353</v>
      </c>
      <c r="AP140" s="4" t="s">
        <v>3354</v>
      </c>
      <c r="AQ140" s="25" t="s">
        <v>235</v>
      </c>
      <c r="AR140" s="26" t="str">
        <f>IF($B140="","",IFERROR(INDEX(Paramètres!$Q$6:$Q$13,MATCH($G140,Paramètres!$P$6:$P$13,0)),""))</f>
        <v>Viscoélasticité des enrobés</v>
      </c>
      <c r="AS140" s="26" t="str">
        <f>IF($B140="","",IFERROR(INDEX(Paramètres!$T$6:$T$11,MATCH($I140,Paramètres!$S$6:$S$11,0)),""))</f>
        <v>novembre 2026</v>
      </c>
      <c r="AT140" s="31">
        <f>IF($B140="","",IFERROR(INDEX(Paramètres!$C$27:$C$29,MATCH($H140,Paramètres!$B$27:$B$29,0)),0))</f>
        <v>3</v>
      </c>
      <c r="AU140" s="29"/>
      <c r="AV140" s="32"/>
      <c r="AW140" s="26" t="str">
        <f t="shared" si="32"/>
        <v>lee1955correspondence.md</v>
      </c>
      <c r="AX140" s="26">
        <f>IF($B140="","",COUNTIF($I$2:I140,$I140))</f>
        <v>27</v>
      </c>
      <c r="AY140" s="26" t="str">
        <f t="shared" si="33"/>
        <v>2-27</v>
      </c>
      <c r="AZ140" s="26" t="s">
        <v>3350</v>
      </c>
      <c r="BA140" s="36">
        <f t="shared" ca="1" si="34"/>
        <v>100.0086</v>
      </c>
      <c r="BB140" t="s">
        <v>4125</v>
      </c>
    </row>
    <row r="141" spans="1:54" ht="38.25" hidden="1" x14ac:dyDescent="0.25">
      <c r="A141" s="25" t="s">
        <v>3355</v>
      </c>
      <c r="B141" s="25" t="s">
        <v>3356</v>
      </c>
      <c r="C141" s="26" t="str">
        <f t="shared" si="28"/>
        <v>Christensen (1982)</v>
      </c>
      <c r="D141" s="4" t="s">
        <v>3357</v>
      </c>
      <c r="E141" s="27" t="str">
        <f>IF(OR($B141="",$AF141=""),"",HYPERLINK(IF(AND(Paramètres!$C$13&lt;&gt;"",$AJ141="Éditeur (abonnement)"),Paramètres!$C$13&amp;$AF141,$AF141),"Ouvrir : "&amp;$AE141))</f>
        <v>Ouvrir : Recherche Google Scholar</v>
      </c>
      <c r="F141" s="28" t="s">
        <v>235</v>
      </c>
      <c r="G141" s="28">
        <v>3</v>
      </c>
      <c r="H141" s="25" t="s">
        <v>338</v>
      </c>
      <c r="I141" s="28">
        <v>2</v>
      </c>
      <c r="J141" s="29" t="s">
        <v>234</v>
      </c>
      <c r="K141" s="26" t="str">
        <f ca="1">IF($B141="","",IF($J141="Lu","Lu",IF($J141="Écarté","Écarté",IF($I141&lt;Paramètres!$C$8,"EN RETARD",IF($I141=Paramètres!$C$8,"Ce mois-ci",IF($I141=Paramètres!$C$8+1,"Mois prochain","À venir"))))))</f>
        <v>Mois prochain</v>
      </c>
      <c r="L141" s="30" t="str">
        <f t="shared" si="29"/>
        <v>Vérification à compléter avant de citer</v>
      </c>
      <c r="M141" s="31">
        <f ca="1">IF($B141="","",IF(OR($J141="Lu",$J141="Écarté"),0,IFERROR(INDEX(Paramètres!$C$17:$C$19,MATCH($H141,Paramètres!$B$17:$B$19,0)),0)+Paramètres!$C$20*(7-$I141)+IF($I141&lt;Paramètres!$C$8,Paramètres!$C$21,0)+IF($F141="Oui",Paramètres!$C$22,0)+IF($AL141&lt;&gt;"Vérifié",Paramètres!$C$23,0)+IF(AND($O141&lt;&gt;"Oui",OR($AJ141="PDF libre",$AJ141="PDF libre (dépôt)")),Paramètres!$C$24,0)))</f>
        <v>100</v>
      </c>
      <c r="N141" s="32"/>
      <c r="O141" s="33" t="str">
        <f ca="1">IF($B141="","Non",HYPERLINK(DossierPDF&amp;$BB141,"Oui"))</f>
        <v>Oui</v>
      </c>
      <c r="P141" s="33" t="s">
        <v>235</v>
      </c>
      <c r="Q141" s="33" t="s">
        <v>235</v>
      </c>
      <c r="R141" s="33"/>
      <c r="S141" s="34"/>
      <c r="T141" s="25" t="s">
        <v>661</v>
      </c>
      <c r="U141" s="26" t="str">
        <f>IF($B141="","",IFERROR(INDEX(Paramètres!$N$6:$N$13,MATCH($T141,Paramètres!$M$6:$M$13,0)),$T141))</f>
        <v>Ouvrage / guide</v>
      </c>
      <c r="V141" s="4" t="s">
        <v>3358</v>
      </c>
      <c r="W141" s="28">
        <v>1982</v>
      </c>
      <c r="X141" s="4"/>
      <c r="Y141" s="25"/>
      <c r="Z141" s="25"/>
      <c r="AA141" s="25"/>
      <c r="AB141" s="25" t="s">
        <v>3359</v>
      </c>
      <c r="AC141" s="25"/>
      <c r="AD141" s="25"/>
      <c r="AE141" s="25" t="s">
        <v>341</v>
      </c>
      <c r="AF141" s="35" t="s">
        <v>3360</v>
      </c>
      <c r="AG141" s="27" t="str">
        <f t="shared" si="30"/>
        <v/>
      </c>
      <c r="AH141" s="27" t="str">
        <f t="shared" si="31"/>
        <v>Scholar</v>
      </c>
      <c r="AI141" s="28" t="s">
        <v>245</v>
      </c>
      <c r="AJ141" s="25" t="s">
        <v>186</v>
      </c>
      <c r="AK141" s="4" t="s">
        <v>3361</v>
      </c>
      <c r="AL141" s="25" t="s">
        <v>517</v>
      </c>
      <c r="AM141" s="4" t="s">
        <v>3362</v>
      </c>
      <c r="AN141" s="25" t="s">
        <v>3186</v>
      </c>
      <c r="AO141" s="4" t="s">
        <v>3363</v>
      </c>
      <c r="AP141" s="4"/>
      <c r="AQ141" s="25" t="s">
        <v>235</v>
      </c>
      <c r="AR141" s="26" t="str">
        <f>IF($B141="","",IFERROR(INDEX(Paramètres!$Q$6:$Q$13,MATCH($G141,Paramètres!$P$6:$P$13,0)),""))</f>
        <v>Viscoélasticité des enrobés</v>
      </c>
      <c r="AS141" s="26" t="str">
        <f>IF($B141="","",IFERROR(INDEX(Paramètres!$T$6:$T$11,MATCH($I141,Paramètres!$S$6:$S$11,0)),""))</f>
        <v>novembre 2026</v>
      </c>
      <c r="AT141" s="31">
        <f>IF($B141="","",IFERROR(INDEX(Paramètres!$C$27:$C$29,MATCH($H141,Paramètres!$B$27:$B$29,0)),0))</f>
        <v>3</v>
      </c>
      <c r="AU141" s="29"/>
      <c r="AV141" s="32"/>
      <c r="AW141" s="26" t="str">
        <f t="shared" si="32"/>
        <v>christensen1982viscoelasticity.md</v>
      </c>
      <c r="AX141" s="26">
        <f>IF($B141="","",COUNTIF($I$2:I141,$I141))</f>
        <v>28</v>
      </c>
      <c r="AY141" s="26" t="str">
        <f t="shared" si="33"/>
        <v>2-28</v>
      </c>
      <c r="AZ141" s="26" t="s">
        <v>3360</v>
      </c>
      <c r="BA141" s="36">
        <f t="shared" ca="1" si="34"/>
        <v>100.00859</v>
      </c>
    </row>
    <row r="142" spans="1:54" ht="25.5" hidden="1" x14ac:dyDescent="0.25">
      <c r="A142" s="25" t="s">
        <v>3364</v>
      </c>
      <c r="B142" s="25" t="s">
        <v>3365</v>
      </c>
      <c r="C142" s="26" t="str">
        <f t="shared" si="28"/>
        <v>Salençon (2009)</v>
      </c>
      <c r="D142" s="4" t="s">
        <v>3366</v>
      </c>
      <c r="E142" s="27" t="str">
        <f>IF(OR($B142="",$AF142=""),"",HYPERLINK(IF(AND(Paramètres!$C$13&lt;&gt;"",$AJ142="Éditeur (abonnement)"),Paramètres!$C$13&amp;$AF142,$AF142),"Ouvrir : "&amp;$AE142))</f>
        <v>Ouvrir : Recherche Google Scholar</v>
      </c>
      <c r="F142" s="28" t="s">
        <v>235</v>
      </c>
      <c r="G142" s="28">
        <v>3</v>
      </c>
      <c r="H142" s="25" t="s">
        <v>338</v>
      </c>
      <c r="I142" s="28">
        <v>2</v>
      </c>
      <c r="J142" s="29" t="s">
        <v>234</v>
      </c>
      <c r="K142" s="26" t="str">
        <f ca="1">IF($B142="","",IF($J142="Lu","Lu",IF($J142="Écarté","Écarté",IF($I142&lt;Paramètres!$C$8,"EN RETARD",IF($I142=Paramètres!$C$8,"Ce mois-ci",IF($I142=Paramètres!$C$8+1,"Mois prochain","À venir"))))))</f>
        <v>Mois prochain</v>
      </c>
      <c r="L142" s="30" t="str">
        <f t="shared" si="29"/>
        <v>Vérification à compléter avant de citer</v>
      </c>
      <c r="M142" s="31">
        <f ca="1">IF($B142="","",IF(OR($J142="Lu",$J142="Écarté"),0,IFERROR(INDEX(Paramètres!$C$17:$C$19,MATCH($H142,Paramètres!$B$17:$B$19,0)),0)+Paramètres!$C$20*(7-$I142)+IF($I142&lt;Paramètres!$C$8,Paramètres!$C$21,0)+IF($F142="Oui",Paramètres!$C$22,0)+IF($AL142&lt;&gt;"Vérifié",Paramètres!$C$23,0)+IF(AND($O142&lt;&gt;"Oui",OR($AJ142="PDF libre",$AJ142="PDF libre (dépôt)")),Paramètres!$C$24,0)))</f>
        <v>100</v>
      </c>
      <c r="N142" s="32"/>
      <c r="O142" s="33" t="str">
        <f ca="1">IF($B142="","Non",HYPERLINK(DossierPDF&amp;$BB142,"Oui"))</f>
        <v>Oui</v>
      </c>
      <c r="P142" s="33" t="s">
        <v>235</v>
      </c>
      <c r="Q142" s="33" t="s">
        <v>235</v>
      </c>
      <c r="R142" s="33"/>
      <c r="S142" s="34"/>
      <c r="T142" s="25" t="s">
        <v>661</v>
      </c>
      <c r="U142" s="26" t="str">
        <f>IF($B142="","",IFERROR(INDEX(Paramètres!$N$6:$N$13,MATCH($T142,Paramètres!$M$6:$M$13,0)),$T142))</f>
        <v>Ouvrage / guide</v>
      </c>
      <c r="V142" s="4" t="s">
        <v>3367</v>
      </c>
      <c r="W142" s="28">
        <v>2009</v>
      </c>
      <c r="X142" s="4"/>
      <c r="Y142" s="25"/>
      <c r="Z142" s="25"/>
      <c r="AA142" s="25"/>
      <c r="AB142" s="25" t="s">
        <v>3368</v>
      </c>
      <c r="AC142" s="25"/>
      <c r="AD142" s="25"/>
      <c r="AE142" s="25" t="s">
        <v>341</v>
      </c>
      <c r="AF142" s="35" t="s">
        <v>3369</v>
      </c>
      <c r="AG142" s="27" t="str">
        <f t="shared" si="30"/>
        <v/>
      </c>
      <c r="AH142" s="27" t="str">
        <f t="shared" si="31"/>
        <v>Scholar</v>
      </c>
      <c r="AI142" s="28" t="s">
        <v>245</v>
      </c>
      <c r="AJ142" s="25" t="s">
        <v>186</v>
      </c>
      <c r="AK142" s="4" t="s">
        <v>3247</v>
      </c>
      <c r="AL142" s="25" t="s">
        <v>517</v>
      </c>
      <c r="AM142" s="4" t="s">
        <v>3370</v>
      </c>
      <c r="AN142" s="25" t="s">
        <v>3186</v>
      </c>
      <c r="AO142" s="4" t="s">
        <v>3371</v>
      </c>
      <c r="AP142" s="4"/>
      <c r="AQ142" s="25" t="s">
        <v>235</v>
      </c>
      <c r="AR142" s="26" t="str">
        <f>IF($B142="","",IFERROR(INDEX(Paramètres!$Q$6:$Q$13,MATCH($G142,Paramètres!$P$6:$P$13,0)),""))</f>
        <v>Viscoélasticité des enrobés</v>
      </c>
      <c r="AS142" s="26" t="str">
        <f>IF($B142="","",IFERROR(INDEX(Paramètres!$T$6:$T$11,MATCH($I142,Paramètres!$S$6:$S$11,0)),""))</f>
        <v>novembre 2026</v>
      </c>
      <c r="AT142" s="31">
        <f>IF($B142="","",IFERROR(INDEX(Paramètres!$C$27:$C$29,MATCH($H142,Paramètres!$B$27:$B$29,0)),0))</f>
        <v>3</v>
      </c>
      <c r="AU142" s="29"/>
      <c r="AV142" s="32"/>
      <c r="AW142" s="26" t="str">
        <f t="shared" si="32"/>
        <v>salencon2009viscoelasticite.md</v>
      </c>
      <c r="AX142" s="26">
        <f>IF($B142="","",COUNTIF($I$2:I142,$I142))</f>
        <v>29</v>
      </c>
      <c r="AY142" s="26" t="str">
        <f t="shared" si="33"/>
        <v>2-29</v>
      </c>
      <c r="AZ142" s="26" t="s">
        <v>3369</v>
      </c>
      <c r="BA142" s="36">
        <f t="shared" ca="1" si="34"/>
        <v>100.00857999999999</v>
      </c>
      <c r="BB142" t="s">
        <v>4126</v>
      </c>
    </row>
    <row r="143" spans="1:54" ht="63.75" x14ac:dyDescent="0.25">
      <c r="A143" s="25" t="s">
        <v>3372</v>
      </c>
      <c r="B143" s="25" t="s">
        <v>3373</v>
      </c>
      <c r="C143" s="26" t="str">
        <f t="shared" si="28"/>
        <v>Polonsky &amp; Keer (1999)</v>
      </c>
      <c r="D143" s="4" t="s">
        <v>3374</v>
      </c>
      <c r="E143" s="27" t="str">
        <f>IF(OR($B143="",$AF143=""),"",HYPERLINK(IF(AND(Paramètres!$C$13&lt;&gt;"",$AJ143="Éditeur (abonnement)"),Paramètres!$C$13&amp;$AF143,$AF143),"Ouvrir : "&amp;$AE143))</f>
        <v>Ouvrir : Page éditeur (DOI)</v>
      </c>
      <c r="F143" s="28" t="s">
        <v>235</v>
      </c>
      <c r="G143" s="28">
        <v>2</v>
      </c>
      <c r="H143" s="25" t="s">
        <v>122</v>
      </c>
      <c r="I143" s="28">
        <v>5</v>
      </c>
      <c r="J143" s="29" t="s">
        <v>234</v>
      </c>
      <c r="K143" s="26" t="str">
        <f ca="1">IF($B143="","",IF($J143="Lu","Lu",IF($J143="Écarté","Écarté",IF($I143&lt;Paramètres!$C$8,"EN RETARD",IF($I143=Paramètres!$C$8,"Ce mois-ci",IF($I143=Paramètres!$C$8+1,"Mois prochain","À venir"))))))</f>
        <v>À venir</v>
      </c>
      <c r="L143" s="30" t="str">
        <f t="shared" ca="1" si="29"/>
        <v/>
      </c>
      <c r="M143" s="31">
        <f ca="1">IF($B143="","",IF(OR($J143="Lu",$J143="Écarté"),0,IFERROR(INDEX(Paramètres!$C$17:$C$19,MATCH($H143,Paramètres!$B$17:$B$19,0)),0)+Paramètres!$C$20*(7-$I143)+IF($I143&lt;Paramètres!$C$8,Paramètres!$C$21,0)+IF($F143="Oui",Paramètres!$C$22,0)+IF($AL143&lt;&gt;"Vérifié",Paramètres!$C$23,0)+IF(AND($O143&lt;&gt;"Oui",OR($AJ143="PDF libre",$AJ143="PDF libre (dépôt)")),Paramètres!$C$24,0)))</f>
        <v>110</v>
      </c>
      <c r="N143" s="32"/>
      <c r="O143" s="33" t="str">
        <f ca="1">IF($B143="","Non",HYPERLINK(DossierPDF&amp;$BB143,"Oui"))</f>
        <v>Oui</v>
      </c>
      <c r="P143" s="33" t="s">
        <v>235</v>
      </c>
      <c r="Q143" s="33" t="s">
        <v>235</v>
      </c>
      <c r="R143" s="33"/>
      <c r="S143" s="34"/>
      <c r="T143" s="25" t="s">
        <v>236</v>
      </c>
      <c r="U143" s="26" t="str">
        <f>IF($B143="","",IFERROR(INDEX(Paramètres!$N$6:$N$13,MATCH($T143,Paramètres!$M$6:$M$13,0)),$T143))</f>
        <v>Article de revue</v>
      </c>
      <c r="V143" s="4" t="s">
        <v>3375</v>
      </c>
      <c r="W143" s="28">
        <v>1999</v>
      </c>
      <c r="X143" s="4" t="s">
        <v>1261</v>
      </c>
      <c r="Y143" s="25" t="s">
        <v>3376</v>
      </c>
      <c r="Z143" s="25" t="s">
        <v>368</v>
      </c>
      <c r="AA143" s="25" t="s">
        <v>3377</v>
      </c>
      <c r="AB143" s="25"/>
      <c r="AC143" s="25" t="s">
        <v>3378</v>
      </c>
      <c r="AD143" s="25"/>
      <c r="AE143" s="25" t="s">
        <v>243</v>
      </c>
      <c r="AF143" s="35" t="s">
        <v>3379</v>
      </c>
      <c r="AG143" s="27" t="str">
        <f t="shared" si="30"/>
        <v>doi.org</v>
      </c>
      <c r="AH143" s="27" t="str">
        <f t="shared" si="31"/>
        <v>Scholar</v>
      </c>
      <c r="AI143" s="28" t="s">
        <v>245</v>
      </c>
      <c r="AJ143" s="25" t="s">
        <v>185</v>
      </c>
      <c r="AK143" s="4" t="s">
        <v>3340</v>
      </c>
      <c r="AL143" s="25" t="s">
        <v>247</v>
      </c>
      <c r="AM143" s="4" t="s">
        <v>3380</v>
      </c>
      <c r="AN143" s="25" t="s">
        <v>3186</v>
      </c>
      <c r="AO143" s="4" t="s">
        <v>3381</v>
      </c>
      <c r="AP143" s="4" t="s">
        <v>3382</v>
      </c>
      <c r="AQ143" s="25" t="s">
        <v>235</v>
      </c>
      <c r="AR143" s="26" t="str">
        <f>IF($B143="","",IFERROR(INDEX(Paramètres!$Q$6:$Q$13,MATCH($G143,Paramètres!$P$6:$P$13,0)),""))</f>
        <v>Modélisation du pneu et du contact</v>
      </c>
      <c r="AS143" s="26" t="str">
        <f>IF($B143="","",IFERROR(INDEX(Paramètres!$T$6:$T$11,MATCH($I143,Paramètres!$S$6:$S$11,0)),""))</f>
        <v>février 2027</v>
      </c>
      <c r="AT143" s="31">
        <f>IF($B143="","",IFERROR(INDEX(Paramètres!$C$27:$C$29,MATCH($H143,Paramètres!$B$27:$B$29,0)),0))</f>
        <v>6</v>
      </c>
      <c r="AU143" s="29"/>
      <c r="AV143" s="32"/>
      <c r="AW143" s="26" t="str">
        <f t="shared" si="32"/>
        <v>polonsky1999cg.md</v>
      </c>
      <c r="AX143" s="26">
        <f>IF($B143="","",COUNTIF($I$2:I143,$I143))</f>
        <v>28</v>
      </c>
      <c r="AY143" s="26" t="str">
        <f t="shared" si="33"/>
        <v>5-28</v>
      </c>
      <c r="AZ143" s="26" t="s">
        <v>3383</v>
      </c>
      <c r="BA143" s="36">
        <f t="shared" ca="1" si="34"/>
        <v>110.00857000000001</v>
      </c>
      <c r="BB143" t="inlineStr">
        <is>
          <t>BIB-142_Polonsky-Keer_1999_Rough-contact-multilevel-conjugate-gradient.pdf</t>
        </is>
      </c>
    </row>
    <row r="144" spans="1:54" ht="63.75" x14ac:dyDescent="0.25">
      <c r="A144" s="25" t="s">
        <v>3384</v>
      </c>
      <c r="B144" s="25" t="s">
        <v>3385</v>
      </c>
      <c r="C144" s="26" t="str">
        <f t="shared" si="28"/>
        <v>Polonsky &amp; Keer (2000)</v>
      </c>
      <c r="D144" s="4" t="s">
        <v>3386</v>
      </c>
      <c r="E144" s="27" t="str">
        <f>IF(OR($B144="",$AF144=""),"",HYPERLINK(IF(AND(Paramètres!$C$13&lt;&gt;"",$AJ144="Éditeur (abonnement)"),Paramètres!$C$13&amp;$AF144,$AF144),"Ouvrir : "&amp;$AE144))</f>
        <v>Ouvrir : Page éditeur (DOI)</v>
      </c>
      <c r="F144" s="28" t="s">
        <v>235</v>
      </c>
      <c r="G144" s="28">
        <v>2</v>
      </c>
      <c r="H144" s="25" t="s">
        <v>338</v>
      </c>
      <c r="I144" s="28">
        <v>5</v>
      </c>
      <c r="J144" s="29" t="s">
        <v>234</v>
      </c>
      <c r="K144" s="26" t="str">
        <f ca="1">IF($B144="","",IF($J144="Lu","Lu",IF($J144="Écarté","Écarté",IF($I144&lt;Paramètres!$C$8,"EN RETARD",IF($I144=Paramètres!$C$8,"Ce mois-ci",IF($I144=Paramètres!$C$8+1,"Mois prochain","À venir"))))))</f>
        <v>À venir</v>
      </c>
      <c r="L144" s="30" t="str">
        <f t="shared" ca="1" si="29"/>
        <v/>
      </c>
      <c r="M144" s="31">
        <f ca="1">IF($B144="","",IF(OR($J144="Lu",$J144="Écarté"),0,IFERROR(INDEX(Paramètres!$C$17:$C$19,MATCH($H144,Paramètres!$B$17:$B$19,0)),0)+Paramètres!$C$20*(7-$I144)+IF($I144&lt;Paramètres!$C$8,Paramètres!$C$21,0)+IF($F144="Oui",Paramètres!$C$22,0)+IF($AL144&lt;&gt;"Vérifié",Paramètres!$C$23,0)+IF(AND($O144&lt;&gt;"Oui",OR($AJ144="PDF libre",$AJ144="PDF libre (dépôt)")),Paramètres!$C$24,0)))</f>
        <v>70</v>
      </c>
      <c r="N144" s="32"/>
      <c r="O144" s="33" t="str">
        <f ca="1">IF($B144="","Non",HYPERLINK(DossierPDF&amp;$BB144,"Oui"))</f>
        <v>Oui</v>
      </c>
      <c r="P144" s="33" t="s">
        <v>235</v>
      </c>
      <c r="Q144" s="33" t="s">
        <v>235</v>
      </c>
      <c r="R144" s="33"/>
      <c r="S144" s="34"/>
      <c r="T144" s="25" t="s">
        <v>236</v>
      </c>
      <c r="U144" s="26" t="str">
        <f>IF($B144="","",IFERROR(INDEX(Paramètres!$N$6:$N$13,MATCH($T144,Paramètres!$M$6:$M$13,0)),$T144))</f>
        <v>Article de revue</v>
      </c>
      <c r="V144" s="4" t="s">
        <v>3375</v>
      </c>
      <c r="W144" s="28">
        <v>2000</v>
      </c>
      <c r="X144" s="4" t="s">
        <v>1295</v>
      </c>
      <c r="Y144" s="25" t="s">
        <v>3387</v>
      </c>
      <c r="Z144" s="25" t="s">
        <v>394</v>
      </c>
      <c r="AA144" s="25" t="s">
        <v>3388</v>
      </c>
      <c r="AB144" s="25"/>
      <c r="AC144" s="25" t="s">
        <v>3389</v>
      </c>
      <c r="AD144" s="25"/>
      <c r="AE144" s="25" t="s">
        <v>243</v>
      </c>
      <c r="AF144" s="35" t="s">
        <v>3390</v>
      </c>
      <c r="AG144" s="27" t="str">
        <f t="shared" si="30"/>
        <v>doi.org</v>
      </c>
      <c r="AH144" s="27" t="str">
        <f t="shared" si="31"/>
        <v>Scholar</v>
      </c>
      <c r="AI144" s="28" t="s">
        <v>245</v>
      </c>
      <c r="AJ144" s="25" t="s">
        <v>185</v>
      </c>
      <c r="AK144" s="4" t="s">
        <v>3391</v>
      </c>
      <c r="AL144" s="25" t="s">
        <v>247</v>
      </c>
      <c r="AM144" s="4" t="s">
        <v>3392</v>
      </c>
      <c r="AN144" s="25" t="s">
        <v>3186</v>
      </c>
      <c r="AO144" s="4" t="s">
        <v>3393</v>
      </c>
      <c r="AP144" s="4" t="s">
        <v>3394</v>
      </c>
      <c r="AQ144" s="25" t="s">
        <v>235</v>
      </c>
      <c r="AR144" s="26" t="str">
        <f>IF($B144="","",IFERROR(INDEX(Paramètres!$Q$6:$Q$13,MATCH($G144,Paramètres!$P$6:$P$13,0)),""))</f>
        <v>Modélisation du pneu et du contact</v>
      </c>
      <c r="AS144" s="26" t="str">
        <f>IF($B144="","",IFERROR(INDEX(Paramètres!$T$6:$T$11,MATCH($I144,Paramètres!$S$6:$S$11,0)),""))</f>
        <v>février 2027</v>
      </c>
      <c r="AT144" s="31">
        <f>IF($B144="","",IFERROR(INDEX(Paramètres!$C$27:$C$29,MATCH($H144,Paramètres!$B$27:$B$29,0)),0))</f>
        <v>3</v>
      </c>
      <c r="AU144" s="29"/>
      <c r="AV144" s="32"/>
      <c r="AW144" s="26" t="str">
        <f t="shared" si="32"/>
        <v>polonsky2000layered.md</v>
      </c>
      <c r="AX144" s="26">
        <f>IF($B144="","",COUNTIF($I$2:I144,$I144))</f>
        <v>29</v>
      </c>
      <c r="AY144" s="26" t="str">
        <f t="shared" si="33"/>
        <v>5-29</v>
      </c>
      <c r="AZ144" s="26" t="s">
        <v>3395</v>
      </c>
      <c r="BA144" s="36">
        <f t="shared" ca="1" si="34"/>
        <v>70.008560000000003</v>
      </c>
    </row>
    <row r="145" spans="1:53" ht="76.5" x14ac:dyDescent="0.25">
      <c r="A145" s="25" t="s">
        <v>3396</v>
      </c>
      <c r="B145" s="25" t="s">
        <v>3397</v>
      </c>
      <c r="C145" s="26" t="str">
        <f t="shared" si="28"/>
        <v>Westergaard (1939)</v>
      </c>
      <c r="D145" s="4" t="s">
        <v>3398</v>
      </c>
      <c r="E145" s="27" t="str">
        <f>IF(OR($B145="",$AF145=""),"",HYPERLINK(IF(AND(Paramètres!$C$13&lt;&gt;"",$AJ145="Éditeur (abonnement)"),Paramètres!$C$13&amp;$AF145,$AF145),"Ouvrir : "&amp;$AE145))</f>
        <v>Ouvrir : Page éditeur (DOI)</v>
      </c>
      <c r="F145" s="28" t="s">
        <v>235</v>
      </c>
      <c r="G145" s="28">
        <v>2</v>
      </c>
      <c r="H145" s="25" t="s">
        <v>338</v>
      </c>
      <c r="I145" s="28">
        <v>5</v>
      </c>
      <c r="J145" s="29" t="s">
        <v>234</v>
      </c>
      <c r="K145" s="26" t="str">
        <f ca="1">IF($B145="","",IF($J145="Lu","Lu",IF($J145="Écarté","Écarté",IF($I145&lt;Paramètres!$C$8,"EN RETARD",IF($I145=Paramètres!$C$8,"Ce mois-ci",IF($I145=Paramètres!$C$8+1,"Mois prochain","À venir"))))))</f>
        <v>À venir</v>
      </c>
      <c r="L145" s="30" t="str">
        <f t="shared" ca="1" si="29"/>
        <v/>
      </c>
      <c r="M145" s="31">
        <f ca="1">IF($B145="","",IF(OR($J145="Lu",$J145="Écarté"),0,IFERROR(INDEX(Paramètres!$C$17:$C$19,MATCH($H145,Paramètres!$B$17:$B$19,0)),0)+Paramètres!$C$20*(7-$I145)+IF($I145&lt;Paramètres!$C$8,Paramètres!$C$21,0)+IF($F145="Oui",Paramètres!$C$22,0)+IF($AL145&lt;&gt;"Vérifié",Paramètres!$C$23,0)+IF(AND($O145&lt;&gt;"Oui",OR($AJ145="PDF libre",$AJ145="PDF libre (dépôt)")),Paramètres!$C$24,0)))</f>
        <v>70</v>
      </c>
      <c r="N145" s="32"/>
      <c r="O145" s="33" t="str">
        <f ca="1">IF($B145="","Non",HYPERLINK(DossierPDF&amp;$BB145,"Oui"))</f>
        <v>Oui</v>
      </c>
      <c r="P145" s="33" t="s">
        <v>235</v>
      </c>
      <c r="Q145" s="33" t="s">
        <v>235</v>
      </c>
      <c r="R145" s="33"/>
      <c r="S145" s="34"/>
      <c r="T145" s="25" t="s">
        <v>236</v>
      </c>
      <c r="U145" s="26" t="str">
        <f>IF($B145="","",IFERROR(INDEX(Paramètres!$N$6:$N$13,MATCH($T145,Paramètres!$M$6:$M$13,0)),$T145))</f>
        <v>Article de revue</v>
      </c>
      <c r="V145" s="4" t="s">
        <v>3399</v>
      </c>
      <c r="W145" s="28">
        <v>1939</v>
      </c>
      <c r="X145" s="4" t="s">
        <v>1629</v>
      </c>
      <c r="Y145" s="25" t="s">
        <v>464</v>
      </c>
      <c r="Z145" s="25" t="s">
        <v>368</v>
      </c>
      <c r="AA145" s="25" t="s">
        <v>3400</v>
      </c>
      <c r="AB145" s="25"/>
      <c r="AC145" s="25" t="s">
        <v>3401</v>
      </c>
      <c r="AD145" s="25"/>
      <c r="AE145" s="25" t="s">
        <v>243</v>
      </c>
      <c r="AF145" s="35" t="s">
        <v>3402</v>
      </c>
      <c r="AG145" s="27" t="str">
        <f t="shared" si="30"/>
        <v>doi.org</v>
      </c>
      <c r="AH145" s="27" t="str">
        <f t="shared" si="31"/>
        <v>Scholar</v>
      </c>
      <c r="AI145" s="28" t="s">
        <v>245</v>
      </c>
      <c r="AJ145" s="25" t="s">
        <v>185</v>
      </c>
      <c r="AK145" s="4" t="s">
        <v>3403</v>
      </c>
      <c r="AL145" s="25" t="s">
        <v>247</v>
      </c>
      <c r="AM145" s="4" t="s">
        <v>3404</v>
      </c>
      <c r="AN145" s="25" t="s">
        <v>3186</v>
      </c>
      <c r="AO145" s="4" t="s">
        <v>3405</v>
      </c>
      <c r="AP145" s="4" t="s">
        <v>3406</v>
      </c>
      <c r="AQ145" s="25" t="s">
        <v>235</v>
      </c>
      <c r="AR145" s="26" t="str">
        <f>IF($B145="","",IFERROR(INDEX(Paramètres!$Q$6:$Q$13,MATCH($G145,Paramètres!$P$6:$P$13,0)),""))</f>
        <v>Modélisation du pneu et du contact</v>
      </c>
      <c r="AS145" s="26" t="str">
        <f>IF($B145="","",IFERROR(INDEX(Paramètres!$T$6:$T$11,MATCH($I145,Paramètres!$S$6:$S$11,0)),""))</f>
        <v>février 2027</v>
      </c>
      <c r="AT145" s="31">
        <f>IF($B145="","",IFERROR(INDEX(Paramètres!$C$27:$C$29,MATCH($H145,Paramètres!$B$27:$B$29,0)),0))</f>
        <v>3</v>
      </c>
      <c r="AU145" s="29"/>
      <c r="AV145" s="32"/>
      <c r="AW145" s="26" t="str">
        <f t="shared" si="32"/>
        <v>westergaard1939bearing.md</v>
      </c>
      <c r="AX145" s="26">
        <f>IF($B145="","",COUNTIF($I$2:I145,$I145))</f>
        <v>30</v>
      </c>
      <c r="AY145" s="26" t="str">
        <f t="shared" si="33"/>
        <v>5-30</v>
      </c>
      <c r="AZ145" s="26" t="s">
        <v>3407</v>
      </c>
      <c r="BA145" s="36">
        <f t="shared" ca="1" si="34"/>
        <v>70.00855</v>
      </c>
    </row>
    <row r="146" spans="1:53" ht="114.75" hidden="1" x14ac:dyDescent="0.25">
      <c r="A146" s="25" t="s">
        <v>3408</v>
      </c>
      <c r="B146" s="25" t="s">
        <v>3409</v>
      </c>
      <c r="C146" s="26" t="str">
        <f t="shared" si="28"/>
        <v>Johnson et al. (1985)</v>
      </c>
      <c r="D146" s="4" t="s">
        <v>3410</v>
      </c>
      <c r="E146" s="27" t="str">
        <f>IF(OR($B146="",$AF146=""),"",HYPERLINK(IF(AND(Paramètres!$C$13&lt;&gt;"",$AJ146="Éditeur (abonnement)"),Paramètres!$C$13&amp;$AF146,$AF146),"Ouvrir : "&amp;$AE146))</f>
        <v>Ouvrir : Recherche Google Scholar</v>
      </c>
      <c r="F146" s="28" t="s">
        <v>235</v>
      </c>
      <c r="G146" s="28">
        <v>2</v>
      </c>
      <c r="H146" s="25" t="s">
        <v>405</v>
      </c>
      <c r="I146" s="28">
        <v>5</v>
      </c>
      <c r="J146" s="29" t="s">
        <v>234</v>
      </c>
      <c r="K146" s="26" t="str">
        <f ca="1">IF($B146="","",IF($J146="Lu","Lu",IF($J146="Écarté","Écarté",IF($I146&lt;Paramètres!$C$8,"EN RETARD",IF($I146=Paramètres!$C$8,"Ce mois-ci",IF($I146=Paramètres!$C$8+1,"Mois prochain","À venir"))))))</f>
        <v>À venir</v>
      </c>
      <c r="L146" s="30" t="str">
        <f t="shared" si="29"/>
        <v>Vérification à compléter avant de citer</v>
      </c>
      <c r="M146" s="31">
        <f ca="1">IF($B146="","",IF(OR($J146="Lu",$J146="Écarté"),0,IFERROR(INDEX(Paramètres!$C$17:$C$19,MATCH($H146,Paramètres!$B$17:$B$19,0)),0)+Paramètres!$C$20*(7-$I146)+IF($I146&lt;Paramètres!$C$8,Paramètres!$C$21,0)+IF($F146="Oui",Paramètres!$C$22,0)+IF($AL146&lt;&gt;"Vérifié",Paramètres!$C$23,0)+IF(AND($O146&lt;&gt;"Oui",OR($AJ146="PDF libre",$AJ146="PDF libre (dépôt)")),Paramètres!$C$24,0)))</f>
        <v>55</v>
      </c>
      <c r="N146" s="32"/>
      <c r="O146" s="33" t="str">
        <f ca="1">IF($B146="","Non",HYPERLINK(DossierPDF&amp;$BB146,"Oui"))</f>
        <v>Oui</v>
      </c>
      <c r="P146" s="33" t="s">
        <v>235</v>
      </c>
      <c r="Q146" s="33" t="s">
        <v>235</v>
      </c>
      <c r="R146" s="33"/>
      <c r="S146" s="34"/>
      <c r="T146" s="25" t="s">
        <v>236</v>
      </c>
      <c r="U146" s="26" t="str">
        <f>IF($B146="","",IFERROR(INDEX(Paramètres!$N$6:$N$13,MATCH($T146,Paramètres!$M$6:$M$13,0)),$T146))</f>
        <v>Article de revue</v>
      </c>
      <c r="V146" s="4" t="s">
        <v>3411</v>
      </c>
      <c r="W146" s="28">
        <v>1985</v>
      </c>
      <c r="X146" s="4" t="s">
        <v>3412</v>
      </c>
      <c r="Y146" s="25" t="s">
        <v>289</v>
      </c>
      <c r="Z146" s="25" t="s">
        <v>464</v>
      </c>
      <c r="AA146" s="25" t="s">
        <v>3413</v>
      </c>
      <c r="AB146" s="25"/>
      <c r="AC146" s="25"/>
      <c r="AD146" s="25"/>
      <c r="AE146" s="25" t="s">
        <v>341</v>
      </c>
      <c r="AF146" s="35" t="s">
        <v>3414</v>
      </c>
      <c r="AG146" s="27" t="str">
        <f t="shared" si="30"/>
        <v/>
      </c>
      <c r="AH146" s="27" t="str">
        <f t="shared" si="31"/>
        <v>Scholar</v>
      </c>
      <c r="AI146" s="28" t="s">
        <v>245</v>
      </c>
      <c r="AJ146" s="25" t="s">
        <v>185</v>
      </c>
      <c r="AK146" s="4" t="s">
        <v>3415</v>
      </c>
      <c r="AL146" s="25" t="s">
        <v>517</v>
      </c>
      <c r="AM146" s="4" t="s">
        <v>3352</v>
      </c>
      <c r="AN146" s="25" t="s">
        <v>3186</v>
      </c>
      <c r="AO146" s="4" t="s">
        <v>3416</v>
      </c>
      <c r="AP146" s="4" t="s">
        <v>3417</v>
      </c>
      <c r="AQ146" s="25" t="s">
        <v>235</v>
      </c>
      <c r="AR146" s="26" t="str">
        <f>IF($B146="","",IFERROR(INDEX(Paramètres!$Q$6:$Q$13,MATCH($G146,Paramètres!$P$6:$P$13,0)),""))</f>
        <v>Modélisation du pneu et du contact</v>
      </c>
      <c r="AS146" s="26" t="str">
        <f>IF($B146="","",IFERROR(INDEX(Paramètres!$T$6:$T$11,MATCH($I146,Paramètres!$S$6:$S$11,0)),""))</f>
        <v>février 2027</v>
      </c>
      <c r="AT146" s="31">
        <f>IF($B146="","",IFERROR(INDEX(Paramètres!$C$27:$C$29,MATCH($H146,Paramètres!$B$27:$B$29,0)),0))</f>
        <v>1</v>
      </c>
      <c r="AU146" s="29"/>
      <c r="AV146" s="32"/>
      <c r="AW146" s="26" t="str">
        <f t="shared" si="32"/>
        <v>johnson1985wavy.md</v>
      </c>
      <c r="AX146" s="26">
        <f>IF($B146="","",COUNTIF($I$2:I146,$I146))</f>
        <v>31</v>
      </c>
      <c r="AY146" s="26" t="str">
        <f t="shared" si="33"/>
        <v>5-31</v>
      </c>
      <c r="AZ146" s="26" t="s">
        <v>3414</v>
      </c>
      <c r="BA146" s="36">
        <f t="shared" ca="1" si="34"/>
        <v>55.008540000000004</v>
      </c>
    </row>
    <row r="147" spans="1:53" ht="127.5" x14ac:dyDescent="0.25">
      <c r="A147" s="25" t="s">
        <v>3418</v>
      </c>
      <c r="B147" s="25" t="s">
        <v>3419</v>
      </c>
      <c r="C147" s="26" t="str">
        <f t="shared" si="28"/>
        <v>Greenwood &amp; Williamson (1966)</v>
      </c>
      <c r="D147" s="4" t="s">
        <v>3420</v>
      </c>
      <c r="E147" s="27" t="str">
        <f>IF(OR($B147="",$AF147=""),"",HYPERLINK(IF(AND(Paramètres!$C$13&lt;&gt;"",$AJ147="Éditeur (abonnement)"),Paramètres!$C$13&amp;$AF147,$AF147),"Ouvrir : "&amp;$AE147))</f>
        <v>Ouvrir : Page éditeur (DOI)</v>
      </c>
      <c r="F147" s="28" t="s">
        <v>235</v>
      </c>
      <c r="G147" s="28">
        <v>2</v>
      </c>
      <c r="H147" s="25" t="s">
        <v>338</v>
      </c>
      <c r="I147" s="28">
        <v>5</v>
      </c>
      <c r="J147" s="29" t="s">
        <v>234</v>
      </c>
      <c r="K147" s="26" t="str">
        <f ca="1">IF($B147="","",IF($J147="Lu","Lu",IF($J147="Écarté","Écarté",IF($I147&lt;Paramètres!$C$8,"EN RETARD",IF($I147=Paramètres!$C$8,"Ce mois-ci",IF($I147=Paramètres!$C$8+1,"Mois prochain","À venir"))))))</f>
        <v>À venir</v>
      </c>
      <c r="L147" s="30" t="str">
        <f t="shared" ca="1" si="29"/>
        <v/>
      </c>
      <c r="M147" s="31">
        <f ca="1">IF($B147="","",IF(OR($J147="Lu",$J147="Écarté"),0,IFERROR(INDEX(Paramètres!$C$17:$C$19,MATCH($H147,Paramètres!$B$17:$B$19,0)),0)+Paramètres!$C$20*(7-$I147)+IF($I147&lt;Paramètres!$C$8,Paramètres!$C$21,0)+IF($F147="Oui",Paramètres!$C$22,0)+IF($AL147&lt;&gt;"Vérifié",Paramètres!$C$23,0)+IF(AND($O147&lt;&gt;"Oui",OR($AJ147="PDF libre",$AJ147="PDF libre (dépôt)")),Paramètres!$C$24,0)))</f>
        <v>70</v>
      </c>
      <c r="N147" s="32"/>
      <c r="O147" s="33" t="str">
        <f ca="1">IF($B147="","Non",HYPERLINK(DossierPDF&amp;$BB147,"Oui"))</f>
        <v>Oui</v>
      </c>
      <c r="P147" s="33" t="s">
        <v>235</v>
      </c>
      <c r="Q147" s="33" t="s">
        <v>235</v>
      </c>
      <c r="R147" s="33"/>
      <c r="S147" s="34"/>
      <c r="T147" s="25" t="s">
        <v>236</v>
      </c>
      <c r="U147" s="26" t="str">
        <f>IF($B147="","",IFERROR(INDEX(Paramètres!$N$6:$N$13,MATCH($T147,Paramètres!$M$6:$M$13,0)),$T147))</f>
        <v>Article de revue</v>
      </c>
      <c r="V147" s="4" t="s">
        <v>3421</v>
      </c>
      <c r="W147" s="28">
        <v>1966</v>
      </c>
      <c r="X147" s="4" t="s">
        <v>3422</v>
      </c>
      <c r="Y147" s="25" t="s">
        <v>3423</v>
      </c>
      <c r="Z147" s="25" t="s">
        <v>3424</v>
      </c>
      <c r="AA147" s="25" t="s">
        <v>3425</v>
      </c>
      <c r="AB147" s="25"/>
      <c r="AC147" s="25" t="s">
        <v>3426</v>
      </c>
      <c r="AD147" s="25"/>
      <c r="AE147" s="25" t="s">
        <v>243</v>
      </c>
      <c r="AF147" s="35" t="s">
        <v>3427</v>
      </c>
      <c r="AG147" s="27" t="str">
        <f t="shared" si="30"/>
        <v>doi.org</v>
      </c>
      <c r="AH147" s="27" t="str">
        <f t="shared" si="31"/>
        <v>Scholar</v>
      </c>
      <c r="AI147" s="28" t="s">
        <v>245</v>
      </c>
      <c r="AJ147" s="25" t="s">
        <v>185</v>
      </c>
      <c r="AK147" s="4" t="s">
        <v>3428</v>
      </c>
      <c r="AL147" s="25" t="s">
        <v>247</v>
      </c>
      <c r="AM147" s="4" t="s">
        <v>3429</v>
      </c>
      <c r="AN147" s="25" t="s">
        <v>3186</v>
      </c>
      <c r="AO147" s="4" t="s">
        <v>3430</v>
      </c>
      <c r="AP147" s="4" t="s">
        <v>3431</v>
      </c>
      <c r="AQ147" s="25" t="s">
        <v>235</v>
      </c>
      <c r="AR147" s="26" t="str">
        <f>IF($B147="","",IFERROR(INDEX(Paramètres!$Q$6:$Q$13,MATCH($G147,Paramètres!$P$6:$P$13,0)),""))</f>
        <v>Modélisation du pneu et du contact</v>
      </c>
      <c r="AS147" s="26" t="str">
        <f>IF($B147="","",IFERROR(INDEX(Paramètres!$T$6:$T$11,MATCH($I147,Paramètres!$S$6:$S$11,0)),""))</f>
        <v>février 2027</v>
      </c>
      <c r="AT147" s="31">
        <f>IF($B147="","",IFERROR(INDEX(Paramètres!$C$27:$C$29,MATCH($H147,Paramètres!$B$27:$B$29,0)),0))</f>
        <v>3</v>
      </c>
      <c r="AU147" s="29"/>
      <c r="AV147" s="32"/>
      <c r="AW147" s="26" t="str">
        <f t="shared" si="32"/>
        <v>greenwood1966contact.md</v>
      </c>
      <c r="AX147" s="26">
        <f>IF($B147="","",COUNTIF($I$2:I147,$I147))</f>
        <v>32</v>
      </c>
      <c r="AY147" s="26" t="str">
        <f t="shared" si="33"/>
        <v>5-32</v>
      </c>
      <c r="AZ147" s="26" t="s">
        <v>3432</v>
      </c>
      <c r="BA147" s="36">
        <f t="shared" ca="1" si="34"/>
        <v>70.008529999999993</v>
      </c>
    </row>
    <row r="148" spans="1:53" ht="89.25" x14ac:dyDescent="0.25">
      <c r="A148" s="25" t="s">
        <v>3433</v>
      </c>
      <c r="B148" s="25" t="s">
        <v>3434</v>
      </c>
      <c r="C148" s="26" t="str">
        <f t="shared" si="28"/>
        <v>Persson (2001)</v>
      </c>
      <c r="D148" s="4" t="s">
        <v>3435</v>
      </c>
      <c r="E148" s="27" t="str">
        <f>IF(OR($B148="",$AF148=""),"",HYPERLINK(IF(AND(Paramètres!$C$13&lt;&gt;"",$AJ148="Éditeur (abonnement)"),Paramètres!$C$13&amp;$AF148,$AF148),"Ouvrir : "&amp;$AE148))</f>
        <v>Ouvrir : Page éditeur (DOI)</v>
      </c>
      <c r="F148" s="28" t="s">
        <v>235</v>
      </c>
      <c r="G148" s="28">
        <v>2</v>
      </c>
      <c r="H148" s="25" t="s">
        <v>338</v>
      </c>
      <c r="I148" s="28">
        <v>5</v>
      </c>
      <c r="J148" s="29" t="s">
        <v>234</v>
      </c>
      <c r="K148" s="26" t="str">
        <f ca="1">IF($B148="","",IF($J148="Lu","Lu",IF($J148="Écarté","Écarté",IF($I148&lt;Paramètres!$C$8,"EN RETARD",IF($I148=Paramètres!$C$8,"Ce mois-ci",IF($I148=Paramètres!$C$8+1,"Mois prochain","À venir"))))))</f>
        <v>À venir</v>
      </c>
      <c r="L148" s="30" t="str">
        <f t="shared" ca="1" si="29"/>
        <v/>
      </c>
      <c r="M148" s="31">
        <f ca="1">IF($B148="","",IF(OR($J148="Lu",$J148="Écarté"),0,IFERROR(INDEX(Paramètres!$C$17:$C$19,MATCH($H148,Paramètres!$B$17:$B$19,0)),0)+Paramètres!$C$20*(7-$I148)+IF($I148&lt;Paramètres!$C$8,Paramètres!$C$21,0)+IF($F148="Oui",Paramètres!$C$22,0)+IF($AL148&lt;&gt;"Vérifié",Paramètres!$C$23,0)+IF(AND($O148&lt;&gt;"Oui",OR($AJ148="PDF libre",$AJ148="PDF libre (dépôt)")),Paramètres!$C$24,0)))</f>
        <v>70</v>
      </c>
      <c r="N148" s="32"/>
      <c r="O148" s="33" t="str">
        <f ca="1">IF($B148="","Non",HYPERLINK(DossierPDF&amp;$BB148,"Oui"))</f>
        <v>Oui</v>
      </c>
      <c r="P148" s="33" t="s">
        <v>235</v>
      </c>
      <c r="Q148" s="33" t="s">
        <v>235</v>
      </c>
      <c r="R148" s="33"/>
      <c r="S148" s="34"/>
      <c r="T148" s="25" t="s">
        <v>236</v>
      </c>
      <c r="U148" s="26" t="str">
        <f>IF($B148="","",IFERROR(INDEX(Paramètres!$N$6:$N$13,MATCH($T148,Paramètres!$M$6:$M$13,0)),$T148))</f>
        <v>Article de revue</v>
      </c>
      <c r="V148" s="4" t="s">
        <v>3436</v>
      </c>
      <c r="W148" s="28">
        <v>2001</v>
      </c>
      <c r="X148" s="4" t="s">
        <v>3437</v>
      </c>
      <c r="Y148" s="25" t="s">
        <v>3438</v>
      </c>
      <c r="Z148" s="25" t="s">
        <v>585</v>
      </c>
      <c r="AA148" s="25" t="s">
        <v>3439</v>
      </c>
      <c r="AB148" s="25"/>
      <c r="AC148" s="25" t="s">
        <v>3440</v>
      </c>
      <c r="AD148" s="25"/>
      <c r="AE148" s="25" t="s">
        <v>243</v>
      </c>
      <c r="AF148" s="35" t="s">
        <v>3441</v>
      </c>
      <c r="AG148" s="27" t="str">
        <f t="shared" si="30"/>
        <v>doi.org</v>
      </c>
      <c r="AH148" s="27" t="str">
        <f t="shared" si="31"/>
        <v>Scholar</v>
      </c>
      <c r="AI148" s="28" t="s">
        <v>245</v>
      </c>
      <c r="AJ148" s="25" t="s">
        <v>185</v>
      </c>
      <c r="AK148" s="4" t="s">
        <v>3442</v>
      </c>
      <c r="AL148" s="25" t="s">
        <v>247</v>
      </c>
      <c r="AM148" s="4" t="s">
        <v>243</v>
      </c>
      <c r="AN148" s="25" t="s">
        <v>3186</v>
      </c>
      <c r="AO148" s="4" t="s">
        <v>3443</v>
      </c>
      <c r="AP148" s="4" t="s">
        <v>3444</v>
      </c>
      <c r="AQ148" s="25" t="s">
        <v>235</v>
      </c>
      <c r="AR148" s="26" t="str">
        <f>IF($B148="","",IFERROR(INDEX(Paramètres!$Q$6:$Q$13,MATCH($G148,Paramètres!$P$6:$P$13,0)),""))</f>
        <v>Modélisation du pneu et du contact</v>
      </c>
      <c r="AS148" s="26" t="str">
        <f>IF($B148="","",IFERROR(INDEX(Paramètres!$T$6:$T$11,MATCH($I148,Paramètres!$S$6:$S$11,0)),""))</f>
        <v>février 2027</v>
      </c>
      <c r="AT148" s="31">
        <f>IF($B148="","",IFERROR(INDEX(Paramètres!$C$27:$C$29,MATCH($H148,Paramètres!$B$27:$B$29,0)),0))</f>
        <v>3</v>
      </c>
      <c r="AU148" s="29"/>
      <c r="AV148" s="32"/>
      <c r="AW148" s="26" t="str">
        <f t="shared" si="32"/>
        <v>persson2001rubber.md</v>
      </c>
      <c r="AX148" s="26">
        <f>IF($B148="","",COUNTIF($I$2:I148,$I148))</f>
        <v>33</v>
      </c>
      <c r="AY148" s="26" t="str">
        <f t="shared" si="33"/>
        <v>5-33</v>
      </c>
      <c r="AZ148" s="26" t="s">
        <v>3445</v>
      </c>
      <c r="BA148" s="36">
        <f t="shared" ca="1" si="34"/>
        <v>70.008520000000004</v>
      </c>
    </row>
    <row r="149" spans="1:53" ht="76.5" x14ac:dyDescent="0.25">
      <c r="A149" s="25" t="s">
        <v>3446</v>
      </c>
      <c r="B149" s="25" t="s">
        <v>3447</v>
      </c>
      <c r="C149" s="26" t="str">
        <f t="shared" si="28"/>
        <v>Persson (2006)</v>
      </c>
      <c r="D149" s="4" t="s">
        <v>3448</v>
      </c>
      <c r="E149" s="27" t="str">
        <f>IF(OR($B149="",$AF149=""),"",HYPERLINK(IF(AND(Paramètres!$C$13&lt;&gt;"",$AJ149="Éditeur (abonnement)"),Paramètres!$C$13&amp;$AF149,$AF149),"Ouvrir : "&amp;$AE149))</f>
        <v>Ouvrir : Page éditeur (DOI)</v>
      </c>
      <c r="F149" s="28" t="s">
        <v>235</v>
      </c>
      <c r="G149" s="28">
        <v>2</v>
      </c>
      <c r="H149" s="25" t="s">
        <v>122</v>
      </c>
      <c r="I149" s="28">
        <v>5</v>
      </c>
      <c r="J149" s="29" t="s">
        <v>234</v>
      </c>
      <c r="K149" s="26" t="str">
        <f ca="1">IF($B149="","",IF($J149="Lu","Lu",IF($J149="Écarté","Écarté",IF($I149&lt;Paramètres!$C$8,"EN RETARD",IF($I149=Paramètres!$C$8,"Ce mois-ci",IF($I149=Paramètres!$C$8+1,"Mois prochain","À venir"))))))</f>
        <v>À venir</v>
      </c>
      <c r="L149" s="30" t="str">
        <f t="shared" ca="1" si="29"/>
        <v/>
      </c>
      <c r="M149" s="31">
        <f ca="1">IF($B149="","",IF(OR($J149="Lu",$J149="Écarté"),0,IFERROR(INDEX(Paramètres!$C$17:$C$19,MATCH($H149,Paramètres!$B$17:$B$19,0)),0)+Paramètres!$C$20*(7-$I149)+IF($I149&lt;Paramètres!$C$8,Paramètres!$C$21,0)+IF($F149="Oui",Paramètres!$C$22,0)+IF($AL149&lt;&gt;"Vérifié",Paramètres!$C$23,0)+IF(AND($O149&lt;&gt;"Oui",OR($AJ149="PDF libre",$AJ149="PDF libre (dépôt)")),Paramètres!$C$24,0)))</f>
        <v>110</v>
      </c>
      <c r="N149" s="32"/>
      <c r="O149" s="33" t="str">
        <f ca="1">IF($B149="","Non",HYPERLINK(DossierPDF&amp;$BB149,"Oui"))</f>
        <v>Oui</v>
      </c>
      <c r="P149" s="33" t="s">
        <v>235</v>
      </c>
      <c r="Q149" s="33" t="s">
        <v>235</v>
      </c>
      <c r="R149" s="33"/>
      <c r="S149" s="34"/>
      <c r="T149" s="25" t="s">
        <v>236</v>
      </c>
      <c r="U149" s="26" t="str">
        <f>IF($B149="","",IFERROR(INDEX(Paramètres!$N$6:$N$13,MATCH($T149,Paramètres!$M$6:$M$13,0)),$T149))</f>
        <v>Article de revue</v>
      </c>
      <c r="V149" s="4" t="s">
        <v>3436</v>
      </c>
      <c r="W149" s="28">
        <v>2006</v>
      </c>
      <c r="X149" s="4" t="s">
        <v>3449</v>
      </c>
      <c r="Y149" s="25" t="s">
        <v>3450</v>
      </c>
      <c r="Z149" s="25" t="s">
        <v>240</v>
      </c>
      <c r="AA149" s="25" t="s">
        <v>3451</v>
      </c>
      <c r="AB149" s="25"/>
      <c r="AC149" s="25" t="s">
        <v>3452</v>
      </c>
      <c r="AD149" s="25"/>
      <c r="AE149" s="25" t="s">
        <v>243</v>
      </c>
      <c r="AF149" s="35" t="s">
        <v>3453</v>
      </c>
      <c r="AG149" s="27" t="str">
        <f t="shared" si="30"/>
        <v>doi.org</v>
      </c>
      <c r="AH149" s="27" t="str">
        <f t="shared" si="31"/>
        <v>Scholar</v>
      </c>
      <c r="AI149" s="28" t="s">
        <v>277</v>
      </c>
      <c r="AJ149" s="25" t="s">
        <v>184</v>
      </c>
      <c r="AK149" s="4" t="s">
        <v>3454</v>
      </c>
      <c r="AL149" s="25" t="s">
        <v>247</v>
      </c>
      <c r="AM149" s="4" t="s">
        <v>3455</v>
      </c>
      <c r="AN149" s="25" t="s">
        <v>3186</v>
      </c>
      <c r="AO149" s="4" t="s">
        <v>3456</v>
      </c>
      <c r="AP149" s="4" t="s">
        <v>3457</v>
      </c>
      <c r="AQ149" s="25" t="s">
        <v>235</v>
      </c>
      <c r="AR149" s="26" t="str">
        <f>IF($B149="","",IFERROR(INDEX(Paramètres!$Q$6:$Q$13,MATCH($G149,Paramètres!$P$6:$P$13,0)),""))</f>
        <v>Modélisation du pneu et du contact</v>
      </c>
      <c r="AS149" s="26" t="str">
        <f>IF($B149="","",IFERROR(INDEX(Paramètres!$T$6:$T$11,MATCH($I149,Paramètres!$S$6:$S$11,0)),""))</f>
        <v>février 2027</v>
      </c>
      <c r="AT149" s="31">
        <f>IF($B149="","",IFERROR(INDEX(Paramètres!$C$27:$C$29,MATCH($H149,Paramètres!$B$27:$B$29,0)),0))</f>
        <v>6</v>
      </c>
      <c r="AU149" s="29"/>
      <c r="AV149" s="32"/>
      <c r="AW149" s="26" t="str">
        <f t="shared" si="32"/>
        <v>persson2006surfsci.md</v>
      </c>
      <c r="AX149" s="26">
        <f>IF($B149="","",COUNTIF($I$2:I149,$I149))</f>
        <v>34</v>
      </c>
      <c r="AY149" s="26" t="str">
        <f t="shared" si="33"/>
        <v>5-34</v>
      </c>
      <c r="AZ149" s="26" t="s">
        <v>3458</v>
      </c>
      <c r="BA149" s="36">
        <f t="shared" ca="1" si="34"/>
        <v>110.00851</v>
      </c>
    </row>
    <row r="150" spans="1:53" ht="153" x14ac:dyDescent="0.25">
      <c r="A150" s="25" t="s">
        <v>3459</v>
      </c>
      <c r="B150" s="25" t="s">
        <v>3460</v>
      </c>
      <c r="C150" s="26" t="str">
        <f t="shared" si="28"/>
        <v>Persson et al. (2005)</v>
      </c>
      <c r="D150" s="4" t="s">
        <v>3461</v>
      </c>
      <c r="E150" s="27" t="str">
        <f>IF(OR($B150="",$AF150=""),"",HYPERLINK(IF(AND(Paramètres!$C$13&lt;&gt;"",$AJ150="Éditeur (abonnement)"),Paramètres!$C$13&amp;$AF150,$AF150),"Ouvrir : "&amp;$AE150))</f>
        <v>Ouvrir : Page éditeur (DOI)</v>
      </c>
      <c r="F150" s="28" t="s">
        <v>235</v>
      </c>
      <c r="G150" s="28">
        <v>2</v>
      </c>
      <c r="H150" s="25" t="s">
        <v>338</v>
      </c>
      <c r="I150" s="28">
        <v>6</v>
      </c>
      <c r="J150" s="29" t="s">
        <v>234</v>
      </c>
      <c r="K150" s="26" t="str">
        <f ca="1">IF($B150="","",IF($J150="Lu","Lu",IF($J150="Écarté","Écarté",IF($I150&lt;Paramètres!$C$8,"EN RETARD",IF($I150=Paramètres!$C$8,"Ce mois-ci",IF($I150=Paramètres!$C$8+1,"Mois prochain","À venir"))))))</f>
        <v>À venir</v>
      </c>
      <c r="L150" s="30" t="str">
        <f t="shared" ca="1" si="29"/>
        <v/>
      </c>
      <c r="M150" s="31">
        <f ca="1">IF($B150="","",IF(OR($J150="Lu",$J150="Écarté"),0,IFERROR(INDEX(Paramètres!$C$17:$C$19,MATCH($H150,Paramètres!$B$17:$B$19,0)),0)+Paramètres!$C$20*(7-$I150)+IF($I150&lt;Paramètres!$C$8,Paramètres!$C$21,0)+IF($F150="Oui",Paramètres!$C$22,0)+IF($AL150&lt;&gt;"Vérifié",Paramètres!$C$23,0)+IF(AND($O150&lt;&gt;"Oui",OR($AJ150="PDF libre",$AJ150="PDF libre (dépôt)")),Paramètres!$C$24,0)))</f>
        <v>65</v>
      </c>
      <c r="N150" s="32"/>
      <c r="O150" s="33" t="str">
        <f ca="1">IF($B150="","Non",HYPERLINK(DossierPDF&amp;$BB150,"Oui"))</f>
        <v>Oui</v>
      </c>
      <c r="P150" s="33" t="s">
        <v>235</v>
      </c>
      <c r="Q150" s="33" t="s">
        <v>235</v>
      </c>
      <c r="R150" s="33"/>
      <c r="S150" s="34"/>
      <c r="T150" s="25" t="s">
        <v>236</v>
      </c>
      <c r="U150" s="26" t="str">
        <f>IF($B150="","",IFERROR(INDEX(Paramètres!$N$6:$N$13,MATCH($T150,Paramètres!$M$6:$M$13,0)),$T150))</f>
        <v>Article de revue</v>
      </c>
      <c r="V150" s="4" t="s">
        <v>3462</v>
      </c>
      <c r="W150" s="28">
        <v>2005</v>
      </c>
      <c r="X150" s="4" t="s">
        <v>3463</v>
      </c>
      <c r="Y150" s="25" t="s">
        <v>882</v>
      </c>
      <c r="Z150" s="25" t="s">
        <v>394</v>
      </c>
      <c r="AA150" s="25" t="s">
        <v>3464</v>
      </c>
      <c r="AB150" s="25"/>
      <c r="AC150" s="25" t="s">
        <v>3465</v>
      </c>
      <c r="AD150" s="25"/>
      <c r="AE150" s="25" t="s">
        <v>243</v>
      </c>
      <c r="AF150" s="35" t="s">
        <v>3466</v>
      </c>
      <c r="AG150" s="27" t="str">
        <f t="shared" si="30"/>
        <v>doi.org</v>
      </c>
      <c r="AH150" s="27" t="str">
        <f t="shared" si="31"/>
        <v>Scholar</v>
      </c>
      <c r="AI150" s="28" t="s">
        <v>245</v>
      </c>
      <c r="AJ150" s="25" t="s">
        <v>185</v>
      </c>
      <c r="AK150" s="4" t="s">
        <v>3467</v>
      </c>
      <c r="AL150" s="25" t="s">
        <v>247</v>
      </c>
      <c r="AM150" s="4" t="s">
        <v>243</v>
      </c>
      <c r="AN150" s="25" t="s">
        <v>3186</v>
      </c>
      <c r="AO150" s="4" t="s">
        <v>3468</v>
      </c>
      <c r="AP150" s="4" t="s">
        <v>3469</v>
      </c>
      <c r="AQ150" s="25" t="s">
        <v>235</v>
      </c>
      <c r="AR150" s="26" t="str">
        <f>IF($B150="","",IFERROR(INDEX(Paramètres!$Q$6:$Q$13,MATCH($G150,Paramètres!$P$6:$P$13,0)),""))</f>
        <v>Modélisation du pneu et du contact</v>
      </c>
      <c r="AS150" s="26" t="str">
        <f>IF($B150="","",IFERROR(INDEX(Paramètres!$T$6:$T$11,MATCH($I150,Paramètres!$S$6:$S$11,0)),""))</f>
        <v>mars 2027</v>
      </c>
      <c r="AT150" s="31">
        <f>IF($B150="","",IFERROR(INDEX(Paramètres!$C$27:$C$29,MATCH($H150,Paramètres!$B$27:$B$29,0)),0))</f>
        <v>3</v>
      </c>
      <c r="AU150" s="29"/>
      <c r="AV150" s="32"/>
      <c r="AW150" s="26" t="str">
        <f t="shared" si="32"/>
        <v>persson2005roughness.md</v>
      </c>
      <c r="AX150" s="26">
        <f>IF($B150="","",COUNTIF($I$2:I150,$I150))</f>
        <v>22</v>
      </c>
      <c r="AY150" s="26" t="str">
        <f t="shared" si="33"/>
        <v>6-22</v>
      </c>
      <c r="AZ150" s="26" t="s">
        <v>3470</v>
      </c>
      <c r="BA150" s="36">
        <f t="shared" ca="1" si="34"/>
        <v>65.008499999999998</v>
      </c>
    </row>
    <row r="151" spans="1:53" ht="114.75" x14ac:dyDescent="0.25">
      <c r="A151" s="25" t="s">
        <v>3471</v>
      </c>
      <c r="B151" s="25" t="s">
        <v>3472</v>
      </c>
      <c r="C151" s="26" t="str">
        <f t="shared" si="28"/>
        <v>Jacobs et al. (2017)</v>
      </c>
      <c r="D151" s="4" t="s">
        <v>3473</v>
      </c>
      <c r="E151" s="27" t="str">
        <f>IF(OR($B151="",$AF151=""),"",HYPERLINK(IF(AND(Paramètres!$C$13&lt;&gt;"",$AJ151="Éditeur (abonnement)"),Paramètres!$C$13&amp;$AF151,$AF151),"Ouvrir : "&amp;$AE151))</f>
        <v>Ouvrir : Page éditeur (DOI)</v>
      </c>
      <c r="F151" s="28" t="s">
        <v>235</v>
      </c>
      <c r="G151" s="28">
        <v>2</v>
      </c>
      <c r="H151" s="25" t="s">
        <v>122</v>
      </c>
      <c r="I151" s="28">
        <v>6</v>
      </c>
      <c r="J151" s="29" t="s">
        <v>234</v>
      </c>
      <c r="K151" s="26" t="str">
        <f ca="1">IF($B151="","",IF($J151="Lu","Lu",IF($J151="Écarté","Écarté",IF($I151&lt;Paramètres!$C$8,"EN RETARD",IF($I151=Paramètres!$C$8,"Ce mois-ci",IF($I151=Paramètres!$C$8+1,"Mois prochain","À venir"))))))</f>
        <v>À venir</v>
      </c>
      <c r="L151" s="30" t="str">
        <f t="shared" ca="1" si="29"/>
        <v/>
      </c>
      <c r="M151" s="31">
        <f ca="1">IF($B151="","",IF(OR($J151="Lu",$J151="Écarté"),0,IFERROR(INDEX(Paramètres!$C$17:$C$19,MATCH($H151,Paramètres!$B$17:$B$19,0)),0)+Paramètres!$C$20*(7-$I151)+IF($I151&lt;Paramètres!$C$8,Paramètres!$C$21,0)+IF($F151="Oui",Paramètres!$C$22,0)+IF($AL151&lt;&gt;"Vérifié",Paramètres!$C$23,0)+IF(AND($O151&lt;&gt;"Oui",OR($AJ151="PDF libre",$AJ151="PDF libre (dépôt)")),Paramètres!$C$24,0)))</f>
        <v>105</v>
      </c>
      <c r="N151" s="32"/>
      <c r="O151" s="33" t="str">
        <f ca="1">IF($B151="","Non",HYPERLINK(DossierPDF&amp;$BB151,"Oui"))</f>
        <v>Oui</v>
      </c>
      <c r="P151" s="33" t="s">
        <v>235</v>
      </c>
      <c r="Q151" s="33" t="s">
        <v>235</v>
      </c>
      <c r="R151" s="33"/>
      <c r="S151" s="34"/>
      <c r="T151" s="25" t="s">
        <v>236</v>
      </c>
      <c r="U151" s="26" t="str">
        <f>IF($B151="","",IFERROR(INDEX(Paramètres!$N$6:$N$13,MATCH($T151,Paramètres!$M$6:$M$13,0)),$T151))</f>
        <v>Article de revue</v>
      </c>
      <c r="V151" s="4" t="s">
        <v>3474</v>
      </c>
      <c r="W151" s="28">
        <v>2017</v>
      </c>
      <c r="X151" s="4" t="s">
        <v>3475</v>
      </c>
      <c r="Y151" s="25" t="s">
        <v>475</v>
      </c>
      <c r="Z151" s="25" t="s">
        <v>394</v>
      </c>
      <c r="AA151" s="25" t="s">
        <v>3476</v>
      </c>
      <c r="AB151" s="25"/>
      <c r="AC151" s="25" t="s">
        <v>3477</v>
      </c>
      <c r="AD151" s="25"/>
      <c r="AE151" s="25" t="s">
        <v>243</v>
      </c>
      <c r="AF151" s="35" t="s">
        <v>3478</v>
      </c>
      <c r="AG151" s="27" t="str">
        <f t="shared" si="30"/>
        <v>doi.org</v>
      </c>
      <c r="AH151" s="27" t="str">
        <f t="shared" si="31"/>
        <v>Scholar</v>
      </c>
      <c r="AI151" s="28" t="s">
        <v>277</v>
      </c>
      <c r="AJ151" s="25" t="s">
        <v>183</v>
      </c>
      <c r="AK151" s="4" t="s">
        <v>3479</v>
      </c>
      <c r="AL151" s="25" t="s">
        <v>247</v>
      </c>
      <c r="AM151" s="4" t="s">
        <v>3480</v>
      </c>
      <c r="AN151" s="25" t="s">
        <v>3186</v>
      </c>
      <c r="AO151" s="4" t="s">
        <v>3481</v>
      </c>
      <c r="AP151" s="4" t="s">
        <v>3482</v>
      </c>
      <c r="AQ151" s="25" t="s">
        <v>235</v>
      </c>
      <c r="AR151" s="26" t="str">
        <f>IF($B151="","",IFERROR(INDEX(Paramètres!$Q$6:$Q$13,MATCH($G151,Paramètres!$P$6:$P$13,0)),""))</f>
        <v>Modélisation du pneu et du contact</v>
      </c>
      <c r="AS151" s="26" t="str">
        <f>IF($B151="","",IFERROR(INDEX(Paramètres!$T$6:$T$11,MATCH($I151,Paramètres!$S$6:$S$11,0)),""))</f>
        <v>mars 2027</v>
      </c>
      <c r="AT151" s="31">
        <f>IF($B151="","",IFERROR(INDEX(Paramètres!$C$27:$C$29,MATCH($H151,Paramètres!$B$27:$B$29,0)),0))</f>
        <v>6</v>
      </c>
      <c r="AU151" s="29"/>
      <c r="AV151" s="32"/>
      <c r="AW151" s="26" t="str">
        <f t="shared" si="32"/>
        <v>jacobs2017psd.md</v>
      </c>
      <c r="AX151" s="26">
        <f>IF($B151="","",COUNTIF($I$2:I151,$I151))</f>
        <v>23</v>
      </c>
      <c r="AY151" s="26" t="str">
        <f t="shared" si="33"/>
        <v>6-23</v>
      </c>
      <c r="AZ151" s="26" t="s">
        <v>3483</v>
      </c>
      <c r="BA151" s="36">
        <f t="shared" ca="1" si="34"/>
        <v>105.00848999999999</v>
      </c>
    </row>
    <row r="152" spans="1:53" ht="114.75" hidden="1" x14ac:dyDescent="0.25">
      <c r="A152" s="25" t="s">
        <v>3484</v>
      </c>
      <c r="B152" s="25" t="s">
        <v>3485</v>
      </c>
      <c r="C152" s="26" t="str">
        <f t="shared" si="28"/>
        <v>Hu &amp; Tonder (1992)</v>
      </c>
      <c r="D152" s="4" t="s">
        <v>3486</v>
      </c>
      <c r="E152" s="27" t="str">
        <f>IF(OR($B152="",$AF152=""),"",HYPERLINK(IF(AND(Paramètres!$C$13&lt;&gt;"",$AJ152="Éditeur (abonnement)"),Paramètres!$C$13&amp;$AF152,$AF152),"Ouvrir : "&amp;$AE152))</f>
        <v>Ouvrir : Recherche Google Scholar</v>
      </c>
      <c r="F152" s="28" t="s">
        <v>235</v>
      </c>
      <c r="G152" s="28">
        <v>2</v>
      </c>
      <c r="H152" s="25" t="s">
        <v>405</v>
      </c>
      <c r="I152" s="28">
        <v>6</v>
      </c>
      <c r="J152" s="29" t="s">
        <v>234</v>
      </c>
      <c r="K152" s="26" t="str">
        <f ca="1">IF($B152="","",IF($J152="Lu","Lu",IF($J152="Écarté","Écarté",IF($I152&lt;Paramètres!$C$8,"EN RETARD",IF($I152=Paramètres!$C$8,"Ce mois-ci",IF($I152=Paramètres!$C$8+1,"Mois prochain","À venir"))))))</f>
        <v>À venir</v>
      </c>
      <c r="L152" s="30" t="str">
        <f t="shared" si="29"/>
        <v>Vérification à compléter avant de citer</v>
      </c>
      <c r="M152" s="31">
        <f ca="1">IF($B152="","",IF(OR($J152="Lu",$J152="Écarté"),0,IFERROR(INDEX(Paramètres!$C$17:$C$19,MATCH($H152,Paramètres!$B$17:$B$19,0)),0)+Paramètres!$C$20*(7-$I152)+IF($I152&lt;Paramètres!$C$8,Paramètres!$C$21,0)+IF($F152="Oui",Paramètres!$C$22,0)+IF($AL152&lt;&gt;"Vérifié",Paramètres!$C$23,0)+IF(AND($O152&lt;&gt;"Oui",OR($AJ152="PDF libre",$AJ152="PDF libre (dépôt)")),Paramètres!$C$24,0)))</f>
        <v>50</v>
      </c>
      <c r="N152" s="32"/>
      <c r="O152" s="33" t="str">
        <f ca="1">IF($B152="","Non",HYPERLINK(DossierPDF&amp;$BB152,"Oui"))</f>
        <v>Oui</v>
      </c>
      <c r="P152" s="33" t="s">
        <v>235</v>
      </c>
      <c r="Q152" s="33" t="s">
        <v>235</v>
      </c>
      <c r="R152" s="33"/>
      <c r="S152" s="34"/>
      <c r="T152" s="25" t="s">
        <v>236</v>
      </c>
      <c r="U152" s="26" t="str">
        <f>IF($B152="","",IFERROR(INDEX(Paramètres!$N$6:$N$13,MATCH($T152,Paramètres!$M$6:$M$13,0)),$T152))</f>
        <v>Article de revue</v>
      </c>
      <c r="V152" s="4" t="s">
        <v>3487</v>
      </c>
      <c r="W152" s="28">
        <v>1992</v>
      </c>
      <c r="X152" s="4" t="s">
        <v>3488</v>
      </c>
      <c r="Y152" s="25" t="s">
        <v>3489</v>
      </c>
      <c r="Z152" s="25" t="s">
        <v>1263</v>
      </c>
      <c r="AA152" s="25" t="s">
        <v>3490</v>
      </c>
      <c r="AB152" s="25"/>
      <c r="AC152" s="25"/>
      <c r="AD152" s="25"/>
      <c r="AE152" s="25" t="s">
        <v>341</v>
      </c>
      <c r="AF152" s="35" t="s">
        <v>3491</v>
      </c>
      <c r="AG152" s="27" t="str">
        <f t="shared" si="30"/>
        <v/>
      </c>
      <c r="AH152" s="27" t="str">
        <f t="shared" si="31"/>
        <v>Scholar</v>
      </c>
      <c r="AI152" s="28" t="s">
        <v>245</v>
      </c>
      <c r="AJ152" s="25" t="s">
        <v>185</v>
      </c>
      <c r="AK152" s="4" t="s">
        <v>3415</v>
      </c>
      <c r="AL152" s="25" t="s">
        <v>517</v>
      </c>
      <c r="AM152" s="4" t="s">
        <v>3352</v>
      </c>
      <c r="AN152" s="25" t="s">
        <v>3186</v>
      </c>
      <c r="AO152" s="4" t="s">
        <v>3492</v>
      </c>
      <c r="AP152" s="4" t="s">
        <v>3469</v>
      </c>
      <c r="AQ152" s="25" t="s">
        <v>235</v>
      </c>
      <c r="AR152" s="26" t="str">
        <f>IF($B152="","",IFERROR(INDEX(Paramètres!$Q$6:$Q$13,MATCH($G152,Paramètres!$P$6:$P$13,0)),""))</f>
        <v>Modélisation du pneu et du contact</v>
      </c>
      <c r="AS152" s="26" t="str">
        <f>IF($B152="","",IFERROR(INDEX(Paramètres!$T$6:$T$11,MATCH($I152,Paramètres!$S$6:$S$11,0)),""))</f>
        <v>mars 2027</v>
      </c>
      <c r="AT152" s="31">
        <f>IF($B152="","",IFERROR(INDEX(Paramètres!$C$27:$C$29,MATCH($H152,Paramètres!$B$27:$B$29,0)),0))</f>
        <v>1</v>
      </c>
      <c r="AU152" s="29"/>
      <c r="AV152" s="32"/>
      <c r="AW152" s="26" t="str">
        <f t="shared" si="32"/>
        <v>hu1992tonder.md</v>
      </c>
      <c r="AX152" s="26">
        <f>IF($B152="","",COUNTIF($I$2:I152,$I152))</f>
        <v>24</v>
      </c>
      <c r="AY152" s="26" t="str">
        <f t="shared" si="33"/>
        <v>6-24</v>
      </c>
      <c r="AZ152" s="26" t="s">
        <v>3491</v>
      </c>
      <c r="BA152" s="36">
        <f t="shared" ca="1" si="34"/>
        <v>50.008479999999999</v>
      </c>
    </row>
    <row r="153" spans="1:53" ht="76.5" hidden="1" x14ac:dyDescent="0.25">
      <c r="A153" s="25" t="s">
        <v>3493</v>
      </c>
      <c r="B153" s="25" t="s">
        <v>3494</v>
      </c>
      <c r="C153" s="26" t="str">
        <f t="shared" si="28"/>
        <v>Klüppel &amp; Heinrich (2000)</v>
      </c>
      <c r="D153" s="4" t="s">
        <v>3495</v>
      </c>
      <c r="E153" s="27" t="str">
        <f>IF(OR($B153="",$AF153=""),"",HYPERLINK(IF(AND(Paramètres!$C$13&lt;&gt;"",$AJ153="Éditeur (abonnement)"),Paramètres!$C$13&amp;$AF153,$AF153),"Ouvrir : "&amp;$AE153))</f>
        <v>Ouvrir : Recherche Google Scholar</v>
      </c>
      <c r="F153" s="28" t="s">
        <v>235</v>
      </c>
      <c r="G153" s="28">
        <v>2</v>
      </c>
      <c r="H153" s="25" t="s">
        <v>405</v>
      </c>
      <c r="I153" s="28">
        <v>6</v>
      </c>
      <c r="J153" s="29" t="s">
        <v>234</v>
      </c>
      <c r="K153" s="26" t="str">
        <f ca="1">IF($B153="","",IF($J153="Lu","Lu",IF($J153="Écarté","Écarté",IF($I153&lt;Paramètres!$C$8,"EN RETARD",IF($I153=Paramètres!$C$8,"Ce mois-ci",IF($I153=Paramètres!$C$8+1,"Mois prochain","À venir"))))))</f>
        <v>À venir</v>
      </c>
      <c r="L153" s="30" t="str">
        <f t="shared" si="29"/>
        <v>Vérification à compléter avant de citer</v>
      </c>
      <c r="M153" s="31">
        <f ca="1">IF($B153="","",IF(OR($J153="Lu",$J153="Écarté"),0,IFERROR(INDEX(Paramètres!$C$17:$C$19,MATCH($H153,Paramètres!$B$17:$B$19,0)),0)+Paramètres!$C$20*(7-$I153)+IF($I153&lt;Paramètres!$C$8,Paramètres!$C$21,0)+IF($F153="Oui",Paramètres!$C$22,0)+IF($AL153&lt;&gt;"Vérifié",Paramètres!$C$23,0)+IF(AND($O153&lt;&gt;"Oui",OR($AJ153="PDF libre",$AJ153="PDF libre (dépôt)")),Paramètres!$C$24,0)))</f>
        <v>50</v>
      </c>
      <c r="N153" s="32"/>
      <c r="O153" s="33" t="str">
        <f ca="1">IF($B153="","Non",HYPERLINK(DossierPDF&amp;$BB153,"Oui"))</f>
        <v>Oui</v>
      </c>
      <c r="P153" s="33" t="s">
        <v>235</v>
      </c>
      <c r="Q153" s="33" t="s">
        <v>235</v>
      </c>
      <c r="R153" s="33"/>
      <c r="S153" s="34"/>
      <c r="T153" s="25" t="s">
        <v>236</v>
      </c>
      <c r="U153" s="26" t="str">
        <f>IF($B153="","",IFERROR(INDEX(Paramètres!$N$6:$N$13,MATCH($T153,Paramètres!$M$6:$M$13,0)),$T153))</f>
        <v>Article de revue</v>
      </c>
      <c r="V153" s="4" t="s">
        <v>3496</v>
      </c>
      <c r="W153" s="28">
        <v>2000</v>
      </c>
      <c r="X153" s="4" t="s">
        <v>3497</v>
      </c>
      <c r="Y153" s="25" t="s">
        <v>3498</v>
      </c>
      <c r="Z153" s="25" t="s">
        <v>240</v>
      </c>
      <c r="AA153" s="25" t="s">
        <v>3499</v>
      </c>
      <c r="AB153" s="25"/>
      <c r="AC153" s="25"/>
      <c r="AD153" s="25"/>
      <c r="AE153" s="25" t="s">
        <v>341</v>
      </c>
      <c r="AF153" s="35" t="s">
        <v>3500</v>
      </c>
      <c r="AG153" s="27" t="str">
        <f t="shared" si="30"/>
        <v/>
      </c>
      <c r="AH153" s="27" t="str">
        <f t="shared" si="31"/>
        <v>Scholar</v>
      </c>
      <c r="AI153" s="28" t="s">
        <v>245</v>
      </c>
      <c r="AJ153" s="25" t="s">
        <v>185</v>
      </c>
      <c r="AK153" s="4" t="s">
        <v>3501</v>
      </c>
      <c r="AL153" s="25" t="s">
        <v>517</v>
      </c>
      <c r="AM153" s="4" t="s">
        <v>3313</v>
      </c>
      <c r="AN153" s="25" t="s">
        <v>3186</v>
      </c>
      <c r="AO153" s="4" t="s">
        <v>3502</v>
      </c>
      <c r="AP153" s="4" t="s">
        <v>3431</v>
      </c>
      <c r="AQ153" s="25" t="s">
        <v>235</v>
      </c>
      <c r="AR153" s="26" t="str">
        <f>IF($B153="","",IFERROR(INDEX(Paramètres!$Q$6:$Q$13,MATCH($G153,Paramètres!$P$6:$P$13,0)),""))</f>
        <v>Modélisation du pneu et du contact</v>
      </c>
      <c r="AS153" s="26" t="str">
        <f>IF($B153="","",IFERROR(INDEX(Paramètres!$T$6:$T$11,MATCH($I153,Paramètres!$S$6:$S$11,0)),""))</f>
        <v>mars 2027</v>
      </c>
      <c r="AT153" s="31">
        <f>IF($B153="","",IFERROR(INDEX(Paramètres!$C$27:$C$29,MATCH($H153,Paramètres!$B$27:$B$29,0)),0))</f>
        <v>1</v>
      </c>
      <c r="AU153" s="29"/>
      <c r="AV153" s="32"/>
      <c r="AW153" s="26" t="str">
        <f t="shared" si="32"/>
        <v>kluppel2000rubber.md</v>
      </c>
      <c r="AX153" s="26">
        <f>IF($B153="","",COUNTIF($I$2:I153,$I153))</f>
        <v>25</v>
      </c>
      <c r="AY153" s="26" t="str">
        <f t="shared" si="33"/>
        <v>6-25</v>
      </c>
      <c r="AZ153" s="26" t="s">
        <v>3500</v>
      </c>
      <c r="BA153" s="36">
        <f t="shared" ca="1" si="34"/>
        <v>50.008470000000003</v>
      </c>
    </row>
    <row r="154" spans="1:53" ht="38.25" x14ac:dyDescent="0.25">
      <c r="A154" s="25" t="s">
        <v>3503</v>
      </c>
      <c r="B154" s="25" t="s">
        <v>3504</v>
      </c>
      <c r="C154" s="26" t="str">
        <f t="shared" si="28"/>
        <v>Yastrebov (2013)</v>
      </c>
      <c r="D154" s="4" t="s">
        <v>3505</v>
      </c>
      <c r="E154" s="27" t="str">
        <f>IF(OR($B154="",$AF154=""),"",HYPERLINK(IF(AND(Paramètres!$C$13&lt;&gt;"",$AJ154="Éditeur (abonnement)"),Paramètres!$C$13&amp;$AF154,$AF154),"Ouvrir : "&amp;$AE154))</f>
        <v>Ouvrir : Page éditeur (DOI)</v>
      </c>
      <c r="F154" s="28" t="s">
        <v>235</v>
      </c>
      <c r="G154" s="28">
        <v>2</v>
      </c>
      <c r="H154" s="25" t="s">
        <v>338</v>
      </c>
      <c r="I154" s="28">
        <v>5</v>
      </c>
      <c r="J154" s="29" t="s">
        <v>234</v>
      </c>
      <c r="K154" s="26" t="str">
        <f ca="1">IF($B154="","",IF($J154="Lu","Lu",IF($J154="Écarté","Écarté",IF($I154&lt;Paramètres!$C$8,"EN RETARD",IF($I154=Paramètres!$C$8,"Ce mois-ci",IF($I154=Paramètres!$C$8+1,"Mois prochain","À venir"))))))</f>
        <v>À venir</v>
      </c>
      <c r="L154" s="30" t="str">
        <f t="shared" ca="1" si="29"/>
        <v/>
      </c>
      <c r="M154" s="31">
        <f ca="1">IF($B154="","",IF(OR($J154="Lu",$J154="Écarté"),0,IFERROR(INDEX(Paramètres!$C$17:$C$19,MATCH($H154,Paramètres!$B$17:$B$19,0)),0)+Paramètres!$C$20*(7-$I154)+IF($I154&lt;Paramètres!$C$8,Paramètres!$C$21,0)+IF($F154="Oui",Paramètres!$C$22,0)+IF($AL154&lt;&gt;"Vérifié",Paramètres!$C$23,0)+IF(AND($O154&lt;&gt;"Oui",OR($AJ154="PDF libre",$AJ154="PDF libre (dépôt)")),Paramètres!$C$24,0)))</f>
        <v>70</v>
      </c>
      <c r="N154" s="32"/>
      <c r="O154" s="33" t="str">
        <f ca="1">IF($B154="","Non",HYPERLINK(DossierPDF&amp;$BB154,"Oui"))</f>
        <v>Oui</v>
      </c>
      <c r="P154" s="33" t="s">
        <v>235</v>
      </c>
      <c r="Q154" s="33" t="s">
        <v>235</v>
      </c>
      <c r="R154" s="33"/>
      <c r="S154" s="34"/>
      <c r="T154" s="25" t="s">
        <v>661</v>
      </c>
      <c r="U154" s="26" t="str">
        <f>IF($B154="","",IFERROR(INDEX(Paramètres!$N$6:$N$13,MATCH($T154,Paramètres!$M$6:$M$13,0)),$T154))</f>
        <v>Ouvrage / guide</v>
      </c>
      <c r="V154" s="4" t="s">
        <v>3506</v>
      </c>
      <c r="W154" s="28">
        <v>2013</v>
      </c>
      <c r="X154" s="4"/>
      <c r="Y154" s="25"/>
      <c r="Z154" s="25"/>
      <c r="AA154" s="25"/>
      <c r="AB154" s="25" t="s">
        <v>3507</v>
      </c>
      <c r="AC154" s="25" t="s">
        <v>3508</v>
      </c>
      <c r="AD154" s="25" t="s">
        <v>3509</v>
      </c>
      <c r="AE154" s="25" t="s">
        <v>243</v>
      </c>
      <c r="AF154" s="35" t="s">
        <v>3510</v>
      </c>
      <c r="AG154" s="27" t="str">
        <f t="shared" si="30"/>
        <v>doi.org</v>
      </c>
      <c r="AH154" s="27" t="str">
        <f t="shared" si="31"/>
        <v>Scholar</v>
      </c>
      <c r="AI154" s="28" t="s">
        <v>245</v>
      </c>
      <c r="AJ154" s="25" t="s">
        <v>186</v>
      </c>
      <c r="AK154" s="4" t="s">
        <v>3511</v>
      </c>
      <c r="AL154" s="25" t="s">
        <v>247</v>
      </c>
      <c r="AM154" s="4" t="s">
        <v>3512</v>
      </c>
      <c r="AN154" s="25" t="s">
        <v>3186</v>
      </c>
      <c r="AO154" s="4" t="s">
        <v>3513</v>
      </c>
      <c r="AP154" s="4" t="s">
        <v>3514</v>
      </c>
      <c r="AQ154" s="25" t="s">
        <v>235</v>
      </c>
      <c r="AR154" s="26" t="str">
        <f>IF($B154="","",IFERROR(INDEX(Paramètres!$Q$6:$Q$13,MATCH($G154,Paramètres!$P$6:$P$13,0)),""))</f>
        <v>Modélisation du pneu et du contact</v>
      </c>
      <c r="AS154" s="26" t="str">
        <f>IF($B154="","",IFERROR(INDEX(Paramètres!$T$6:$T$11,MATCH($I154,Paramètres!$S$6:$S$11,0)),""))</f>
        <v>février 2027</v>
      </c>
      <c r="AT154" s="31">
        <f>IF($B154="","",IFERROR(INDEX(Paramètres!$C$27:$C$29,MATCH($H154,Paramètres!$B$27:$B$29,0)),0))</f>
        <v>3</v>
      </c>
      <c r="AU154" s="29"/>
      <c r="AV154" s="32"/>
      <c r="AW154" s="26" t="str">
        <f t="shared" si="32"/>
        <v>yastrebov2013numerical.md</v>
      </c>
      <c r="AX154" s="26">
        <f>IF($B154="","",COUNTIF($I$2:I154,$I154))</f>
        <v>35</v>
      </c>
      <c r="AY154" s="26" t="str">
        <f t="shared" si="33"/>
        <v>5-35</v>
      </c>
      <c r="AZ154" s="26" t="s">
        <v>3515</v>
      </c>
      <c r="BA154" s="36">
        <f t="shared" ca="1" si="34"/>
        <v>70.008459999999999</v>
      </c>
    </row>
    <row r="155" spans="1:53" ht="25.5" hidden="1" x14ac:dyDescent="0.25">
      <c r="A155" s="25" t="s">
        <v>3516</v>
      </c>
      <c r="B155" s="25" t="s">
        <v>3517</v>
      </c>
      <c r="C155" s="26" t="str">
        <f t="shared" si="28"/>
        <v>Barber (2018)</v>
      </c>
      <c r="D155" s="4" t="s">
        <v>1307</v>
      </c>
      <c r="E155" s="27" t="str">
        <f>IF(OR($B155="",$AF155=""),"",HYPERLINK(IF(AND(Paramètres!$C$13&lt;&gt;"",$AJ155="Éditeur (abonnement)"),Paramètres!$C$13&amp;$AF155,$AF155),"Ouvrir : "&amp;$AE155))</f>
        <v>Ouvrir : Recherche Google Scholar</v>
      </c>
      <c r="F155" s="28" t="s">
        <v>235</v>
      </c>
      <c r="G155" s="28">
        <v>2</v>
      </c>
      <c r="H155" s="25" t="s">
        <v>405</v>
      </c>
      <c r="I155" s="28">
        <v>5</v>
      </c>
      <c r="J155" s="29" t="s">
        <v>234</v>
      </c>
      <c r="K155" s="26" t="str">
        <f ca="1">IF($B155="","",IF($J155="Lu","Lu",IF($J155="Écarté","Écarté",IF($I155&lt;Paramètres!$C$8,"EN RETARD",IF($I155=Paramètres!$C$8,"Ce mois-ci",IF($I155=Paramètres!$C$8+1,"Mois prochain","À venir"))))))</f>
        <v>À venir</v>
      </c>
      <c r="L155" s="30" t="str">
        <f t="shared" si="29"/>
        <v>Vérification à compléter avant de citer</v>
      </c>
      <c r="M155" s="31">
        <f ca="1">IF($B155="","",IF(OR($J155="Lu",$J155="Écarté"),0,IFERROR(INDEX(Paramètres!$C$17:$C$19,MATCH($H155,Paramètres!$B$17:$B$19,0)),0)+Paramètres!$C$20*(7-$I155)+IF($I155&lt;Paramètres!$C$8,Paramètres!$C$21,0)+IF($F155="Oui",Paramètres!$C$22,0)+IF($AL155&lt;&gt;"Vérifié",Paramètres!$C$23,0)+IF(AND($O155&lt;&gt;"Oui",OR($AJ155="PDF libre",$AJ155="PDF libre (dépôt)")),Paramètres!$C$24,0)))</f>
        <v>55</v>
      </c>
      <c r="N155" s="32"/>
      <c r="O155" s="33" t="str">
        <f ca="1">IF($B155="","Non",HYPERLINK(DossierPDF&amp;$BB155,"Oui"))</f>
        <v>Oui</v>
      </c>
      <c r="P155" s="33" t="s">
        <v>235</v>
      </c>
      <c r="Q155" s="33" t="s">
        <v>235</v>
      </c>
      <c r="R155" s="33"/>
      <c r="S155" s="34"/>
      <c r="T155" s="25" t="s">
        <v>661</v>
      </c>
      <c r="U155" s="26" t="str">
        <f>IF($B155="","",IFERROR(INDEX(Paramètres!$N$6:$N$13,MATCH($T155,Paramètres!$M$6:$M$13,0)),$T155))</f>
        <v>Ouvrage / guide</v>
      </c>
      <c r="V155" s="4" t="s">
        <v>3518</v>
      </c>
      <c r="W155" s="28">
        <v>2018</v>
      </c>
      <c r="X155" s="4"/>
      <c r="Y155" s="25"/>
      <c r="Z155" s="25"/>
      <c r="AA155" s="25"/>
      <c r="AB155" s="25" t="s">
        <v>3519</v>
      </c>
      <c r="AC155" s="25"/>
      <c r="AD155" s="25"/>
      <c r="AE155" s="25" t="s">
        <v>341</v>
      </c>
      <c r="AF155" s="35" t="s">
        <v>1315</v>
      </c>
      <c r="AG155" s="27" t="str">
        <f t="shared" si="30"/>
        <v/>
      </c>
      <c r="AH155" s="27" t="str">
        <f t="shared" si="31"/>
        <v>Scholar</v>
      </c>
      <c r="AI155" s="28" t="s">
        <v>245</v>
      </c>
      <c r="AJ155" s="25" t="s">
        <v>185</v>
      </c>
      <c r="AK155" s="4" t="s">
        <v>3520</v>
      </c>
      <c r="AL155" s="25" t="s">
        <v>517</v>
      </c>
      <c r="AM155" s="4" t="s">
        <v>3352</v>
      </c>
      <c r="AN155" s="25" t="s">
        <v>3186</v>
      </c>
      <c r="AO155" s="4" t="s">
        <v>3521</v>
      </c>
      <c r="AP155" s="4"/>
      <c r="AQ155" s="25" t="s">
        <v>235</v>
      </c>
      <c r="AR155" s="26" t="str">
        <f>IF($B155="","",IFERROR(INDEX(Paramètres!$Q$6:$Q$13,MATCH($G155,Paramètres!$P$6:$P$13,0)),""))</f>
        <v>Modélisation du pneu et du contact</v>
      </c>
      <c r="AS155" s="26" t="str">
        <f>IF($B155="","",IFERROR(INDEX(Paramètres!$T$6:$T$11,MATCH($I155,Paramètres!$S$6:$S$11,0)),""))</f>
        <v>février 2027</v>
      </c>
      <c r="AT155" s="31">
        <f>IF($B155="","",IFERROR(INDEX(Paramètres!$C$27:$C$29,MATCH($H155,Paramètres!$B$27:$B$29,0)),0))</f>
        <v>1</v>
      </c>
      <c r="AU155" s="29"/>
      <c r="AV155" s="32"/>
      <c r="AW155" s="26" t="str">
        <f t="shared" si="32"/>
        <v>barber2018contact.md</v>
      </c>
      <c r="AX155" s="26">
        <f>IF($B155="","",COUNTIF($I$2:I155,$I155))</f>
        <v>36</v>
      </c>
      <c r="AY155" s="26" t="str">
        <f t="shared" si="33"/>
        <v>5-36</v>
      </c>
      <c r="AZ155" s="26" t="s">
        <v>1315</v>
      </c>
      <c r="BA155" s="36">
        <f t="shared" ca="1" si="34"/>
        <v>55.008450000000003</v>
      </c>
    </row>
    <row r="156" spans="1:54" ht="25.5" x14ac:dyDescent="0.25">
      <c r="A156" s="25" t="s">
        <v>3522</v>
      </c>
      <c r="B156" s="25" t="s">
        <v>3523</v>
      </c>
      <c r="C156" s="26" t="str">
        <f t="shared" si="28"/>
        <v>Wriggers (2006)</v>
      </c>
      <c r="D156" s="4" t="s">
        <v>3524</v>
      </c>
      <c r="E156" s="27" t="str">
        <f>IF(OR($B156="",$AF156=""),"",HYPERLINK(IF(AND(Paramètres!$C$13&lt;&gt;"",$AJ156="Éditeur (abonnement)"),Paramètres!$C$13&amp;$AF156,$AF156),"Ouvrir : "&amp;$AE156))</f>
        <v>Ouvrir : Page éditeur (DOI)</v>
      </c>
      <c r="F156" s="28" t="s">
        <v>235</v>
      </c>
      <c r="G156" s="28">
        <v>2</v>
      </c>
      <c r="H156" s="25" t="s">
        <v>405</v>
      </c>
      <c r="I156" s="28">
        <v>4</v>
      </c>
      <c r="J156" s="29" t="s">
        <v>234</v>
      </c>
      <c r="K156" s="26" t="str">
        <f ca="1">IF($B156="","",IF($J156="Lu","Lu",IF($J156="Écarté","Écarté",IF($I156&lt;Paramètres!$C$8,"EN RETARD",IF($I156=Paramètres!$C$8,"Ce mois-ci",IF($I156=Paramètres!$C$8+1,"Mois prochain","À venir"))))))</f>
        <v>À venir</v>
      </c>
      <c r="L156" s="30" t="str">
        <f t="shared" ca="1" si="29"/>
        <v/>
      </c>
      <c r="M156" s="31">
        <f ca="1">IF($B156="","",IF(OR($J156="Lu",$J156="Écarté"),0,IFERROR(INDEX(Paramètres!$C$17:$C$19,MATCH($H156,Paramètres!$B$17:$B$19,0)),0)+Paramètres!$C$20*(7-$I156)+IF($I156&lt;Paramètres!$C$8,Paramètres!$C$21,0)+IF($F156="Oui",Paramètres!$C$22,0)+IF($AL156&lt;&gt;"Vérifié",Paramètres!$C$23,0)+IF(AND($O156&lt;&gt;"Oui",OR($AJ156="PDF libre",$AJ156="PDF libre (dépôt)")),Paramètres!$C$24,0)))</f>
        <v>45</v>
      </c>
      <c r="N156" s="32"/>
      <c r="O156" s="33" t="str">
        <f ca="1">IF($B156="","Non",HYPERLINK(DossierPDF&amp;$BB156,"Oui"))</f>
        <v>Oui</v>
      </c>
      <c r="P156" s="33" t="s">
        <v>235</v>
      </c>
      <c r="Q156" s="33" t="s">
        <v>235</v>
      </c>
      <c r="R156" s="33"/>
      <c r="S156" s="34"/>
      <c r="T156" s="25" t="s">
        <v>661</v>
      </c>
      <c r="U156" s="26" t="str">
        <f>IF($B156="","",IFERROR(INDEX(Paramètres!$N$6:$N$13,MATCH($T156,Paramètres!$M$6:$M$13,0)),$T156))</f>
        <v>Ouvrage / guide</v>
      </c>
      <c r="V156" s="4" t="s">
        <v>3525</v>
      </c>
      <c r="W156" s="28">
        <v>2006</v>
      </c>
      <c r="X156" s="4"/>
      <c r="Y156" s="25"/>
      <c r="Z156" s="25"/>
      <c r="AA156" s="25"/>
      <c r="AB156" s="25" t="s">
        <v>291</v>
      </c>
      <c r="AC156" s="25" t="s">
        <v>3526</v>
      </c>
      <c r="AD156" s="25"/>
      <c r="AE156" s="25" t="s">
        <v>243</v>
      </c>
      <c r="AF156" s="35" t="s">
        <v>3527</v>
      </c>
      <c r="AG156" s="27" t="str">
        <f t="shared" si="30"/>
        <v>doi.org</v>
      </c>
      <c r="AH156" s="27" t="str">
        <f t="shared" si="31"/>
        <v>Scholar</v>
      </c>
      <c r="AI156" s="28" t="s">
        <v>245</v>
      </c>
      <c r="AJ156" s="25" t="s">
        <v>185</v>
      </c>
      <c r="AK156" s="4" t="s">
        <v>3520</v>
      </c>
      <c r="AL156" s="25" t="s">
        <v>247</v>
      </c>
      <c r="AM156" s="4" t="s">
        <v>243</v>
      </c>
      <c r="AN156" s="25" t="s">
        <v>3186</v>
      </c>
      <c r="AO156" s="4" t="s">
        <v>3528</v>
      </c>
      <c r="AP156" s="4"/>
      <c r="AQ156" s="25" t="s">
        <v>235</v>
      </c>
      <c r="AR156" s="26" t="str">
        <f>IF($B156="","",IFERROR(INDEX(Paramètres!$Q$6:$Q$13,MATCH($G156,Paramètres!$P$6:$P$13,0)),""))</f>
        <v>Modélisation du pneu et du contact</v>
      </c>
      <c r="AS156" s="26" t="str">
        <f>IF($B156="","",IFERROR(INDEX(Paramètres!$T$6:$T$11,MATCH($I156,Paramètres!$S$6:$S$11,0)),""))</f>
        <v>janvier 2027</v>
      </c>
      <c r="AT156" s="31">
        <f>IF($B156="","",IFERROR(INDEX(Paramètres!$C$27:$C$29,MATCH($H156,Paramètres!$B$27:$B$29,0)),0))</f>
        <v>1</v>
      </c>
      <c r="AU156" s="29"/>
      <c r="AV156" s="32"/>
      <c r="AW156" s="26" t="str">
        <f t="shared" si="32"/>
        <v>wriggers2006computational.md</v>
      </c>
      <c r="AX156" s="26">
        <f>IF($B156="","",COUNTIF($I$2:I156,$I156))</f>
        <v>29</v>
      </c>
      <c r="AY156" s="26" t="str">
        <f t="shared" si="33"/>
        <v>4-29</v>
      </c>
      <c r="AZ156" s="26" t="s">
        <v>3529</v>
      </c>
      <c r="BA156" s="36">
        <f t="shared" ca="1" si="34"/>
        <v>45.00844</v>
      </c>
      <c r="BB156" t="inlineStr">
        <is>
          <t>BIB-155_Wriggers_2006_Computational-contact-mechanics.pdf</t>
        </is>
      </c>
    </row>
    <row r="157" spans="1:53" ht="229.5" x14ac:dyDescent="0.25">
      <c r="A157" s="25" t="s">
        <v>3530</v>
      </c>
      <c r="B157" s="25" t="s">
        <v>3531</v>
      </c>
      <c r="C157" s="26" t="str">
        <f t="shared" si="28"/>
        <v>Müser et al. (2017)</v>
      </c>
      <c r="D157" s="4" t="s">
        <v>3532</v>
      </c>
      <c r="E157" s="27" t="str">
        <f>IF(OR($B157="",$AF157=""),"",HYPERLINK(IF(AND(Paramètres!$C$13&lt;&gt;"",$AJ157="Éditeur (abonnement)"),Paramètres!$C$13&amp;$AF157,$AF157),"Ouvrir : "&amp;$AE157))</f>
        <v>Ouvrir : Page éditeur (DOI)</v>
      </c>
      <c r="F157" s="28" t="s">
        <v>235</v>
      </c>
      <c r="G157" s="28">
        <v>2</v>
      </c>
      <c r="H157" s="25" t="s">
        <v>338</v>
      </c>
      <c r="I157" s="28">
        <v>5</v>
      </c>
      <c r="J157" s="29" t="s">
        <v>234</v>
      </c>
      <c r="K157" s="26" t="str">
        <f ca="1">IF($B157="","",IF($J157="Lu","Lu",IF($J157="Écarté","Écarté",IF($I157&lt;Paramètres!$C$8,"EN RETARD",IF($I157=Paramètres!$C$8,"Ce mois-ci",IF($I157=Paramètres!$C$8+1,"Mois prochain","À venir"))))))</f>
        <v>À venir</v>
      </c>
      <c r="L157" s="30" t="str">
        <f t="shared" ca="1" si="29"/>
        <v/>
      </c>
      <c r="M157" s="31">
        <f ca="1">IF($B157="","",IF(OR($J157="Lu",$J157="Écarté"),0,IFERROR(INDEX(Paramètres!$C$17:$C$19,MATCH($H157,Paramètres!$B$17:$B$19,0)),0)+Paramètres!$C$20*(7-$I157)+IF($I157&lt;Paramètres!$C$8,Paramètres!$C$21,0)+IF($F157="Oui",Paramètres!$C$22,0)+IF($AL157&lt;&gt;"Vérifié",Paramètres!$C$23,0)+IF(AND($O157&lt;&gt;"Oui",OR($AJ157="PDF libre",$AJ157="PDF libre (dépôt)")),Paramètres!$C$24,0)))</f>
        <v>70</v>
      </c>
      <c r="N157" s="32"/>
      <c r="O157" s="33" t="str">
        <f ca="1">IF($B157="","Non",HYPERLINK(DossierPDF&amp;$BB157,"Oui"))</f>
        <v>Oui</v>
      </c>
      <c r="P157" s="33" t="s">
        <v>235</v>
      </c>
      <c r="Q157" s="33" t="s">
        <v>235</v>
      </c>
      <c r="R157" s="33"/>
      <c r="S157" s="34"/>
      <c r="T157" s="25" t="s">
        <v>236</v>
      </c>
      <c r="U157" s="26" t="str">
        <f>IF($B157="","",IFERROR(INDEX(Paramètres!$N$6:$N$13,MATCH($T157,Paramètres!$M$6:$M$13,0)),$T157))</f>
        <v>Article de revue</v>
      </c>
      <c r="V157" s="4" t="s">
        <v>3533</v>
      </c>
      <c r="W157" s="28">
        <v>2017</v>
      </c>
      <c r="X157" s="4" t="s">
        <v>3534</v>
      </c>
      <c r="Y157" s="25" t="s">
        <v>3535</v>
      </c>
      <c r="Z157" s="25" t="s">
        <v>240</v>
      </c>
      <c r="AA157" s="25" t="s">
        <v>3536</v>
      </c>
      <c r="AB157" s="25"/>
      <c r="AC157" s="25" t="s">
        <v>3537</v>
      </c>
      <c r="AD157" s="25"/>
      <c r="AE157" s="25" t="s">
        <v>243</v>
      </c>
      <c r="AF157" s="35" t="s">
        <v>3538</v>
      </c>
      <c r="AG157" s="27" t="str">
        <f t="shared" si="30"/>
        <v>doi.org</v>
      </c>
      <c r="AH157" s="27" t="str">
        <f t="shared" si="31"/>
        <v>Scholar</v>
      </c>
      <c r="AI157" s="28" t="s">
        <v>277</v>
      </c>
      <c r="AJ157" s="25" t="s">
        <v>183</v>
      </c>
      <c r="AK157" s="4" t="s">
        <v>3539</v>
      </c>
      <c r="AL157" s="25" t="s">
        <v>247</v>
      </c>
      <c r="AM157" s="4" t="s">
        <v>3540</v>
      </c>
      <c r="AN157" s="25" t="s">
        <v>3186</v>
      </c>
      <c r="AO157" s="4" t="s">
        <v>3541</v>
      </c>
      <c r="AP157" s="4" t="s">
        <v>3444</v>
      </c>
      <c r="AQ157" s="25" t="s">
        <v>235</v>
      </c>
      <c r="AR157" s="26" t="str">
        <f>IF($B157="","",IFERROR(INDEX(Paramètres!$Q$6:$Q$13,MATCH($G157,Paramètres!$P$6:$P$13,0)),""))</f>
        <v>Modélisation du pneu et du contact</v>
      </c>
      <c r="AS157" s="26" t="str">
        <f>IF($B157="","",IFERROR(INDEX(Paramètres!$T$6:$T$11,MATCH($I157,Paramètres!$S$6:$S$11,0)),""))</f>
        <v>février 2027</v>
      </c>
      <c r="AT157" s="31">
        <f>IF($B157="","",IFERROR(INDEX(Paramètres!$C$27:$C$29,MATCH($H157,Paramètres!$B$27:$B$29,0)),0))</f>
        <v>3</v>
      </c>
      <c r="AU157" s="29"/>
      <c r="AV157" s="32"/>
      <c r="AW157" s="26" t="str">
        <f t="shared" si="32"/>
        <v>muser2017challenge.md</v>
      </c>
      <c r="AX157" s="26">
        <f>IF($B157="","",COUNTIF($I$2:I157,$I157))</f>
        <v>37</v>
      </c>
      <c r="AY157" s="26" t="str">
        <f t="shared" si="33"/>
        <v>5-37</v>
      </c>
      <c r="AZ157" s="26" t="s">
        <v>3542</v>
      </c>
      <c r="BA157" s="36">
        <f t="shared" ca="1" si="34"/>
        <v>70.008430000000004</v>
      </c>
    </row>
    <row r="158" spans="1:53" ht="89.25" hidden="1" x14ac:dyDescent="0.25">
      <c r="A158" s="25" t="s">
        <v>3543</v>
      </c>
      <c r="B158" s="25" t="s">
        <v>3544</v>
      </c>
      <c r="C158" s="26" t="str">
        <f t="shared" si="28"/>
        <v>Yastrebov et al. (2014)</v>
      </c>
      <c r="D158" s="4" t="s">
        <v>3545</v>
      </c>
      <c r="E158" s="27" t="str">
        <f>IF(OR($B158="",$AF158=""),"",HYPERLINK(IF(AND(Paramètres!$C$13&lt;&gt;"",$AJ158="Éditeur (abonnement)"),Paramètres!$C$13&amp;$AF158,$AF158),"Ouvrir : "&amp;$AE158))</f>
        <v>Ouvrir : Texte intégral libre</v>
      </c>
      <c r="F158" s="28" t="s">
        <v>235</v>
      </c>
      <c r="G158" s="28">
        <v>2</v>
      </c>
      <c r="H158" s="25" t="s">
        <v>405</v>
      </c>
      <c r="I158" s="28">
        <v>5</v>
      </c>
      <c r="J158" s="29" t="s">
        <v>234</v>
      </c>
      <c r="K158" s="26" t="str">
        <f ca="1">IF($B158="","",IF($J158="Lu","Lu",IF($J158="Écarté","Écarté",IF($I158&lt;Paramètres!$C$8,"EN RETARD",IF($I158=Paramètres!$C$8,"Ce mois-ci",IF($I158=Paramètres!$C$8+1,"Mois prochain","À venir"))))))</f>
        <v>À venir</v>
      </c>
      <c r="L158" s="30" t="str">
        <f t="shared" si="29"/>
        <v>Vérification à compléter avant de citer</v>
      </c>
      <c r="M158" s="31">
        <f ca="1">IF($B158="","",IF(OR($J158="Lu",$J158="Écarté"),0,IFERROR(INDEX(Paramètres!$C$17:$C$19,MATCH($H158,Paramètres!$B$17:$B$19,0)),0)+Paramètres!$C$20*(7-$I158)+IF($I158&lt;Paramètres!$C$8,Paramètres!$C$21,0)+IF($F158="Oui",Paramètres!$C$22,0)+IF($AL158&lt;&gt;"Vérifié",Paramètres!$C$23,0)+IF(AND($O158&lt;&gt;"Oui",OR($AJ158="PDF libre",$AJ158="PDF libre (dépôt)")),Paramètres!$C$24,0)))</f>
        <v>55</v>
      </c>
      <c r="N158" s="32"/>
      <c r="O158" s="33" t="str">
        <f ca="1">IF($B158="","Non",HYPERLINK(DossierPDF&amp;$BB158,"Oui"))</f>
        <v>Oui</v>
      </c>
      <c r="P158" s="33" t="s">
        <v>235</v>
      </c>
      <c r="Q158" s="33" t="s">
        <v>235</v>
      </c>
      <c r="R158" s="33"/>
      <c r="S158" s="34"/>
      <c r="T158" s="25" t="s">
        <v>236</v>
      </c>
      <c r="U158" s="26" t="str">
        <f>IF($B158="","",IFERROR(INDEX(Paramètres!$N$6:$N$13,MATCH($T158,Paramètres!$M$6:$M$13,0)),$T158))</f>
        <v>Article de revue</v>
      </c>
      <c r="V158" s="4" t="s">
        <v>3546</v>
      </c>
      <c r="W158" s="28">
        <v>2014</v>
      </c>
      <c r="X158" s="4" t="s">
        <v>3547</v>
      </c>
      <c r="Y158" s="25"/>
      <c r="Z158" s="25"/>
      <c r="AA158" s="25" t="s">
        <v>3548</v>
      </c>
      <c r="AB158" s="25"/>
      <c r="AC158" s="25"/>
      <c r="AD158" s="25"/>
      <c r="AE158" s="25" t="s">
        <v>275</v>
      </c>
      <c r="AF158" s="35" t="s">
        <v>3549</v>
      </c>
      <c r="AG158" s="27" t="str">
        <f t="shared" si="30"/>
        <v/>
      </c>
      <c r="AH158" s="27" t="str">
        <f t="shared" si="31"/>
        <v>Scholar</v>
      </c>
      <c r="AI158" s="28" t="s">
        <v>277</v>
      </c>
      <c r="AJ158" s="25" t="s">
        <v>183</v>
      </c>
      <c r="AK158" s="4" t="s">
        <v>3550</v>
      </c>
      <c r="AL158" s="25" t="s">
        <v>517</v>
      </c>
      <c r="AM158" s="4" t="s">
        <v>3551</v>
      </c>
      <c r="AN158" s="25" t="s">
        <v>3186</v>
      </c>
      <c r="AO158" s="4" t="s">
        <v>3552</v>
      </c>
      <c r="AP158" s="4" t="s">
        <v>3553</v>
      </c>
      <c r="AQ158" s="25" t="s">
        <v>235</v>
      </c>
      <c r="AR158" s="26" t="str">
        <f>IF($B158="","",IFERROR(INDEX(Paramètres!$Q$6:$Q$13,MATCH($G158,Paramètres!$P$6:$P$13,0)),""))</f>
        <v>Modélisation du pneu et du contact</v>
      </c>
      <c r="AS158" s="26" t="str">
        <f>IF($B158="","",IFERROR(INDEX(Paramètres!$T$6:$T$11,MATCH($I158,Paramètres!$S$6:$S$11,0)),""))</f>
        <v>février 2027</v>
      </c>
      <c r="AT158" s="31">
        <f>IF($B158="","",IFERROR(INDEX(Paramètres!$C$27:$C$29,MATCH($H158,Paramètres!$B$27:$B$29,0)),0))</f>
        <v>1</v>
      </c>
      <c r="AU158" s="29"/>
      <c r="AV158" s="32"/>
      <c r="AW158" s="26" t="str">
        <f t="shared" si="32"/>
        <v>yastrebov2014infinitesimal.md</v>
      </c>
      <c r="AX158" s="26">
        <f>IF($B158="","",COUNTIF($I$2:I158,$I158))</f>
        <v>38</v>
      </c>
      <c r="AY158" s="26" t="str">
        <f t="shared" si="33"/>
        <v>5-38</v>
      </c>
      <c r="AZ158" s="26" t="s">
        <v>3554</v>
      </c>
      <c r="BA158" s="36">
        <f t="shared" ca="1" si="34"/>
        <v>55.008420000000001</v>
      </c>
    </row>
    <row r="159" spans="1:53" ht="76.5" hidden="1" x14ac:dyDescent="0.25">
      <c r="A159" s="25" t="s">
        <v>3555</v>
      </c>
      <c r="B159" s="25" t="s">
        <v>3556</v>
      </c>
      <c r="C159" s="26" t="str">
        <f t="shared" si="28"/>
        <v>Dapp et al. (2014)</v>
      </c>
      <c r="D159" s="4" t="s">
        <v>3557</v>
      </c>
      <c r="E159" s="27" t="str">
        <f>IF(OR($B159="",$AF159=""),"",HYPERLINK(IF(AND(Paramètres!$C$13&lt;&gt;"",$AJ159="Éditeur (abonnement)"),Paramètres!$C$13&amp;$AF159,$AF159),"Ouvrir : "&amp;$AE159))</f>
        <v>Ouvrir : Texte intégral libre</v>
      </c>
      <c r="F159" s="28" t="s">
        <v>235</v>
      </c>
      <c r="G159" s="28">
        <v>2</v>
      </c>
      <c r="H159" s="25" t="s">
        <v>405</v>
      </c>
      <c r="I159" s="28">
        <v>5</v>
      </c>
      <c r="J159" s="29" t="s">
        <v>234</v>
      </c>
      <c r="K159" s="26" t="str">
        <f ca="1">IF($B159="","",IF($J159="Lu","Lu",IF($J159="Écarté","Écarté",IF($I159&lt;Paramètres!$C$8,"EN RETARD",IF($I159=Paramètres!$C$8,"Ce mois-ci",IF($I159=Paramètres!$C$8+1,"Mois prochain","À venir"))))))</f>
        <v>À venir</v>
      </c>
      <c r="L159" s="30" t="str">
        <f t="shared" si="29"/>
        <v>Vérification à compléter avant de citer</v>
      </c>
      <c r="M159" s="31">
        <f ca="1">IF($B159="","",IF(OR($J159="Lu",$J159="Écarté"),0,IFERROR(INDEX(Paramètres!$C$17:$C$19,MATCH($H159,Paramètres!$B$17:$B$19,0)),0)+Paramètres!$C$20*(7-$I159)+IF($I159&lt;Paramètres!$C$8,Paramètres!$C$21,0)+IF($F159="Oui",Paramètres!$C$22,0)+IF($AL159&lt;&gt;"Vérifié",Paramètres!$C$23,0)+IF(AND($O159&lt;&gt;"Oui",OR($AJ159="PDF libre",$AJ159="PDF libre (dépôt)")),Paramètres!$C$24,0)))</f>
        <v>55</v>
      </c>
      <c r="N159" s="32"/>
      <c r="O159" s="33" t="str">
        <f ca="1">IF($B159="","Non",HYPERLINK(DossierPDF&amp;$BB159,"Oui"))</f>
        <v>Oui</v>
      </c>
      <c r="P159" s="33" t="s">
        <v>235</v>
      </c>
      <c r="Q159" s="33" t="s">
        <v>235</v>
      </c>
      <c r="R159" s="33"/>
      <c r="S159" s="34"/>
      <c r="T159" s="25" t="s">
        <v>236</v>
      </c>
      <c r="U159" s="26" t="str">
        <f>IF($B159="","",IFERROR(INDEX(Paramètres!$N$6:$N$13,MATCH($T159,Paramètres!$M$6:$M$13,0)),$T159))</f>
        <v>Article de revue</v>
      </c>
      <c r="V159" s="4" t="s">
        <v>3558</v>
      </c>
      <c r="W159" s="28">
        <v>2014</v>
      </c>
      <c r="X159" s="4" t="s">
        <v>3547</v>
      </c>
      <c r="Y159" s="25"/>
      <c r="Z159" s="25"/>
      <c r="AA159" s="25" t="s">
        <v>3559</v>
      </c>
      <c r="AB159" s="25"/>
      <c r="AC159" s="25"/>
      <c r="AD159" s="25"/>
      <c r="AE159" s="25" t="s">
        <v>275</v>
      </c>
      <c r="AF159" s="35" t="s">
        <v>3560</v>
      </c>
      <c r="AG159" s="27" t="str">
        <f t="shared" si="30"/>
        <v/>
      </c>
      <c r="AH159" s="27" t="str">
        <f t="shared" si="31"/>
        <v>Scholar</v>
      </c>
      <c r="AI159" s="28" t="s">
        <v>277</v>
      </c>
      <c r="AJ159" s="25" t="s">
        <v>183</v>
      </c>
      <c r="AK159" s="4" t="s">
        <v>3561</v>
      </c>
      <c r="AL159" s="25" t="s">
        <v>517</v>
      </c>
      <c r="AM159" s="4" t="s">
        <v>3551</v>
      </c>
      <c r="AN159" s="25" t="s">
        <v>3186</v>
      </c>
      <c r="AO159" s="4" t="s">
        <v>3562</v>
      </c>
      <c r="AP159" s="4" t="s">
        <v>3431</v>
      </c>
      <c r="AQ159" s="25" t="s">
        <v>235</v>
      </c>
      <c r="AR159" s="26" t="str">
        <f>IF($B159="","",IFERROR(INDEX(Paramètres!$Q$6:$Q$13,MATCH($G159,Paramètres!$P$6:$P$13,0)),""))</f>
        <v>Modélisation du pneu et du contact</v>
      </c>
      <c r="AS159" s="26" t="str">
        <f>IF($B159="","",IFERROR(INDEX(Paramètres!$T$6:$T$11,MATCH($I159,Paramètres!$S$6:$S$11,0)),""))</f>
        <v>février 2027</v>
      </c>
      <c r="AT159" s="31">
        <f>IF($B159="","",IFERROR(INDEX(Paramètres!$C$27:$C$29,MATCH($H159,Paramètres!$B$27:$B$29,0)),0))</f>
        <v>1</v>
      </c>
      <c r="AU159" s="29"/>
      <c r="AV159" s="32"/>
      <c r="AW159" s="26" t="str">
        <f t="shared" si="32"/>
        <v>dapp2014persson.md</v>
      </c>
      <c r="AX159" s="26">
        <f>IF($B159="","",COUNTIF($I$2:I159,$I159))</f>
        <v>39</v>
      </c>
      <c r="AY159" s="26" t="str">
        <f t="shared" si="33"/>
        <v>5-39</v>
      </c>
      <c r="AZ159" s="26" t="s">
        <v>3563</v>
      </c>
      <c r="BA159" s="36">
        <f t="shared" ca="1" si="34"/>
        <v>55.008409999999998</v>
      </c>
    </row>
    <row r="160" spans="1:53" ht="102" x14ac:dyDescent="0.25">
      <c r="A160" s="25" t="s">
        <v>3564</v>
      </c>
      <c r="B160" s="25" t="s">
        <v>3565</v>
      </c>
      <c r="C160" s="26" t="str">
        <f t="shared" si="28"/>
        <v>Bemporad &amp; Paggi (2015)</v>
      </c>
      <c r="D160" s="4" t="s">
        <v>3566</v>
      </c>
      <c r="E160" s="27" t="str">
        <f>IF(OR($B160="",$AF160=""),"",HYPERLINK(IF(AND(Paramètres!$C$13&lt;&gt;"",$AJ160="Éditeur (abonnement)"),Paramètres!$C$13&amp;$AF160,$AF160),"Ouvrir : "&amp;$AE160))</f>
        <v>Ouvrir : Page éditeur (DOI)</v>
      </c>
      <c r="F160" s="28" t="s">
        <v>235</v>
      </c>
      <c r="G160" s="28">
        <v>2</v>
      </c>
      <c r="H160" s="25" t="s">
        <v>405</v>
      </c>
      <c r="I160" s="28">
        <v>5</v>
      </c>
      <c r="J160" s="29" t="s">
        <v>234</v>
      </c>
      <c r="K160" s="26" t="str">
        <f ca="1">IF($B160="","",IF($J160="Lu","Lu",IF($J160="Écarté","Écarté",IF($I160&lt;Paramètres!$C$8,"EN RETARD",IF($I160=Paramètres!$C$8,"Ce mois-ci",IF($I160=Paramètres!$C$8+1,"Mois prochain","À venir"))))))</f>
        <v>À venir</v>
      </c>
      <c r="L160" s="30" t="str">
        <f t="shared" ca="1" si="29"/>
        <v/>
      </c>
      <c r="M160" s="31">
        <f ca="1">IF($B160="","",IF(OR($J160="Lu",$J160="Écarté"),0,IFERROR(INDEX(Paramètres!$C$17:$C$19,MATCH($H160,Paramètres!$B$17:$B$19,0)),0)+Paramètres!$C$20*(7-$I160)+IF($I160&lt;Paramètres!$C$8,Paramètres!$C$21,0)+IF($F160="Oui",Paramètres!$C$22,0)+IF($AL160&lt;&gt;"Vérifié",Paramètres!$C$23,0)+IF(AND($O160&lt;&gt;"Oui",OR($AJ160="PDF libre",$AJ160="PDF libre (dépôt)")),Paramètres!$C$24,0)))</f>
        <v>40</v>
      </c>
      <c r="N160" s="32"/>
      <c r="O160" s="33" t="str">
        <f ca="1">IF($B160="","Non",HYPERLINK(DossierPDF&amp;$BB160,"Oui"))</f>
        <v>Oui</v>
      </c>
      <c r="P160" s="33" t="s">
        <v>235</v>
      </c>
      <c r="Q160" s="33" t="s">
        <v>235</v>
      </c>
      <c r="R160" s="33"/>
      <c r="S160" s="34"/>
      <c r="T160" s="25" t="s">
        <v>236</v>
      </c>
      <c r="U160" s="26" t="str">
        <f>IF($B160="","",IFERROR(INDEX(Paramètres!$N$6:$N$13,MATCH($T160,Paramètres!$M$6:$M$13,0)),$T160))</f>
        <v>Article de revue</v>
      </c>
      <c r="V160" s="4" t="s">
        <v>3567</v>
      </c>
      <c r="W160" s="28">
        <v>2015</v>
      </c>
      <c r="X160" s="4" t="s">
        <v>607</v>
      </c>
      <c r="Y160" s="25" t="s">
        <v>3568</v>
      </c>
      <c r="Z160" s="25"/>
      <c r="AA160" s="25" t="s">
        <v>3569</v>
      </c>
      <c r="AB160" s="25"/>
      <c r="AC160" s="25" t="s">
        <v>3570</v>
      </c>
      <c r="AD160" s="25"/>
      <c r="AE160" s="25" t="s">
        <v>243</v>
      </c>
      <c r="AF160" s="35" t="s">
        <v>3571</v>
      </c>
      <c r="AG160" s="27" t="str">
        <f t="shared" si="30"/>
        <v>doi.org</v>
      </c>
      <c r="AH160" s="27" t="str">
        <f t="shared" si="31"/>
        <v>Scholar</v>
      </c>
      <c r="AI160" s="28" t="s">
        <v>277</v>
      </c>
      <c r="AJ160" s="25" t="s">
        <v>184</v>
      </c>
      <c r="AK160" s="4" t="s">
        <v>3572</v>
      </c>
      <c r="AL160" s="25" t="s">
        <v>247</v>
      </c>
      <c r="AM160" s="4" t="s">
        <v>3573</v>
      </c>
      <c r="AN160" s="25" t="s">
        <v>3186</v>
      </c>
      <c r="AO160" s="4" t="s">
        <v>3574</v>
      </c>
      <c r="AP160" s="4" t="s">
        <v>3394</v>
      </c>
      <c r="AQ160" s="25" t="s">
        <v>235</v>
      </c>
      <c r="AR160" s="26" t="str">
        <f>IF($B160="","",IFERROR(INDEX(Paramètres!$Q$6:$Q$13,MATCH($G160,Paramètres!$P$6:$P$13,0)),""))</f>
        <v>Modélisation du pneu et du contact</v>
      </c>
      <c r="AS160" s="26" t="str">
        <f>IF($B160="","",IFERROR(INDEX(Paramètres!$T$6:$T$11,MATCH($I160,Paramètres!$S$6:$S$11,0)),""))</f>
        <v>février 2027</v>
      </c>
      <c r="AT160" s="31">
        <f>IF($B160="","",IFERROR(INDEX(Paramètres!$C$27:$C$29,MATCH($H160,Paramètres!$B$27:$B$29,0)),0))</f>
        <v>1</v>
      </c>
      <c r="AU160" s="29"/>
      <c r="AV160" s="32"/>
      <c r="AW160" s="26" t="str">
        <f t="shared" si="32"/>
        <v>bemporad2015optimization.md</v>
      </c>
      <c r="AX160" s="26">
        <f>IF($B160="","",COUNTIF($I$2:I160,$I160))</f>
        <v>40</v>
      </c>
      <c r="AY160" s="26" t="str">
        <f t="shared" si="33"/>
        <v>5-40</v>
      </c>
      <c r="AZ160" s="26" t="s">
        <v>3575</v>
      </c>
      <c r="BA160" s="36">
        <f t="shared" ca="1" si="34"/>
        <v>40.008400000000002</v>
      </c>
    </row>
    <row r="161" spans="1:54" ht="63.75" x14ac:dyDescent="0.25">
      <c r="A161" s="25" t="s">
        <v>3576</v>
      </c>
      <c r="B161" s="25" t="s">
        <v>3577</v>
      </c>
      <c r="C161" s="26" t="str">
        <f t="shared" si="28"/>
        <v>Pohrt &amp; Li (2014)</v>
      </c>
      <c r="D161" s="4" t="s">
        <v>3578</v>
      </c>
      <c r="E161" s="27" t="str">
        <f>IF(OR($B161="",$AF161=""),"",HYPERLINK(IF(AND(Paramètres!$C$13&lt;&gt;"",$AJ161="Éditeur (abonnement)"),Paramètres!$C$13&amp;$AF161,$AF161),"Ouvrir : "&amp;$AE161))</f>
        <v>Ouvrir : Page éditeur (DOI)</v>
      </c>
      <c r="F161" s="28" t="s">
        <v>235</v>
      </c>
      <c r="G161" s="28">
        <v>2</v>
      </c>
      <c r="H161" s="25" t="s">
        <v>405</v>
      </c>
      <c r="I161" s="28">
        <v>5</v>
      </c>
      <c r="J161" s="29" t="s">
        <v>234</v>
      </c>
      <c r="K161" s="26" t="str">
        <f ca="1">IF($B161="","",IF($J161="Lu","Lu",IF($J161="Écarté","Écarté",IF($I161&lt;Paramètres!$C$8,"EN RETARD",IF($I161=Paramètres!$C$8,"Ce mois-ci",IF($I161=Paramètres!$C$8+1,"Mois prochain","À venir"))))))</f>
        <v>À venir</v>
      </c>
      <c r="L161" s="30" t="str">
        <f t="shared" ca="1" si="29"/>
        <v/>
      </c>
      <c r="M161" s="31">
        <f ca="1">IF($B161="","",IF(OR($J161="Lu",$J161="Écarté"),0,IFERROR(INDEX(Paramètres!$C$17:$C$19,MATCH($H161,Paramètres!$B$17:$B$19,0)),0)+Paramètres!$C$20*(7-$I161)+IF($I161&lt;Paramètres!$C$8,Paramètres!$C$21,0)+IF($F161="Oui",Paramètres!$C$22,0)+IF($AL161&lt;&gt;"Vérifié",Paramètres!$C$23,0)+IF(AND($O161&lt;&gt;"Oui",OR($AJ161="PDF libre",$AJ161="PDF libre (dépôt)")),Paramètres!$C$24,0)))</f>
        <v>40</v>
      </c>
      <c r="N161" s="32"/>
      <c r="O161" s="33" t="str">
        <f ca="1">IF($B161="","Non",HYPERLINK(DossierPDF&amp;$BB161,"Oui"))</f>
        <v>Oui</v>
      </c>
      <c r="P161" s="33" t="s">
        <v>235</v>
      </c>
      <c r="Q161" s="33" t="s">
        <v>235</v>
      </c>
      <c r="R161" s="33"/>
      <c r="S161" s="34"/>
      <c r="T161" s="25" t="s">
        <v>236</v>
      </c>
      <c r="U161" s="26" t="str">
        <f>IF($B161="","",IFERROR(INDEX(Paramètres!$N$6:$N$13,MATCH($T161,Paramètres!$M$6:$M$13,0)),$T161))</f>
        <v>Article de revue</v>
      </c>
      <c r="V161" s="4" t="s">
        <v>3579</v>
      </c>
      <c r="W161" s="28">
        <v>2014</v>
      </c>
      <c r="X161" s="4" t="s">
        <v>3580</v>
      </c>
      <c r="Y161" s="25" t="s">
        <v>882</v>
      </c>
      <c r="Z161" s="25" t="s">
        <v>240</v>
      </c>
      <c r="AA161" s="25" t="s">
        <v>3581</v>
      </c>
      <c r="AB161" s="25"/>
      <c r="AC161" s="25" t="s">
        <v>3582</v>
      </c>
      <c r="AD161" s="25"/>
      <c r="AE161" s="25" t="s">
        <v>243</v>
      </c>
      <c r="AF161" s="35" t="s">
        <v>3583</v>
      </c>
      <c r="AG161" s="27" t="str">
        <f t="shared" si="30"/>
        <v>doi.org</v>
      </c>
      <c r="AH161" s="27" t="str">
        <f t="shared" si="31"/>
        <v>Scholar</v>
      </c>
      <c r="AI161" s="28" t="s">
        <v>245</v>
      </c>
      <c r="AJ161" s="25" t="s">
        <v>185</v>
      </c>
      <c r="AK161" s="4" t="s">
        <v>3584</v>
      </c>
      <c r="AL161" s="25" t="s">
        <v>247</v>
      </c>
      <c r="AM161" s="4" t="s">
        <v>243</v>
      </c>
      <c r="AN161" s="25" t="s">
        <v>3186</v>
      </c>
      <c r="AO161" s="4" t="s">
        <v>3585</v>
      </c>
      <c r="AP161" s="4" t="s">
        <v>3250</v>
      </c>
      <c r="AQ161" s="25" t="s">
        <v>235</v>
      </c>
      <c r="AR161" s="26" t="str">
        <f>IF($B161="","",IFERROR(INDEX(Paramètres!$Q$6:$Q$13,MATCH($G161,Paramètres!$P$6:$P$13,0)),""))</f>
        <v>Modélisation du pneu et du contact</v>
      </c>
      <c r="AS161" s="26" t="str">
        <f>IF($B161="","",IFERROR(INDEX(Paramètres!$T$6:$T$11,MATCH($I161,Paramètres!$S$6:$S$11,0)),""))</f>
        <v>février 2027</v>
      </c>
      <c r="AT161" s="31">
        <f>IF($B161="","",IFERROR(INDEX(Paramètres!$C$27:$C$29,MATCH($H161,Paramètres!$B$27:$B$29,0)),0))</f>
        <v>1</v>
      </c>
      <c r="AU161" s="29"/>
      <c r="AV161" s="32"/>
      <c r="AW161" s="26" t="str">
        <f t="shared" si="32"/>
        <v>pohrt2014bem.md</v>
      </c>
      <c r="AX161" s="26">
        <f>IF($B161="","",COUNTIF($I$2:I161,$I161))</f>
        <v>41</v>
      </c>
      <c r="AY161" s="26" t="str">
        <f t="shared" si="33"/>
        <v>5-41</v>
      </c>
      <c r="AZ161" s="26" t="s">
        <v>3586</v>
      </c>
      <c r="BA161" s="36">
        <f t="shared" ca="1" si="34"/>
        <v>40.008389999999999</v>
      </c>
    </row>
    <row r="162" spans="1:54" ht="25.5" hidden="1" x14ac:dyDescent="0.25">
      <c r="A162" s="25" t="s">
        <v>3587</v>
      </c>
      <c r="B162" s="25" t="s">
        <v>3588</v>
      </c>
      <c r="C162" s="26" t="str">
        <f t="shared" ref="C162:C193" si="35">IF($B162="","",IFERROR(LEFT(LEFT($V162,FIND(";",$V162&amp;";")-1),FIND(",",LEFT($V162,FIND(";",$V162&amp;";")-1))-1),LEFT($V162,FIND(";",$V162&amp;";")-1))&amp;IF((LEN($V162)-LEN(SUBSTITUTE($V162,";",""))+1)=1,"",IF((LEN($V162)-LEN(SUBSTITUTE($V162,";",""))+1)=2," &amp; "&amp;IFERROR(LEFT(TRIM(MID($V162,FIND(";",$V162)+1,FIND(";",$V162&amp;";",FIND(";",$V162)+1)-FIND(";",$V162)-1)),FIND(",",TRIM(MID($V162,FIND(";",$V162)+1,FIND(";",$V162&amp;";",FIND(";",$V162)+1)-FIND(";",$V162)-1)))-1),TRIM(MID($V162,FIND(";",$V162)+1,FIND(";",$V162&amp;";",FIND(";",$V162)+1)-FIND(";",$V162)-1)))," et al."))&amp;" ("&amp;$W162&amp;")")</f>
        <v>Cesbron (2007)</v>
      </c>
      <c r="D162" s="4" t="s">
        <v>3589</v>
      </c>
      <c r="E162" s="27" t="str">
        <f>IF(OR($B162="",$AF162=""),"",HYPERLINK(IF(AND(Paramètres!$C$13&lt;&gt;"",$AJ162="Éditeur (abonnement)"),Paramètres!$C$13&amp;$AF162,$AF162),"Ouvrir : "&amp;$AE162))</f>
        <v>Ouvrir : Texte intégral (dépôt)</v>
      </c>
      <c r="F162" s="28" t="s">
        <v>235</v>
      </c>
      <c r="G162" s="28">
        <v>2</v>
      </c>
      <c r="H162" s="25" t="s">
        <v>122</v>
      </c>
      <c r="I162" s="28">
        <v>6</v>
      </c>
      <c r="J162" s="29" t="s">
        <v>234</v>
      </c>
      <c r="K162" s="26" t="str">
        <f ca="1">IF($B162="","",IF($J162="Lu","Lu",IF($J162="Écarté","Écarté",IF($I162&lt;Paramètres!$C$8,"EN RETARD",IF($I162=Paramètres!$C$8,"Ce mois-ci",IF($I162=Paramètres!$C$8+1,"Mois prochain","À venir"))))))</f>
        <v>À venir</v>
      </c>
      <c r="L162" s="30" t="str">
        <f t="shared" ref="L162:L193" ca="1" si="36">IF($B162="","",IF($AL162="Non vérifié","Ne pas citer en l'état : métadonnées non vérifiées",IF($AL162="Partiel","Vérification à compléter avant de citer",IF($O162="Oui","",IF(OR($AJ162="PDF libre",$AJ162="PDF libre (dépôt)"),"PDF libre à télécharger",IF($AJ162="Éditeur (abonnement)","À télécharger via l'accès ENTPE",IF($AJ162="Payant (boutique)","À consulter via l'abonnement de l'école",IF($AJ162="Non diffusé (à demander)","Document à demander (feuille Demandes)","Texte intégral à localiser"))))))))</f>
        <v/>
      </c>
      <c r="M162" s="31">
        <f ca="1">IF($B162="","",IF(OR($J162="Lu",$J162="Écarté"),0,IFERROR(INDEX(Paramètres!$C$17:$C$19,MATCH($H162,Paramètres!$B$17:$B$19,0)),0)+Paramètres!$C$20*(7-$I162)+IF($I162&lt;Paramètres!$C$8,Paramètres!$C$21,0)+IF($F162="Oui",Paramètres!$C$22,0)+IF($AL162&lt;&gt;"Vérifié",Paramètres!$C$23,0)+IF(AND($O162&lt;&gt;"Oui",OR($AJ162="PDF libre",$AJ162="PDF libre (dépôt)")),Paramètres!$C$24,0)))</f>
        <v>105</v>
      </c>
      <c r="N162" s="32"/>
      <c r="O162" s="33" t="str">
        <f ca="1">IF($B162="","Non",HYPERLINK(DossierPDF&amp;$BB162,"Oui"))</f>
        <v>Oui</v>
      </c>
      <c r="P162" s="33" t="s">
        <v>235</v>
      </c>
      <c r="Q162" s="33" t="s">
        <v>235</v>
      </c>
      <c r="R162" s="33"/>
      <c r="S162" s="34"/>
      <c r="T162" s="25" t="s">
        <v>594</v>
      </c>
      <c r="U162" s="26" t="str">
        <f>IF($B162="","",IFERROR(INDEX(Paramètres!$N$6:$N$13,MATCH($T162,Paramètres!$M$6:$M$13,0)),$T162))</f>
        <v>Thèse</v>
      </c>
      <c r="V162" s="4" t="s">
        <v>3590</v>
      </c>
      <c r="W162" s="28">
        <v>2007</v>
      </c>
      <c r="X162" s="4"/>
      <c r="Y162" s="25"/>
      <c r="Z162" s="25"/>
      <c r="AA162" s="25"/>
      <c r="AB162" s="25" t="s">
        <v>3591</v>
      </c>
      <c r="AC162" s="25"/>
      <c r="AD162" s="25" t="s">
        <v>3592</v>
      </c>
      <c r="AE162" s="25" t="s">
        <v>355</v>
      </c>
      <c r="AF162" s="35" t="s">
        <v>3593</v>
      </c>
      <c r="AG162" s="27" t="str">
        <f t="shared" ref="AG162:AG193" si="37">IF($AC162="","",HYPERLINK("https://doi.org/"&amp;$AC162,"doi.org"))</f>
        <v/>
      </c>
      <c r="AH162" s="27" t="str">
        <f t="shared" ref="AH162:AH193" si="38">IF($AZ162="","",HYPERLINK($AZ162,"Scholar"))</f>
        <v>Scholar</v>
      </c>
      <c r="AI162" s="28" t="s">
        <v>277</v>
      </c>
      <c r="AJ162" s="25" t="s">
        <v>184</v>
      </c>
      <c r="AK162" s="4" t="s">
        <v>3594</v>
      </c>
      <c r="AL162" s="25" t="s">
        <v>247</v>
      </c>
      <c r="AM162" s="4" t="s">
        <v>1125</v>
      </c>
      <c r="AN162" s="25" t="s">
        <v>3186</v>
      </c>
      <c r="AO162" s="4" t="s">
        <v>3595</v>
      </c>
      <c r="AP162" s="4" t="s">
        <v>3444</v>
      </c>
      <c r="AQ162" s="25" t="s">
        <v>233</v>
      </c>
      <c r="AR162" s="26" t="str">
        <f>IF($B162="","",IFERROR(INDEX(Paramètres!$Q$6:$Q$13,MATCH($G162,Paramètres!$P$6:$P$13,0)),""))</f>
        <v>Modélisation du pneu et du contact</v>
      </c>
      <c r="AS162" s="26" t="str">
        <f>IF($B162="","",IFERROR(INDEX(Paramètres!$T$6:$T$11,MATCH($I162,Paramètres!$S$6:$S$11,0)),""))</f>
        <v>mars 2027</v>
      </c>
      <c r="AT162" s="31">
        <f>IF($B162="","",IFERROR(INDEX(Paramètres!$C$27:$C$29,MATCH($H162,Paramètres!$B$27:$B$29,0)),0))</f>
        <v>6</v>
      </c>
      <c r="AU162" s="29"/>
      <c r="AV162" s="32"/>
      <c r="AW162" s="26" t="str">
        <f t="shared" ref="AW162:AW193" si="39">IF($B162="","",$B162&amp;".md")</f>
        <v>cesbron2007these.md</v>
      </c>
      <c r="AX162" s="26">
        <f>IF($B162="","",COUNTIF($I$2:I162,$I162))</f>
        <v>26</v>
      </c>
      <c r="AY162" s="26" t="str">
        <f t="shared" ref="AY162:AY193" si="40">IF($B162="","",$I162&amp;"-"&amp;$AX162)</f>
        <v>6-26</v>
      </c>
      <c r="AZ162" s="26" t="s">
        <v>3596</v>
      </c>
      <c r="BA162" s="36">
        <f t="shared" ref="BA162:BA193" ca="1" si="41">IF($B162="","",$M162+(1000-ROW())/100000)</f>
        <v>105.00838</v>
      </c>
    </row>
    <row r="163" spans="1:54" ht="76.5" hidden="1" x14ac:dyDescent="0.25">
      <c r="A163" s="25" t="s">
        <v>3597</v>
      </c>
      <c r="B163" s="25" t="s">
        <v>3598</v>
      </c>
      <c r="C163" s="26" t="str">
        <f t="shared" si="35"/>
        <v>Sandberg &amp; Ejsmont (2002)</v>
      </c>
      <c r="D163" s="4" t="s">
        <v>3599</v>
      </c>
      <c r="E163" s="27" t="str">
        <f>IF(OR($B163="",$AF163=""),"",HYPERLINK(IF(AND(Paramètres!$C$13&lt;&gt;"",$AJ163="Éditeur (abonnement)"),Paramètres!$C$13&amp;$AF163,$AF163),"Ouvrir : "&amp;$AE163))</f>
        <v>Ouvrir : Recherche Google Scholar</v>
      </c>
      <c r="F163" s="28" t="s">
        <v>235</v>
      </c>
      <c r="G163" s="28">
        <v>2</v>
      </c>
      <c r="H163" s="25" t="s">
        <v>405</v>
      </c>
      <c r="I163" s="28">
        <v>6</v>
      </c>
      <c r="J163" s="29" t="s">
        <v>234</v>
      </c>
      <c r="K163" s="26" t="str">
        <f ca="1">IF($B163="","",IF($J163="Lu","Lu",IF($J163="Écarté","Écarté",IF($I163&lt;Paramètres!$C$8,"EN RETARD",IF($I163=Paramètres!$C$8,"Ce mois-ci",IF($I163=Paramètres!$C$8+1,"Mois prochain","À venir"))))))</f>
        <v>À venir</v>
      </c>
      <c r="L163" s="30" t="str">
        <f t="shared" si="36"/>
        <v>Vérification à compléter avant de citer</v>
      </c>
      <c r="M163" s="31">
        <f ca="1">IF($B163="","",IF(OR($J163="Lu",$J163="Écarté"),0,IFERROR(INDEX(Paramètres!$C$17:$C$19,MATCH($H163,Paramètres!$B$17:$B$19,0)),0)+Paramètres!$C$20*(7-$I163)+IF($I163&lt;Paramètres!$C$8,Paramètres!$C$21,0)+IF($F163="Oui",Paramètres!$C$22,0)+IF($AL163&lt;&gt;"Vérifié",Paramètres!$C$23,0)+IF(AND($O163&lt;&gt;"Oui",OR($AJ163="PDF libre",$AJ163="PDF libre (dépôt)")),Paramètres!$C$24,0)))</f>
        <v>50</v>
      </c>
      <c r="N163" s="32"/>
      <c r="O163" s="33" t="str">
        <f ca="1">IF($B163="","Non",HYPERLINK(DossierPDF&amp;$BB163,"Oui"))</f>
        <v>Oui</v>
      </c>
      <c r="P163" s="33" t="s">
        <v>235</v>
      </c>
      <c r="Q163" s="33" t="s">
        <v>235</v>
      </c>
      <c r="R163" s="33"/>
      <c r="S163" s="34"/>
      <c r="T163" s="25" t="s">
        <v>661</v>
      </c>
      <c r="U163" s="26" t="str">
        <f>IF($B163="","",IFERROR(INDEX(Paramètres!$N$6:$N$13,MATCH($T163,Paramètres!$M$6:$M$13,0)),$T163))</f>
        <v>Ouvrage / guide</v>
      </c>
      <c r="V163" s="4" t="s">
        <v>3600</v>
      </c>
      <c r="W163" s="28">
        <v>2002</v>
      </c>
      <c r="X163" s="4"/>
      <c r="Y163" s="25"/>
      <c r="Z163" s="25"/>
      <c r="AA163" s="25"/>
      <c r="AB163" s="25" t="s">
        <v>3601</v>
      </c>
      <c r="AC163" s="25"/>
      <c r="AD163" s="25"/>
      <c r="AE163" s="25" t="s">
        <v>341</v>
      </c>
      <c r="AF163" s="35" t="s">
        <v>3602</v>
      </c>
      <c r="AG163" s="27" t="str">
        <f t="shared" si="37"/>
        <v/>
      </c>
      <c r="AH163" s="27" t="str">
        <f t="shared" si="38"/>
        <v>Scholar</v>
      </c>
      <c r="AI163" s="28" t="s">
        <v>245</v>
      </c>
      <c r="AJ163" s="25" t="s">
        <v>186</v>
      </c>
      <c r="AK163" s="4" t="s">
        <v>3603</v>
      </c>
      <c r="AL163" s="25" t="s">
        <v>517</v>
      </c>
      <c r="AM163" s="4" t="s">
        <v>3362</v>
      </c>
      <c r="AN163" s="25" t="s">
        <v>3186</v>
      </c>
      <c r="AO163" s="4" t="s">
        <v>3604</v>
      </c>
      <c r="AP163" s="4"/>
      <c r="AQ163" s="25" t="s">
        <v>235</v>
      </c>
      <c r="AR163" s="26" t="str">
        <f>IF($B163="","",IFERROR(INDEX(Paramètres!$Q$6:$Q$13,MATCH($G163,Paramètres!$P$6:$P$13,0)),""))</f>
        <v>Modélisation du pneu et du contact</v>
      </c>
      <c r="AS163" s="26" t="str">
        <f>IF($B163="","",IFERROR(INDEX(Paramètres!$T$6:$T$11,MATCH($I163,Paramètres!$S$6:$S$11,0)),""))</f>
        <v>mars 2027</v>
      </c>
      <c r="AT163" s="31">
        <f>IF($B163="","",IFERROR(INDEX(Paramètres!$C$27:$C$29,MATCH($H163,Paramètres!$B$27:$B$29,0)),0))</f>
        <v>1</v>
      </c>
      <c r="AU163" s="29"/>
      <c r="AV163" s="32"/>
      <c r="AW163" s="26" t="str">
        <f t="shared" si="39"/>
        <v>sandberg2002tyreroad.md</v>
      </c>
      <c r="AX163" s="26">
        <f>IF($B163="","",COUNTIF($I$2:I163,$I163))</f>
        <v>27</v>
      </c>
      <c r="AY163" s="26" t="str">
        <f t="shared" si="40"/>
        <v>6-27</v>
      </c>
      <c r="AZ163" s="26" t="s">
        <v>3602</v>
      </c>
      <c r="BA163" s="36">
        <f t="shared" ca="1" si="41"/>
        <v>50.008369999999999</v>
      </c>
    </row>
    <row r="164" spans="1:54" ht="38.25" hidden="1" x14ac:dyDescent="0.25">
      <c r="A164" s="25" t="s">
        <v>3605</v>
      </c>
      <c r="B164" s="25" t="s">
        <v>3606</v>
      </c>
      <c r="C164" s="26" t="str">
        <f t="shared" si="35"/>
        <v>ISO (2019)</v>
      </c>
      <c r="D164" s="4" t="s">
        <v>3607</v>
      </c>
      <c r="E164" s="27" t="e">
        <f>IF(OR($B164="",$AF164=""),"",HYPERLINK(IF(AND(Paramètres!$C$13&lt;&gt;"",$AJ164="Éditeur (abonnement)"),Paramètres!$C$13&amp;$AF164,$AF164),"Ouvrir : "&amp;$AE164))</f>
        <v>#VALUE!</v>
      </c>
      <c r="F164" s="28" t="s">
        <v>235</v>
      </c>
      <c r="G164" s="28">
        <v>8</v>
      </c>
      <c r="H164" s="25" t="s">
        <v>338</v>
      </c>
      <c r="I164" s="28">
        <v>6</v>
      </c>
      <c r="J164" s="29" t="s">
        <v>234</v>
      </c>
      <c r="K164" s="26" t="str">
        <f ca="1">IF($B164="","",IF($J164="Lu","Lu",IF($J164="Écarté","Écarté",IF($I164&lt;Paramètres!$C$8,"EN RETARD",IF($I164=Paramètres!$C$8,"Ce mois-ci",IF($I164=Paramètres!$C$8+1,"Mois prochain","À venir"))))))</f>
        <v>À venir</v>
      </c>
      <c r="L164" s="30" t="str">
        <f t="shared" si="36"/>
        <v>Vérification à compléter avant de citer</v>
      </c>
      <c r="M164" s="31">
        <f ca="1">IF($B164="","",IF(OR($J164="Lu",$J164="Écarté"),0,IFERROR(INDEX(Paramètres!$C$17:$C$19,MATCH($H164,Paramètres!$B$17:$B$19,0)),0)+Paramètres!$C$20*(7-$I164)+IF($I164&lt;Paramètres!$C$8,Paramètres!$C$21,0)+IF($F164="Oui",Paramètres!$C$22,0)+IF($AL164&lt;&gt;"Vérifié",Paramètres!$C$23,0)+IF(AND($O164&lt;&gt;"Oui",OR($AJ164="PDF libre",$AJ164="PDF libre (dépôt)")),Paramètres!$C$24,0)))</f>
        <v>80</v>
      </c>
      <c r="N164" s="32"/>
      <c r="O164" s="33" t="str">
        <f ca="1">IF($B164="","Non",HYPERLINK(DossierPDF&amp;$BB164,"Oui"))</f>
        <v>Oui</v>
      </c>
      <c r="P164" s="33" t="s">
        <v>235</v>
      </c>
      <c r="Q164" s="33" t="s">
        <v>235</v>
      </c>
      <c r="R164" s="33"/>
      <c r="S164" s="34"/>
      <c r="T164" s="25" t="s">
        <v>777</v>
      </c>
      <c r="U164" s="26" t="str">
        <f>IF($B164="","",IFERROR(INDEX(Paramètres!$N$6:$N$13,MATCH($T164,Paramètres!$M$6:$M$13,0)),$T164))</f>
        <v>Norme</v>
      </c>
      <c r="V164" s="4" t="s">
        <v>3608</v>
      </c>
      <c r="W164" s="28">
        <v>2019</v>
      </c>
      <c r="X164" s="4"/>
      <c r="Y164" s="25"/>
      <c r="Z164" s="25"/>
      <c r="AA164" s="25"/>
      <c r="AB164" s="25" t="s">
        <v>3608</v>
      </c>
      <c r="AC164" s="25"/>
      <c r="AD164" s="25" t="s">
        <v>3609</v>
      </c>
      <c r="AE164" s="25" t="s">
        <v>341</v>
      </c>
      <c r="AF164" s="35" t="s">
        <v>3610</v>
      </c>
      <c r="AG164" s="27" t="str">
        <f t="shared" si="37"/>
        <v/>
      </c>
      <c r="AH164" s="27" t="e">
        <f t="shared" si="38"/>
        <v>#VALUE!</v>
      </c>
      <c r="AI164" s="28" t="s">
        <v>245</v>
      </c>
      <c r="AJ164" s="25" t="s">
        <v>186</v>
      </c>
      <c r="AK164" s="4" t="s">
        <v>3611</v>
      </c>
      <c r="AL164" s="25" t="s">
        <v>517</v>
      </c>
      <c r="AM164" s="4" t="s">
        <v>3612</v>
      </c>
      <c r="AN164" s="25" t="s">
        <v>3186</v>
      </c>
      <c r="AO164" s="4" t="s">
        <v>3613</v>
      </c>
      <c r="AP164" s="4"/>
      <c r="AQ164" s="25" t="s">
        <v>233</v>
      </c>
      <c r="AR164" s="26" t="str">
        <f>IF($B164="","",IFERROR(INDEX(Paramètres!$Q$6:$Q$13,MATCH($G164,Paramètres!$P$6:$P$13,0)),""))</f>
        <v>Littérature grise et normative</v>
      </c>
      <c r="AS164" s="26" t="str">
        <f>IF($B164="","",IFERROR(INDEX(Paramètres!$T$6:$T$11,MATCH($I164,Paramètres!$S$6:$S$11,0)),""))</f>
        <v>mars 2027</v>
      </c>
      <c r="AT164" s="31">
        <f>IF($B164="","",IFERROR(INDEX(Paramètres!$C$27:$C$29,MATCH($H164,Paramètres!$B$27:$B$29,0)),0))</f>
        <v>3</v>
      </c>
      <c r="AU164" s="29"/>
      <c r="AV164" s="32"/>
      <c r="AW164" s="26" t="str">
        <f t="shared" si="39"/>
        <v>iso2019_13473_1.md</v>
      </c>
      <c r="AX164" s="26">
        <f>IF($B164="","",COUNTIF($I$2:I164,$I164))</f>
        <v>28</v>
      </c>
      <c r="AY164" s="26" t="str">
        <f t="shared" si="40"/>
        <v>6-28</v>
      </c>
      <c r="AZ164" s="26" t="s">
        <v>3610</v>
      </c>
      <c r="BA164" s="36">
        <f t="shared" ca="1" si="41"/>
        <v>80.008359999999996</v>
      </c>
    </row>
    <row r="165" spans="1:54" ht="38.25" hidden="1" x14ac:dyDescent="0.25">
      <c r="A165" s="25" t="s">
        <v>3614</v>
      </c>
      <c r="B165" s="25" t="s">
        <v>3615</v>
      </c>
      <c r="C165" s="26" t="str">
        <f t="shared" si="35"/>
        <v>ISO (2008)</v>
      </c>
      <c r="D165" s="4" t="s">
        <v>3616</v>
      </c>
      <c r="E165" s="27" t="str">
        <f>IF(OR($B165="",$AF165=""),"",HYPERLINK(IF(AND(Paramètres!$C$13&lt;&gt;"",$AJ165="Éditeur (abonnement)"),Paramètres!$C$13&amp;$AF165,$AF165),"Ouvrir : "&amp;$AE165))</f>
        <v>Ouvrir : Recherche Google Scholar</v>
      </c>
      <c r="F165" s="28" t="s">
        <v>235</v>
      </c>
      <c r="G165" s="28">
        <v>8</v>
      </c>
      <c r="H165" s="25" t="s">
        <v>405</v>
      </c>
      <c r="I165" s="28">
        <v>6</v>
      </c>
      <c r="J165" s="29" t="s">
        <v>234</v>
      </c>
      <c r="K165" s="26" t="str">
        <f ca="1">IF($B165="","",IF($J165="Lu","Lu",IF($J165="Écarté","Écarté",IF($I165&lt;Paramètres!$C$8,"EN RETARD",IF($I165=Paramètres!$C$8,"Ce mois-ci",IF($I165=Paramètres!$C$8+1,"Mois prochain","À venir"))))))</f>
        <v>À venir</v>
      </c>
      <c r="L165" s="30" t="str">
        <f t="shared" si="36"/>
        <v>Vérification à compléter avant de citer</v>
      </c>
      <c r="M165" s="31">
        <f ca="1">IF($B165="","",IF(OR($J165="Lu",$J165="Écarté"),0,IFERROR(INDEX(Paramètres!$C$17:$C$19,MATCH($H165,Paramètres!$B$17:$B$19,0)),0)+Paramètres!$C$20*(7-$I165)+IF($I165&lt;Paramètres!$C$8,Paramètres!$C$21,0)+IF($F165="Oui",Paramètres!$C$22,0)+IF($AL165&lt;&gt;"Vérifié",Paramètres!$C$23,0)+IF(AND($O165&lt;&gt;"Oui",OR($AJ165="PDF libre",$AJ165="PDF libre (dépôt)")),Paramètres!$C$24,0)))</f>
        <v>50</v>
      </c>
      <c r="N165" s="32"/>
      <c r="O165" s="33" t="str">
        <f ca="1">IF($B165="","Non",HYPERLINK(DossierPDF&amp;$BB165,"Oui"))</f>
        <v>Oui</v>
      </c>
      <c r="P165" s="33" t="s">
        <v>235</v>
      </c>
      <c r="Q165" s="33" t="s">
        <v>235</v>
      </c>
      <c r="R165" s="33"/>
      <c r="S165" s="34"/>
      <c r="T165" s="25" t="s">
        <v>777</v>
      </c>
      <c r="U165" s="26" t="str">
        <f>IF($B165="","",IFERROR(INDEX(Paramètres!$N$6:$N$13,MATCH($T165,Paramètres!$M$6:$M$13,0)),$T165))</f>
        <v>Norme</v>
      </c>
      <c r="V165" s="4" t="s">
        <v>3608</v>
      </c>
      <c r="W165" s="28">
        <v>2008</v>
      </c>
      <c r="X165" s="4"/>
      <c r="Y165" s="25"/>
      <c r="Z165" s="25"/>
      <c r="AA165" s="25"/>
      <c r="AB165" s="25" t="s">
        <v>3608</v>
      </c>
      <c r="AC165" s="25"/>
      <c r="AD165" s="25" t="s">
        <v>3617</v>
      </c>
      <c r="AE165" s="25" t="s">
        <v>341</v>
      </c>
      <c r="AF165" s="35" t="s">
        <v>3618</v>
      </c>
      <c r="AG165" s="27" t="str">
        <f t="shared" si="37"/>
        <v/>
      </c>
      <c r="AH165" s="27" t="str">
        <f t="shared" si="38"/>
        <v>Scholar</v>
      </c>
      <c r="AI165" s="28" t="s">
        <v>245</v>
      </c>
      <c r="AJ165" s="25" t="s">
        <v>186</v>
      </c>
      <c r="AK165" s="4" t="s">
        <v>3611</v>
      </c>
      <c r="AL165" s="25" t="s">
        <v>517</v>
      </c>
      <c r="AM165" s="4" t="s">
        <v>3619</v>
      </c>
      <c r="AN165" s="25" t="s">
        <v>3186</v>
      </c>
      <c r="AO165" s="4" t="s">
        <v>3620</v>
      </c>
      <c r="AP165" s="4"/>
      <c r="AQ165" s="25" t="s">
        <v>233</v>
      </c>
      <c r="AR165" s="26" t="str">
        <f>IF($B165="","",IFERROR(INDEX(Paramètres!$Q$6:$Q$13,MATCH($G165,Paramètres!$P$6:$P$13,0)),""))</f>
        <v>Littérature grise et normative</v>
      </c>
      <c r="AS165" s="26" t="str">
        <f>IF($B165="","",IFERROR(INDEX(Paramètres!$T$6:$T$11,MATCH($I165,Paramètres!$S$6:$S$11,0)),""))</f>
        <v>mars 2027</v>
      </c>
      <c r="AT165" s="31">
        <f>IF($B165="","",IFERROR(INDEX(Paramètres!$C$27:$C$29,MATCH($H165,Paramètres!$B$27:$B$29,0)),0))</f>
        <v>1</v>
      </c>
      <c r="AU165" s="29"/>
      <c r="AV165" s="32"/>
      <c r="AW165" s="26" t="str">
        <f t="shared" si="39"/>
        <v>iso13473_4.md</v>
      </c>
      <c r="AX165" s="26">
        <f>IF($B165="","",COUNTIF($I$2:I165,$I165))</f>
        <v>29</v>
      </c>
      <c r="AY165" s="26" t="str">
        <f t="shared" si="40"/>
        <v>6-29</v>
      </c>
      <c r="AZ165" s="26" t="s">
        <v>3618</v>
      </c>
      <c r="BA165" s="36">
        <f t="shared" ca="1" si="41"/>
        <v>50.00835</v>
      </c>
    </row>
    <row r="166" spans="1:54" ht="38.25" hidden="1" x14ac:dyDescent="0.25">
      <c r="A166" s="25" t="s">
        <v>3621</v>
      </c>
      <c r="B166" s="25" t="s">
        <v>3622</v>
      </c>
      <c r="C166" s="26" t="str">
        <f t="shared" si="35"/>
        <v>ASTM International (2015)</v>
      </c>
      <c r="D166" s="4" t="s">
        <v>3623</v>
      </c>
      <c r="E166" s="27" t="str">
        <f>IF(OR($B166="",$AF166=""),"",HYPERLINK(IF(AND(Paramètres!$C$13&lt;&gt;"",$AJ166="Éditeur (abonnement)"),Paramètres!$C$13&amp;$AF166,$AF166),"Ouvrir : "&amp;$AE166))</f>
        <v>Ouvrir : Recherche Google Scholar</v>
      </c>
      <c r="F166" s="28" t="s">
        <v>235</v>
      </c>
      <c r="G166" s="28">
        <v>8</v>
      </c>
      <c r="H166" s="25" t="s">
        <v>405</v>
      </c>
      <c r="I166" s="28">
        <v>6</v>
      </c>
      <c r="J166" s="29" t="s">
        <v>234</v>
      </c>
      <c r="K166" s="26" t="str">
        <f ca="1">IF($B166="","",IF($J166="Lu","Lu",IF($J166="Écarté","Écarté",IF($I166&lt;Paramètres!$C$8,"EN RETARD",IF($I166=Paramètres!$C$8,"Ce mois-ci",IF($I166=Paramètres!$C$8+1,"Mois prochain","À venir"))))))</f>
        <v>À venir</v>
      </c>
      <c r="L166" s="30" t="str">
        <f t="shared" si="36"/>
        <v>Vérification à compléter avant de citer</v>
      </c>
      <c r="M166" s="31">
        <f ca="1">IF($B166="","",IF(OR($J166="Lu",$J166="Écarté"),0,IFERROR(INDEX(Paramètres!$C$17:$C$19,MATCH($H166,Paramètres!$B$17:$B$19,0)),0)+Paramètres!$C$20*(7-$I166)+IF($I166&lt;Paramètres!$C$8,Paramètres!$C$21,0)+IF($F166="Oui",Paramètres!$C$22,0)+IF($AL166&lt;&gt;"Vérifié",Paramètres!$C$23,0)+IF(AND($O166&lt;&gt;"Oui",OR($AJ166="PDF libre",$AJ166="PDF libre (dépôt)")),Paramètres!$C$24,0)))</f>
        <v>50</v>
      </c>
      <c r="N166" s="32"/>
      <c r="O166" s="33" t="str">
        <f ca="1">IF($B166="","Non",HYPERLINK(DossierPDF&amp;$BB166,"Oui"))</f>
        <v>Oui</v>
      </c>
      <c r="P166" s="33" t="s">
        <v>235</v>
      </c>
      <c r="Q166" s="33" t="s">
        <v>235</v>
      </c>
      <c r="R166" s="33"/>
      <c r="S166" s="34"/>
      <c r="T166" s="25" t="s">
        <v>777</v>
      </c>
      <c r="U166" s="26" t="str">
        <f>IF($B166="","",IFERROR(INDEX(Paramètres!$N$6:$N$13,MATCH($T166,Paramètres!$M$6:$M$13,0)),$T166))</f>
        <v>Norme</v>
      </c>
      <c r="V166" s="4" t="s">
        <v>3624</v>
      </c>
      <c r="W166" s="28">
        <v>2015</v>
      </c>
      <c r="X166" s="4"/>
      <c r="Y166" s="25"/>
      <c r="Z166" s="25"/>
      <c r="AA166" s="25"/>
      <c r="AB166" s="25" t="s">
        <v>3624</v>
      </c>
      <c r="AC166" s="25"/>
      <c r="AD166" s="25" t="s">
        <v>3625</v>
      </c>
      <c r="AE166" s="25" t="s">
        <v>341</v>
      </c>
      <c r="AF166" s="35" t="s">
        <v>3626</v>
      </c>
      <c r="AG166" s="27" t="str">
        <f t="shared" si="37"/>
        <v/>
      </c>
      <c r="AH166" s="27" t="str">
        <f t="shared" si="38"/>
        <v>Scholar</v>
      </c>
      <c r="AI166" s="28" t="s">
        <v>245</v>
      </c>
      <c r="AJ166" s="25" t="s">
        <v>186</v>
      </c>
      <c r="AK166" s="4" t="s">
        <v>3627</v>
      </c>
      <c r="AL166" s="25" t="s">
        <v>517</v>
      </c>
      <c r="AM166" s="4" t="s">
        <v>3628</v>
      </c>
      <c r="AN166" s="25" t="s">
        <v>3186</v>
      </c>
      <c r="AO166" s="4" t="s">
        <v>3629</v>
      </c>
      <c r="AP166" s="4"/>
      <c r="AQ166" s="25" t="s">
        <v>233</v>
      </c>
      <c r="AR166" s="26" t="str">
        <f>IF($B166="","",IFERROR(INDEX(Paramètres!$Q$6:$Q$13,MATCH($G166,Paramètres!$P$6:$P$13,0)),""))</f>
        <v>Littérature grise et normative</v>
      </c>
      <c r="AS166" s="26" t="str">
        <f>IF($B166="","",IFERROR(INDEX(Paramètres!$T$6:$T$11,MATCH($I166,Paramètres!$S$6:$S$11,0)),""))</f>
        <v>mars 2027</v>
      </c>
      <c r="AT166" s="31">
        <f>IF($B166="","",IFERROR(INDEX(Paramètres!$C$27:$C$29,MATCH($H166,Paramètres!$B$27:$B$29,0)),0))</f>
        <v>1</v>
      </c>
      <c r="AU166" s="29"/>
      <c r="AV166" s="32"/>
      <c r="AW166" s="26" t="str">
        <f t="shared" si="39"/>
        <v>astm_e1845.md</v>
      </c>
      <c r="AX166" s="26">
        <f>IF($B166="","",COUNTIF($I$2:I166,$I166))</f>
        <v>30</v>
      </c>
      <c r="AY166" s="26" t="str">
        <f t="shared" si="40"/>
        <v>6-30</v>
      </c>
      <c r="AZ166" s="26" t="s">
        <v>3626</v>
      </c>
      <c r="BA166" s="36">
        <f t="shared" ca="1" si="41"/>
        <v>50.008339999999997</v>
      </c>
    </row>
    <row r="167" spans="1:54" ht="38.25" hidden="1" x14ac:dyDescent="0.25">
      <c r="A167" s="25" t="s">
        <v>3630</v>
      </c>
      <c r="B167" s="25" t="s">
        <v>3631</v>
      </c>
      <c r="C167" s="26" t="str">
        <f t="shared" si="35"/>
        <v>ASTM International (2015)</v>
      </c>
      <c r="D167" s="4" t="s">
        <v>3632</v>
      </c>
      <c r="E167" s="27" t="str">
        <f>IF(OR($B167="",$AF167=""),"",HYPERLINK(IF(AND(Paramètres!$C$13&lt;&gt;"",$AJ167="Éditeur (abonnement)"),Paramètres!$C$13&amp;$AF167,$AF167),"Ouvrir : "&amp;$AE167))</f>
        <v>Ouvrir : Recherche Google Scholar</v>
      </c>
      <c r="F167" s="28" t="s">
        <v>235</v>
      </c>
      <c r="G167" s="28">
        <v>8</v>
      </c>
      <c r="H167" s="25" t="s">
        <v>405</v>
      </c>
      <c r="I167" s="28">
        <v>6</v>
      </c>
      <c r="J167" s="29" t="s">
        <v>234</v>
      </c>
      <c r="K167" s="26" t="str">
        <f ca="1">IF($B167="","",IF($J167="Lu","Lu",IF($J167="Écarté","Écarté",IF($I167&lt;Paramètres!$C$8,"EN RETARD",IF($I167=Paramètres!$C$8,"Ce mois-ci",IF($I167=Paramètres!$C$8+1,"Mois prochain","À venir"))))))</f>
        <v>À venir</v>
      </c>
      <c r="L167" s="30" t="str">
        <f t="shared" si="36"/>
        <v>Vérification à compléter avant de citer</v>
      </c>
      <c r="M167" s="31">
        <f ca="1">IF($B167="","",IF(OR($J167="Lu",$J167="Écarté"),0,IFERROR(INDEX(Paramètres!$C$17:$C$19,MATCH($H167,Paramètres!$B$17:$B$19,0)),0)+Paramètres!$C$20*(7-$I167)+IF($I167&lt;Paramètres!$C$8,Paramètres!$C$21,0)+IF($F167="Oui",Paramètres!$C$22,0)+IF($AL167&lt;&gt;"Vérifié",Paramètres!$C$23,0)+IF(AND($O167&lt;&gt;"Oui",OR($AJ167="PDF libre",$AJ167="PDF libre (dépôt)")),Paramètres!$C$24,0)))</f>
        <v>50</v>
      </c>
      <c r="N167" s="32"/>
      <c r="O167" s="33" t="str">
        <f ca="1">IF($B167="","Non",HYPERLINK(DossierPDF&amp;$BB167,"Oui"))</f>
        <v>Oui</v>
      </c>
      <c r="P167" s="33" t="s">
        <v>235</v>
      </c>
      <c r="Q167" s="33" t="s">
        <v>235</v>
      </c>
      <c r="R167" s="33"/>
      <c r="S167" s="34"/>
      <c r="T167" s="25" t="s">
        <v>777</v>
      </c>
      <c r="U167" s="26" t="str">
        <f>IF($B167="","",IFERROR(INDEX(Paramètres!$N$6:$N$13,MATCH($T167,Paramètres!$M$6:$M$13,0)),$T167))</f>
        <v>Norme</v>
      </c>
      <c r="V167" s="4" t="s">
        <v>3624</v>
      </c>
      <c r="W167" s="28">
        <v>2015</v>
      </c>
      <c r="X167" s="4"/>
      <c r="Y167" s="25"/>
      <c r="Z167" s="25"/>
      <c r="AA167" s="25"/>
      <c r="AB167" s="25" t="s">
        <v>3624</v>
      </c>
      <c r="AC167" s="25"/>
      <c r="AD167" s="25" t="s">
        <v>3633</v>
      </c>
      <c r="AE167" s="25" t="s">
        <v>341</v>
      </c>
      <c r="AF167" s="35" t="s">
        <v>3634</v>
      </c>
      <c r="AG167" s="27" t="str">
        <f t="shared" si="37"/>
        <v/>
      </c>
      <c r="AH167" s="27" t="str">
        <f t="shared" si="38"/>
        <v>Scholar</v>
      </c>
      <c r="AI167" s="28" t="s">
        <v>245</v>
      </c>
      <c r="AJ167" s="25" t="s">
        <v>186</v>
      </c>
      <c r="AK167" s="4" t="s">
        <v>3627</v>
      </c>
      <c r="AL167" s="25" t="s">
        <v>517</v>
      </c>
      <c r="AM167" s="4" t="s">
        <v>3628</v>
      </c>
      <c r="AN167" s="25" t="s">
        <v>3186</v>
      </c>
      <c r="AO167" s="4" t="s">
        <v>3635</v>
      </c>
      <c r="AP167" s="4"/>
      <c r="AQ167" s="25" t="s">
        <v>233</v>
      </c>
      <c r="AR167" s="26" t="str">
        <f>IF($B167="","",IFERROR(INDEX(Paramètres!$Q$6:$Q$13,MATCH($G167,Paramètres!$P$6:$P$13,0)),""))</f>
        <v>Littérature grise et normative</v>
      </c>
      <c r="AS167" s="26" t="str">
        <f>IF($B167="","",IFERROR(INDEX(Paramètres!$T$6:$T$11,MATCH($I167,Paramètres!$S$6:$S$11,0)),""))</f>
        <v>mars 2027</v>
      </c>
      <c r="AT167" s="31">
        <f>IF($B167="","",IFERROR(INDEX(Paramètres!$C$27:$C$29,MATCH($H167,Paramètres!$B$27:$B$29,0)),0))</f>
        <v>1</v>
      </c>
      <c r="AU167" s="29"/>
      <c r="AV167" s="32"/>
      <c r="AW167" s="26" t="str">
        <f t="shared" si="39"/>
        <v>astm_e965.md</v>
      </c>
      <c r="AX167" s="26">
        <f>IF($B167="","",COUNTIF($I$2:I167,$I167))</f>
        <v>31</v>
      </c>
      <c r="AY167" s="26" t="str">
        <f t="shared" si="40"/>
        <v>6-31</v>
      </c>
      <c r="AZ167" s="26" t="s">
        <v>3634</v>
      </c>
      <c r="BA167" s="36">
        <f t="shared" ca="1" si="41"/>
        <v>50.008330000000001</v>
      </c>
    </row>
    <row r="168" spans="1:54" ht="25.5" hidden="1" x14ac:dyDescent="0.25">
      <c r="A168" s="25" t="s">
        <v>3636</v>
      </c>
      <c r="B168" s="25" t="s">
        <v>3637</v>
      </c>
      <c r="C168" s="26" t="str">
        <f t="shared" si="35"/>
        <v>FAA (1997)</v>
      </c>
      <c r="D168" s="4" t="s">
        <v>3638</v>
      </c>
      <c r="E168" s="27" t="str">
        <f>IF(OR($B168="",$AF168=""),"",HYPERLINK(IF(AND(Paramètres!$C$13&lt;&gt;"",$AJ168="Éditeur (abonnement)"),Paramètres!$C$13&amp;$AF168,$AF168),"Ouvrir : "&amp;$AE168))</f>
        <v>Ouvrir : Texte intégral libre</v>
      </c>
      <c r="F168" s="28" t="s">
        <v>235</v>
      </c>
      <c r="G168" s="28">
        <v>7</v>
      </c>
      <c r="H168" s="25" t="s">
        <v>122</v>
      </c>
      <c r="I168" s="28">
        <v>1</v>
      </c>
      <c r="J168" s="29" t="s">
        <v>234</v>
      </c>
      <c r="K168" s="26" t="str">
        <f ca="1">IF($B168="","",IF($J168="Lu","Lu",IF($J168="Écarté","Écarté",IF($I168&lt;Paramètres!$C$8,"EN RETARD",IF($I168=Paramètres!$C$8,"Ce mois-ci",IF($I168=Paramètres!$C$8+1,"Mois prochain","À venir"))))))</f>
        <v>Ce mois-ci</v>
      </c>
      <c r="L168" s="30" t="str">
        <f t="shared" ca="1" si="36"/>
        <v/>
      </c>
      <c r="M168" s="31">
        <f ca="1">IF($B168="","",IF(OR($J168="Lu",$J168="Écarté"),0,IFERROR(INDEX(Paramètres!$C$17:$C$19,MATCH($H168,Paramètres!$B$17:$B$19,0)),0)+Paramètres!$C$20*(7-$I168)+IF($I168&lt;Paramètres!$C$8,Paramètres!$C$21,0)+IF($F168="Oui",Paramètres!$C$22,0)+IF($AL168&lt;&gt;"Vérifié",Paramètres!$C$23,0)+IF(AND($O168&lt;&gt;"Oui",OR($AJ168="PDF libre",$AJ168="PDF libre (dépôt)")),Paramètres!$C$24,0)))</f>
        <v>130</v>
      </c>
      <c r="N168" s="32"/>
      <c r="O168" s="33" t="str">
        <f ca="1">IF($B168="","Non",HYPERLINK(DossierPDF&amp;$BB168,"Oui"))</f>
        <v>Oui</v>
      </c>
      <c r="P168" s="33" t="s">
        <v>235</v>
      </c>
      <c r="Q168" s="33" t="s">
        <v>235</v>
      </c>
      <c r="R168" s="33"/>
      <c r="S168" s="34"/>
      <c r="T168" s="25" t="s">
        <v>271</v>
      </c>
      <c r="U168" s="26" t="str">
        <f>IF($B168="","",IFERROR(INDEX(Paramètres!$N$6:$N$13,MATCH($T168,Paramètres!$M$6:$M$13,0)),$T168))</f>
        <v>Rapport</v>
      </c>
      <c r="V168" s="4" t="s">
        <v>1519</v>
      </c>
      <c r="W168" s="28">
        <v>1997</v>
      </c>
      <c r="X168" s="4"/>
      <c r="Y168" s="25"/>
      <c r="Z168" s="25"/>
      <c r="AA168" s="25"/>
      <c r="AB168" s="25" t="s">
        <v>3639</v>
      </c>
      <c r="AC168" s="25" t="s">
        <v>3640</v>
      </c>
      <c r="AD168" s="25" t="s">
        <v>3641</v>
      </c>
      <c r="AE168" s="25" t="s">
        <v>275</v>
      </c>
      <c r="AF168" s="35" t="s">
        <v>3642</v>
      </c>
      <c r="AG168" s="27" t="str">
        <f t="shared" si="37"/>
        <v>doi.org</v>
      </c>
      <c r="AH168" s="27" t="str">
        <f t="shared" si="38"/>
        <v>Scholar</v>
      </c>
      <c r="AI168" s="28" t="s">
        <v>277</v>
      </c>
      <c r="AJ168" s="25" t="s">
        <v>183</v>
      </c>
      <c r="AK168" s="4" t="s">
        <v>3643</v>
      </c>
      <c r="AL168" s="25" t="s">
        <v>247</v>
      </c>
      <c r="AM168" s="4" t="s">
        <v>3644</v>
      </c>
      <c r="AN168" s="25" t="s">
        <v>3186</v>
      </c>
      <c r="AO168" s="4" t="s">
        <v>3645</v>
      </c>
      <c r="AP168" s="4" t="s">
        <v>1566</v>
      </c>
      <c r="AQ168" s="25" t="s">
        <v>233</v>
      </c>
      <c r="AR168" s="26" t="str">
        <f>IF($B168="","",IFERROR(INDEX(Paramètres!$Q$6:$Q$13,MATCH($G168,Paramètres!$P$6:$P$13,0)),""))</f>
        <v>Chaussées aéronautiques</v>
      </c>
      <c r="AS168" s="26" t="str">
        <f>IF($B168="","",IFERROR(INDEX(Paramètres!$T$6:$T$11,MATCH($I168,Paramètres!$S$6:$S$11,0)),""))</f>
        <v>octobre 2026</v>
      </c>
      <c r="AT168" s="31">
        <f>IF($B168="","",IFERROR(INDEX(Paramètres!$C$27:$C$29,MATCH($H168,Paramètres!$B$27:$B$29,0)),0))</f>
        <v>6</v>
      </c>
      <c r="AU168" s="29"/>
      <c r="AV168" s="32"/>
      <c r="AW168" s="26" t="str">
        <f t="shared" si="39"/>
        <v>faa1997ac532012c.md</v>
      </c>
      <c r="AX168" s="26">
        <f>IF($B168="","",COUNTIF($I$2:I168,$I168))</f>
        <v>19</v>
      </c>
      <c r="AY168" s="26" t="str">
        <f t="shared" si="40"/>
        <v>1-19</v>
      </c>
      <c r="AZ168" s="26" t="s">
        <v>3646</v>
      </c>
      <c r="BA168" s="36">
        <f t="shared" ca="1" si="41"/>
        <v>130.00832</v>
      </c>
      <c r="BB168" t="s">
        <v>4127</v>
      </c>
    </row>
    <row r="169" spans="1:54" ht="102" hidden="1" x14ac:dyDescent="0.25">
      <c r="A169" s="25" t="s">
        <v>3647</v>
      </c>
      <c r="B169" s="25" t="s">
        <v>3648</v>
      </c>
      <c r="C169" s="26" t="str">
        <f t="shared" si="35"/>
        <v>Fabre et al. (2009)</v>
      </c>
      <c r="D169" s="4" t="s">
        <v>3649</v>
      </c>
      <c r="E169" s="27" t="str">
        <f>IF(OR($B169="",$AF169=""),"",HYPERLINK(IF(AND(Paramètres!$C$13&lt;&gt;"",$AJ169="Éditeur (abonnement)"),Paramètres!$C$13&amp;$AF169,$AF169),"Ouvrir : "&amp;$AE169))</f>
        <v>Ouvrir : Texte intégral (dépôt)</v>
      </c>
      <c r="F169" s="28" t="s">
        <v>235</v>
      </c>
      <c r="G169" s="28">
        <v>7</v>
      </c>
      <c r="H169" s="25" t="s">
        <v>338</v>
      </c>
      <c r="I169" s="28">
        <v>1</v>
      </c>
      <c r="J169" s="29" t="s">
        <v>234</v>
      </c>
      <c r="K169" s="26" t="str">
        <f ca="1">IF($B169="","",IF($J169="Lu","Lu",IF($J169="Écarté","Écarté",IF($I169&lt;Paramètres!$C$8,"EN RETARD",IF($I169=Paramètres!$C$8,"Ce mois-ci",IF($I169=Paramètres!$C$8+1,"Mois prochain","À venir"))))))</f>
        <v>Ce mois-ci</v>
      </c>
      <c r="L169" s="30" t="str">
        <f t="shared" ca="1" si="36"/>
        <v/>
      </c>
      <c r="M169" s="31">
        <f ca="1">IF($B169="","",IF(OR($J169="Lu",$J169="Écarté"),0,IFERROR(INDEX(Paramètres!$C$17:$C$19,MATCH($H169,Paramètres!$B$17:$B$19,0)),0)+Paramètres!$C$20*(7-$I169)+IF($I169&lt;Paramètres!$C$8,Paramètres!$C$21,0)+IF($F169="Oui",Paramètres!$C$22,0)+IF($AL169&lt;&gt;"Vérifié",Paramètres!$C$23,0)+IF(AND($O169&lt;&gt;"Oui",OR($AJ169="PDF libre",$AJ169="PDF libre (dépôt)")),Paramètres!$C$24,0)))</f>
        <v>90</v>
      </c>
      <c r="N169" s="32"/>
      <c r="O169" s="33" t="str">
        <f ca="1">IF($B169="","Non",HYPERLINK(DossierPDF&amp;$BB169,"Oui"))</f>
        <v>Oui</v>
      </c>
      <c r="P169" s="33" t="s">
        <v>235</v>
      </c>
      <c r="Q169" s="33" t="s">
        <v>235</v>
      </c>
      <c r="R169" s="33"/>
      <c r="S169" s="34"/>
      <c r="T169" s="25" t="s">
        <v>286</v>
      </c>
      <c r="U169" s="26" t="str">
        <f>IF($B169="","",IFERROR(INDEX(Paramètres!$N$6:$N$13,MATCH($T169,Paramètres!$M$6:$M$13,0)),$T169))</f>
        <v>Communication (actes)</v>
      </c>
      <c r="V169" s="4" t="s">
        <v>3650</v>
      </c>
      <c r="W169" s="28">
        <v>2009</v>
      </c>
      <c r="X169" s="4" t="s">
        <v>3651</v>
      </c>
      <c r="Y169" s="25"/>
      <c r="Z169" s="25"/>
      <c r="AA169" s="25"/>
      <c r="AB169" s="25"/>
      <c r="AC169" s="25"/>
      <c r="AD169" s="25" t="s">
        <v>3652</v>
      </c>
      <c r="AE169" s="25" t="s">
        <v>355</v>
      </c>
      <c r="AF169" s="35" t="s">
        <v>3653</v>
      </c>
      <c r="AG169" s="27" t="str">
        <f t="shared" si="37"/>
        <v/>
      </c>
      <c r="AH169" s="27" t="str">
        <f t="shared" si="38"/>
        <v>Scholar</v>
      </c>
      <c r="AI169" s="28" t="s">
        <v>277</v>
      </c>
      <c r="AJ169" s="25" t="s">
        <v>184</v>
      </c>
      <c r="AK169" s="4" t="s">
        <v>3654</v>
      </c>
      <c r="AL169" s="25" t="s">
        <v>247</v>
      </c>
      <c r="AM169" s="4" t="s">
        <v>3655</v>
      </c>
      <c r="AN169" s="25" t="s">
        <v>3186</v>
      </c>
      <c r="AO169" s="4" t="s">
        <v>3656</v>
      </c>
      <c r="AP169" s="4" t="s">
        <v>3657</v>
      </c>
      <c r="AQ169" s="25" t="s">
        <v>235</v>
      </c>
      <c r="AR169" s="26" t="str">
        <f>IF($B169="","",IFERROR(INDEX(Paramètres!$Q$6:$Q$13,MATCH($G169,Paramètres!$P$6:$P$13,0)),""))</f>
        <v>Chaussées aéronautiques</v>
      </c>
      <c r="AS169" s="26" t="str">
        <f>IF($B169="","",IFERROR(INDEX(Paramètres!$T$6:$T$11,MATCH($I169,Paramètres!$S$6:$S$11,0)),""))</f>
        <v>octobre 2026</v>
      </c>
      <c r="AT169" s="31">
        <f>IF($B169="","",IFERROR(INDEX(Paramètres!$C$27:$C$29,MATCH($H169,Paramètres!$B$27:$B$29,0)),0))</f>
        <v>3</v>
      </c>
      <c r="AU169" s="29"/>
      <c r="AV169" s="32"/>
      <c r="AW169" s="26" t="str">
        <f t="shared" si="39"/>
        <v>fabre2009fullscale.md</v>
      </c>
      <c r="AX169" s="26">
        <f>IF($B169="","",COUNTIF($I$2:I169,$I169))</f>
        <v>20</v>
      </c>
      <c r="AY169" s="26" t="str">
        <f t="shared" si="40"/>
        <v>1-20</v>
      </c>
      <c r="AZ169" s="26" t="s">
        <v>3658</v>
      </c>
      <c r="BA169" s="36">
        <f t="shared" ca="1" si="41"/>
        <v>90.008309999999994</v>
      </c>
    </row>
    <row r="170" spans="1:54" ht="127.5" hidden="1" x14ac:dyDescent="0.25">
      <c r="A170" s="25" t="s">
        <v>3659</v>
      </c>
      <c r="B170" s="25" t="s">
        <v>3660</v>
      </c>
      <c r="C170" s="26" t="str">
        <f t="shared" si="35"/>
        <v>Roussel et al. (2022)</v>
      </c>
      <c r="D170" s="4" t="s">
        <v>3661</v>
      </c>
      <c r="E170" s="27" t="str">
        <f>IF(OR($B170="",$AF170=""),"",HYPERLINK(IF(AND(Paramètres!$C$13&lt;&gt;"",$AJ170="Éditeur (abonnement)"),Paramètres!$C$13&amp;$AF170,$AF170),"Ouvrir : "&amp;$AE170))</f>
        <v>Ouvrir : Recherche Google Scholar</v>
      </c>
      <c r="F170" s="28" t="s">
        <v>235</v>
      </c>
      <c r="G170" s="28">
        <v>7</v>
      </c>
      <c r="H170" s="25" t="s">
        <v>338</v>
      </c>
      <c r="I170" s="28">
        <v>6</v>
      </c>
      <c r="J170" s="29" t="s">
        <v>234</v>
      </c>
      <c r="K170" s="26" t="str">
        <f ca="1">IF($B170="","",IF($J170="Lu","Lu",IF($J170="Écarté","Écarté",IF($I170&lt;Paramètres!$C$8,"EN RETARD",IF($I170=Paramètres!$C$8,"Ce mois-ci",IF($I170=Paramètres!$C$8+1,"Mois prochain","À venir"))))))</f>
        <v>À venir</v>
      </c>
      <c r="L170" s="30" t="str">
        <f t="shared" si="36"/>
        <v>Vérification à compléter avant de citer</v>
      </c>
      <c r="M170" s="31">
        <f ca="1">IF($B170="","",IF(OR($J170="Lu",$J170="Écarté"),0,IFERROR(INDEX(Paramètres!$C$17:$C$19,MATCH($H170,Paramètres!$B$17:$B$19,0)),0)+Paramètres!$C$20*(7-$I170)+IF($I170&lt;Paramètres!$C$8,Paramètres!$C$21,0)+IF($F170="Oui",Paramètres!$C$22,0)+IF($AL170&lt;&gt;"Vérifié",Paramètres!$C$23,0)+IF(AND($O170&lt;&gt;"Oui",OR($AJ170="PDF libre",$AJ170="PDF libre (dépôt)")),Paramètres!$C$24,0)))</f>
        <v>80</v>
      </c>
      <c r="N170" s="32"/>
      <c r="O170" s="33" t="str">
        <f ca="1">IF($B170="","Non",HYPERLINK(DossierPDF&amp;$BB170,"Oui"))</f>
        <v>Oui</v>
      </c>
      <c r="P170" s="33" t="s">
        <v>235</v>
      </c>
      <c r="Q170" s="33" t="s">
        <v>235</v>
      </c>
      <c r="R170" s="33"/>
      <c r="S170" s="34"/>
      <c r="T170" s="25" t="s">
        <v>236</v>
      </c>
      <c r="U170" s="26" t="str">
        <f>IF($B170="","",IFERROR(INDEX(Paramètres!$N$6:$N$13,MATCH($T170,Paramètres!$M$6:$M$13,0)),$T170))</f>
        <v>Article de revue</v>
      </c>
      <c r="V170" s="4" t="s">
        <v>3662</v>
      </c>
      <c r="W170" s="28">
        <v>2022</v>
      </c>
      <c r="X170" s="4" t="s">
        <v>3663</v>
      </c>
      <c r="Y170" s="25" t="s">
        <v>1585</v>
      </c>
      <c r="Z170" s="25"/>
      <c r="AA170" s="25"/>
      <c r="AB170" s="25"/>
      <c r="AC170" s="25"/>
      <c r="AD170" s="25"/>
      <c r="AE170" s="25" t="s">
        <v>341</v>
      </c>
      <c r="AF170" s="35" t="s">
        <v>3664</v>
      </c>
      <c r="AG170" s="27" t="str">
        <f t="shared" si="37"/>
        <v/>
      </c>
      <c r="AH170" s="27" t="str">
        <f t="shared" si="38"/>
        <v>Scholar</v>
      </c>
      <c r="AI170" s="28" t="s">
        <v>245</v>
      </c>
      <c r="AJ170" s="25" t="s">
        <v>186</v>
      </c>
      <c r="AK170" s="4" t="s">
        <v>3665</v>
      </c>
      <c r="AL170" s="25" t="s">
        <v>517</v>
      </c>
      <c r="AM170" s="4" t="s">
        <v>3666</v>
      </c>
      <c r="AN170" s="25" t="s">
        <v>3186</v>
      </c>
      <c r="AO170" s="4" t="s">
        <v>3667</v>
      </c>
      <c r="AP170" s="4" t="s">
        <v>2966</v>
      </c>
      <c r="AQ170" s="25" t="s">
        <v>235</v>
      </c>
      <c r="AR170" s="26" t="str">
        <f>IF($B170="","",IFERROR(INDEX(Paramètres!$Q$6:$Q$13,MATCH($G170,Paramètres!$P$6:$P$13,0)),""))</f>
        <v>Chaussées aéronautiques</v>
      </c>
      <c r="AS170" s="26" t="str">
        <f>IF($B170="","",IFERROR(INDEX(Paramètres!$T$6:$T$11,MATCH($I170,Paramètres!$S$6:$S$11,0)),""))</f>
        <v>mars 2027</v>
      </c>
      <c r="AT170" s="31">
        <f>IF($B170="","",IFERROR(INDEX(Paramètres!$C$27:$C$29,MATCH($H170,Paramètres!$B$27:$B$29,0)),0))</f>
        <v>3</v>
      </c>
      <c r="AU170" s="29"/>
      <c r="AV170" s="32"/>
      <c r="AW170" s="26" t="str">
        <f t="shared" si="39"/>
        <v>roussel2022rgrafatigue.md</v>
      </c>
      <c r="AX170" s="26">
        <f>IF($B170="","",COUNTIF($I$2:I170,$I170))</f>
        <v>32</v>
      </c>
      <c r="AY170" s="26" t="str">
        <f t="shared" si="40"/>
        <v>6-32</v>
      </c>
      <c r="AZ170" s="26" t="s">
        <v>3664</v>
      </c>
      <c r="BA170" s="36">
        <f t="shared" ca="1" si="41"/>
        <v>80.008300000000006</v>
      </c>
    </row>
    <row r="171" spans="1:54" ht="25.5" hidden="1" x14ac:dyDescent="0.25">
      <c r="A171" s="25" t="s">
        <v>3668</v>
      </c>
      <c r="B171" s="25" t="s">
        <v>3669</v>
      </c>
      <c r="C171" s="26" t="str">
        <f t="shared" si="35"/>
        <v>Taylor (2007)</v>
      </c>
      <c r="D171" s="4" t="s">
        <v>3670</v>
      </c>
      <c r="E171" s="27" t="str">
        <f>IF(OR($B171="",$AF171=""),"",HYPERLINK(IF(AND(Paramètres!$C$13&lt;&gt;"",$AJ171="Éditeur (abonnement)"),Paramètres!$C$13&amp;$AF171,$AF171),"Ouvrir : "&amp;$AE171))</f>
        <v>Ouvrir : Recherche Google Scholar</v>
      </c>
      <c r="F171" s="28" t="s">
        <v>235</v>
      </c>
      <c r="G171" s="28">
        <v>6</v>
      </c>
      <c r="H171" s="25" t="s">
        <v>122</v>
      </c>
      <c r="I171" s="28">
        <v>6</v>
      </c>
      <c r="J171" s="29" t="s">
        <v>234</v>
      </c>
      <c r="K171" s="26" t="str">
        <f ca="1">IF($B171="","",IF($J171="Lu","Lu",IF($J171="Écarté","Écarté",IF($I171&lt;Paramètres!$C$8,"EN RETARD",IF($I171=Paramètres!$C$8,"Ce mois-ci",IF($I171=Paramètres!$C$8+1,"Mois prochain","À venir"))))))</f>
        <v>À venir</v>
      </c>
      <c r="L171" s="30" t="str">
        <f t="shared" ca="1" si="36"/>
        <v/>
      </c>
      <c r="M171" s="31">
        <f ca="1">IF($B171="","",IF(OR($J171="Lu",$J171="Écarté"),0,IFERROR(INDEX(Paramètres!$C$17:$C$19,MATCH($H171,Paramètres!$B$17:$B$19,0)),0)+Paramètres!$C$20*(7-$I171)+IF($I171&lt;Paramètres!$C$8,Paramètres!$C$21,0)+IF($F171="Oui",Paramètres!$C$22,0)+IF($AL171&lt;&gt;"Vérifié",Paramètres!$C$23,0)+IF(AND($O171&lt;&gt;"Oui",OR($AJ171="PDF libre",$AJ171="PDF libre (dépôt)")),Paramètres!$C$24,0)))</f>
        <v>105</v>
      </c>
      <c r="N171" s="32"/>
      <c r="O171" s="33" t="str">
        <f ca="1">IF($B171="","Non",HYPERLINK(DossierPDF&amp;$BB171,"Oui"))</f>
        <v>Oui</v>
      </c>
      <c r="P171" s="33" t="s">
        <v>235</v>
      </c>
      <c r="Q171" s="33" t="s">
        <v>235</v>
      </c>
      <c r="R171" s="33"/>
      <c r="S171" s="34"/>
      <c r="T171" s="25" t="s">
        <v>661</v>
      </c>
      <c r="U171" s="26" t="str">
        <f>IF($B171="","",IFERROR(INDEX(Paramètres!$N$6:$N$13,MATCH($T171,Paramètres!$M$6:$M$13,0)),$T171))</f>
        <v>Ouvrage / guide</v>
      </c>
      <c r="V171" s="4" t="s">
        <v>3671</v>
      </c>
      <c r="W171" s="28">
        <v>2007</v>
      </c>
      <c r="X171" s="4"/>
      <c r="Y171" s="25"/>
      <c r="Z171" s="25"/>
      <c r="AA171" s="25"/>
      <c r="AB171" s="25" t="s">
        <v>3672</v>
      </c>
      <c r="AC171" s="25"/>
      <c r="AD171" s="25" t="s">
        <v>3673</v>
      </c>
      <c r="AE171" s="25" t="s">
        <v>341</v>
      </c>
      <c r="AF171" s="35" t="s">
        <v>3674</v>
      </c>
      <c r="AG171" s="27" t="str">
        <f t="shared" si="37"/>
        <v/>
      </c>
      <c r="AH171" s="27" t="str">
        <f t="shared" si="38"/>
        <v>Scholar</v>
      </c>
      <c r="AI171" s="28" t="s">
        <v>245</v>
      </c>
      <c r="AJ171" s="25" t="s">
        <v>186</v>
      </c>
      <c r="AK171" s="4" t="s">
        <v>3675</v>
      </c>
      <c r="AL171" s="25" t="s">
        <v>247</v>
      </c>
      <c r="AM171" s="4" t="s">
        <v>3676</v>
      </c>
      <c r="AN171" s="25" t="s">
        <v>3186</v>
      </c>
      <c r="AO171" s="4" t="s">
        <v>3677</v>
      </c>
      <c r="AP171" s="4" t="s">
        <v>3678</v>
      </c>
      <c r="AQ171" s="25" t="s">
        <v>235</v>
      </c>
      <c r="AR171" s="26" t="str">
        <f>IF($B171="","",IFERROR(INDEX(Paramètres!$Q$6:$Q$13,MATCH($G171,Paramètres!$P$6:$P$13,0)),""))</f>
        <v>Fatigue et endommagement</v>
      </c>
      <c r="AS171" s="26" t="str">
        <f>IF($B171="","",IFERROR(INDEX(Paramètres!$T$6:$T$11,MATCH($I171,Paramètres!$S$6:$S$11,0)),""))</f>
        <v>mars 2027</v>
      </c>
      <c r="AT171" s="31">
        <f>IF($B171="","",IFERROR(INDEX(Paramètres!$C$27:$C$29,MATCH($H171,Paramètres!$B$27:$B$29,0)),0))</f>
        <v>6</v>
      </c>
      <c r="AU171" s="29"/>
      <c r="AV171" s="32"/>
      <c r="AW171" s="26" t="str">
        <f t="shared" si="39"/>
        <v>taylor2007tcd.md</v>
      </c>
      <c r="AX171" s="26">
        <f>IF($B171="","",COUNTIF($I$2:I171,$I171))</f>
        <v>33</v>
      </c>
      <c r="AY171" s="26" t="str">
        <f t="shared" si="40"/>
        <v>6-33</v>
      </c>
      <c r="AZ171" s="26" t="s">
        <v>3674</v>
      </c>
      <c r="BA171" s="36">
        <f t="shared" ca="1" si="41"/>
        <v>105.00829</v>
      </c>
    </row>
    <row r="172" spans="1:54" ht="76.5" hidden="1" x14ac:dyDescent="0.25">
      <c r="A172" s="25" t="s">
        <v>3679</v>
      </c>
      <c r="B172" s="25" t="s">
        <v>3680</v>
      </c>
      <c r="C172" s="26" t="str">
        <f t="shared" si="35"/>
        <v>Taylor (2008)</v>
      </c>
      <c r="D172" s="4" t="s">
        <v>3681</v>
      </c>
      <c r="E172" s="27" t="str">
        <f>IF(OR($B172="",$AF172=""),"",HYPERLINK(IF(AND(Paramètres!$C$13&lt;&gt;"",$AJ172="Éditeur (abonnement)"),Paramètres!$C$13&amp;$AF172,$AF172),"Ouvrir : "&amp;$AE172))</f>
        <v>Ouvrir : Recherche Google Scholar</v>
      </c>
      <c r="F172" s="28" t="s">
        <v>235</v>
      </c>
      <c r="G172" s="28">
        <v>6</v>
      </c>
      <c r="H172" s="25" t="s">
        <v>338</v>
      </c>
      <c r="I172" s="28">
        <v>6</v>
      </c>
      <c r="J172" s="29" t="s">
        <v>234</v>
      </c>
      <c r="K172" s="26" t="str">
        <f ca="1">IF($B172="","",IF($J172="Lu","Lu",IF($J172="Écarté","Écarté",IF($I172&lt;Paramètres!$C$8,"EN RETARD",IF($I172=Paramètres!$C$8,"Ce mois-ci",IF($I172=Paramètres!$C$8+1,"Mois prochain","À venir"))))))</f>
        <v>À venir</v>
      </c>
      <c r="L172" s="30" t="str">
        <f t="shared" si="36"/>
        <v>Vérification à compléter avant de citer</v>
      </c>
      <c r="M172" s="31">
        <f ca="1">IF($B172="","",IF(OR($J172="Lu",$J172="Écarté"),0,IFERROR(INDEX(Paramètres!$C$17:$C$19,MATCH($H172,Paramètres!$B$17:$B$19,0)),0)+Paramètres!$C$20*(7-$I172)+IF($I172&lt;Paramètres!$C$8,Paramètres!$C$21,0)+IF($F172="Oui",Paramètres!$C$22,0)+IF($AL172&lt;&gt;"Vérifié",Paramètres!$C$23,0)+IF(AND($O172&lt;&gt;"Oui",OR($AJ172="PDF libre",$AJ172="PDF libre (dépôt)")),Paramètres!$C$24,0)))</f>
        <v>80</v>
      </c>
      <c r="N172" s="32"/>
      <c r="O172" s="33" t="str">
        <f ca="1">IF($B172="","Non",HYPERLINK(DossierPDF&amp;$BB172,"Oui"))</f>
        <v>Oui</v>
      </c>
      <c r="P172" s="33" t="s">
        <v>235</v>
      </c>
      <c r="Q172" s="33" t="s">
        <v>235</v>
      </c>
      <c r="R172" s="33"/>
      <c r="S172" s="34"/>
      <c r="T172" s="25" t="s">
        <v>236</v>
      </c>
      <c r="U172" s="26" t="str">
        <f>IF($B172="","",IFERROR(INDEX(Paramètres!$N$6:$N$13,MATCH($T172,Paramètres!$M$6:$M$13,0)),$T172))</f>
        <v>Article de revue</v>
      </c>
      <c r="V172" s="4" t="s">
        <v>3671</v>
      </c>
      <c r="W172" s="28">
        <v>2008</v>
      </c>
      <c r="X172" s="4" t="s">
        <v>3682</v>
      </c>
      <c r="Y172" s="25" t="s">
        <v>3683</v>
      </c>
      <c r="Z172" s="25" t="s">
        <v>259</v>
      </c>
      <c r="AA172" s="25" t="s">
        <v>3684</v>
      </c>
      <c r="AB172" s="25"/>
      <c r="AC172" s="25"/>
      <c r="AD172" s="25"/>
      <c r="AE172" s="25" t="s">
        <v>341</v>
      </c>
      <c r="AF172" s="35" t="s">
        <v>3685</v>
      </c>
      <c r="AG172" s="27" t="str">
        <f t="shared" si="37"/>
        <v/>
      </c>
      <c r="AH172" s="27" t="str">
        <f t="shared" si="38"/>
        <v>Scholar</v>
      </c>
      <c r="AI172" s="28" t="s">
        <v>245</v>
      </c>
      <c r="AJ172" s="25" t="s">
        <v>185</v>
      </c>
      <c r="AK172" s="4" t="s">
        <v>3415</v>
      </c>
      <c r="AL172" s="25" t="s">
        <v>517</v>
      </c>
      <c r="AM172" s="4" t="s">
        <v>3686</v>
      </c>
      <c r="AN172" s="25" t="s">
        <v>3186</v>
      </c>
      <c r="AO172" s="4" t="s">
        <v>3687</v>
      </c>
      <c r="AP172" s="4" t="s">
        <v>3688</v>
      </c>
      <c r="AQ172" s="25" t="s">
        <v>235</v>
      </c>
      <c r="AR172" s="26" t="str">
        <f>IF($B172="","",IFERROR(INDEX(Paramètres!$Q$6:$Q$13,MATCH($G172,Paramètres!$P$6:$P$13,0)),""))</f>
        <v>Fatigue et endommagement</v>
      </c>
      <c r="AS172" s="26" t="str">
        <f>IF($B172="","",IFERROR(INDEX(Paramètres!$T$6:$T$11,MATCH($I172,Paramètres!$S$6:$S$11,0)),""))</f>
        <v>mars 2027</v>
      </c>
      <c r="AT172" s="31">
        <f>IF($B172="","",IFERROR(INDEX(Paramètres!$C$27:$C$29,MATCH($H172,Paramètres!$B$27:$B$29,0)),0))</f>
        <v>3</v>
      </c>
      <c r="AU172" s="29"/>
      <c r="AV172" s="32"/>
      <c r="AW172" s="26" t="str">
        <f t="shared" si="39"/>
        <v>taylor2008tcd.md</v>
      </c>
      <c r="AX172" s="26">
        <f>IF($B172="","",COUNTIF($I$2:I172,$I172))</f>
        <v>34</v>
      </c>
      <c r="AY172" s="26" t="str">
        <f t="shared" si="40"/>
        <v>6-34</v>
      </c>
      <c r="AZ172" s="26" t="s">
        <v>3685</v>
      </c>
      <c r="BA172" s="36">
        <f t="shared" ca="1" si="41"/>
        <v>80.008279999999999</v>
      </c>
    </row>
    <row r="173" spans="1:54" ht="127.5" x14ac:dyDescent="0.25">
      <c r="A173" s="25" t="s">
        <v>3689</v>
      </c>
      <c r="B173" s="25" t="s">
        <v>3690</v>
      </c>
      <c r="C173" s="26" t="str">
        <f t="shared" si="35"/>
        <v>Marsavina &amp; et al. (2023)</v>
      </c>
      <c r="D173" s="4" t="s">
        <v>3691</v>
      </c>
      <c r="E173" s="27" t="str">
        <f>IF(OR($B173="",$AF173=""),"",HYPERLINK(IF(AND(Paramètres!$C$13&lt;&gt;"",$AJ173="Éditeur (abonnement)"),Paramètres!$C$13&amp;$AF173,$AF173),"Ouvrir : "&amp;$AE173))</f>
        <v>Ouvrir : Page éditeur (DOI)</v>
      </c>
      <c r="F173" s="28" t="s">
        <v>235</v>
      </c>
      <c r="G173" s="28">
        <v>6</v>
      </c>
      <c r="H173" s="25" t="s">
        <v>405</v>
      </c>
      <c r="I173" s="28">
        <v>6</v>
      </c>
      <c r="J173" s="29" t="s">
        <v>234</v>
      </c>
      <c r="K173" s="26" t="str">
        <f ca="1">IF($B173="","",IF($J173="Lu","Lu",IF($J173="Écarté","Écarté",IF($I173&lt;Paramètres!$C$8,"EN RETARD",IF($I173=Paramètres!$C$8,"Ce mois-ci",IF($I173=Paramètres!$C$8+1,"Mois prochain","À venir"))))))</f>
        <v>À venir</v>
      </c>
      <c r="L173" s="30" t="str">
        <f t="shared" si="36"/>
        <v>Vérification à compléter avant de citer</v>
      </c>
      <c r="M173" s="31">
        <f ca="1">IF($B173="","",IF(OR($J173="Lu",$J173="Écarté"),0,IFERROR(INDEX(Paramètres!$C$17:$C$19,MATCH($H173,Paramètres!$B$17:$B$19,0)),0)+Paramètres!$C$20*(7-$I173)+IF($I173&lt;Paramètres!$C$8,Paramètres!$C$21,0)+IF($F173="Oui",Paramètres!$C$22,0)+IF($AL173&lt;&gt;"Vérifié",Paramètres!$C$23,0)+IF(AND($O173&lt;&gt;"Oui",OR($AJ173="PDF libre",$AJ173="PDF libre (dépôt)")),Paramètres!$C$24,0)))</f>
        <v>50</v>
      </c>
      <c r="N173" s="32"/>
      <c r="O173" s="33" t="str">
        <f ca="1">IF($B173="","Non",HYPERLINK(DossierPDF&amp;$BB173,"Oui"))</f>
        <v>Oui</v>
      </c>
      <c r="P173" s="33" t="s">
        <v>235</v>
      </c>
      <c r="Q173" s="33" t="s">
        <v>235</v>
      </c>
      <c r="R173" s="33"/>
      <c r="S173" s="34"/>
      <c r="T173" s="25" t="s">
        <v>236</v>
      </c>
      <c r="U173" s="26" t="str">
        <f>IF($B173="","",IFERROR(INDEX(Paramètres!$N$6:$N$13,MATCH($T173,Paramètres!$M$6:$M$13,0)),$T173))</f>
        <v>Article de revue</v>
      </c>
      <c r="V173" s="4" t="s">
        <v>3692</v>
      </c>
      <c r="W173" s="28">
        <v>2023</v>
      </c>
      <c r="X173" s="4" t="s">
        <v>3693</v>
      </c>
      <c r="Y173" s="25"/>
      <c r="Z173" s="25"/>
      <c r="AA173" s="25"/>
      <c r="AB173" s="25"/>
      <c r="AC173" s="25" t="s">
        <v>3694</v>
      </c>
      <c r="AD173" s="25"/>
      <c r="AE173" s="25" t="s">
        <v>243</v>
      </c>
      <c r="AF173" s="35" t="s">
        <v>3695</v>
      </c>
      <c r="AG173" s="27" t="str">
        <f t="shared" si="37"/>
        <v>doi.org</v>
      </c>
      <c r="AH173" s="27" t="str">
        <f t="shared" si="38"/>
        <v>Scholar</v>
      </c>
      <c r="AI173" s="28" t="s">
        <v>245</v>
      </c>
      <c r="AJ173" s="25" t="s">
        <v>185</v>
      </c>
      <c r="AK173" s="4" t="s">
        <v>3696</v>
      </c>
      <c r="AL173" s="25" t="s">
        <v>517</v>
      </c>
      <c r="AM173" s="4" t="s">
        <v>3697</v>
      </c>
      <c r="AN173" s="25" t="s">
        <v>3186</v>
      </c>
      <c r="AO173" s="4" t="s">
        <v>3698</v>
      </c>
      <c r="AP173" s="4" t="s">
        <v>3688</v>
      </c>
      <c r="AQ173" s="25" t="s">
        <v>235</v>
      </c>
      <c r="AR173" s="26" t="str">
        <f>IF($B173="","",IFERROR(INDEX(Paramètres!$Q$6:$Q$13,MATCH($G173,Paramètres!$P$6:$P$13,0)),""))</f>
        <v>Fatigue et endommagement</v>
      </c>
      <c r="AS173" s="26" t="str">
        <f>IF($B173="","",IFERROR(INDEX(Paramètres!$T$6:$T$11,MATCH($I173,Paramètres!$S$6:$S$11,0)),""))</f>
        <v>mars 2027</v>
      </c>
      <c r="AT173" s="31">
        <f>IF($B173="","",IFERROR(INDEX(Paramètres!$C$27:$C$29,MATCH($H173,Paramètres!$B$27:$B$29,0)),0))</f>
        <v>1</v>
      </c>
      <c r="AU173" s="29"/>
      <c r="AV173" s="32"/>
      <c r="AW173" s="26" t="str">
        <f t="shared" si="39"/>
        <v>marsavina2023tcd.md</v>
      </c>
      <c r="AX173" s="26">
        <f>IF($B173="","",COUNTIF($I$2:I173,$I173))</f>
        <v>35</v>
      </c>
      <c r="AY173" s="26" t="str">
        <f t="shared" si="40"/>
        <v>6-35</v>
      </c>
      <c r="AZ173" s="26" t="s">
        <v>3699</v>
      </c>
      <c r="BA173" s="36">
        <f t="shared" ca="1" si="41"/>
        <v>50.008270000000003</v>
      </c>
    </row>
    <row r="174" spans="1:54" ht="51" hidden="1" x14ac:dyDescent="0.25">
      <c r="A174" s="25" t="s">
        <v>3700</v>
      </c>
      <c r="B174" s="25" t="s">
        <v>3701</v>
      </c>
      <c r="C174" s="26" t="str">
        <f t="shared" si="35"/>
        <v>Pilkey &amp; Pilkey (2008)</v>
      </c>
      <c r="D174" s="4" t="s">
        <v>3702</v>
      </c>
      <c r="E174" s="27" t="str">
        <f>IF(OR($B174="",$AF174=""),"",HYPERLINK(IF(AND(Paramètres!$C$13&lt;&gt;"",$AJ174="Éditeur (abonnement)"),Paramètres!$C$13&amp;$AF174,$AF174),"Ouvrir : "&amp;$AE174))</f>
        <v>Ouvrir : Recherche Google Scholar</v>
      </c>
      <c r="F174" s="28" t="s">
        <v>235</v>
      </c>
      <c r="G174" s="28">
        <v>6</v>
      </c>
      <c r="H174" s="25" t="s">
        <v>405</v>
      </c>
      <c r="I174" s="28">
        <v>6</v>
      </c>
      <c r="J174" s="29" t="s">
        <v>234</v>
      </c>
      <c r="K174" s="26" t="str">
        <f ca="1">IF($B174="","",IF($J174="Lu","Lu",IF($J174="Écarté","Écarté",IF($I174&lt;Paramètres!$C$8,"EN RETARD",IF($I174=Paramètres!$C$8,"Ce mois-ci",IF($I174=Paramètres!$C$8+1,"Mois prochain","À venir"))))))</f>
        <v>À venir</v>
      </c>
      <c r="L174" s="30" t="str">
        <f t="shared" si="36"/>
        <v>Vérification à compléter avant de citer</v>
      </c>
      <c r="M174" s="31">
        <f ca="1">IF($B174="","",IF(OR($J174="Lu",$J174="Écarté"),0,IFERROR(INDEX(Paramètres!$C$17:$C$19,MATCH($H174,Paramètres!$B$17:$B$19,0)),0)+Paramètres!$C$20*(7-$I174)+IF($I174&lt;Paramètres!$C$8,Paramètres!$C$21,0)+IF($F174="Oui",Paramètres!$C$22,0)+IF($AL174&lt;&gt;"Vérifié",Paramètres!$C$23,0)+IF(AND($O174&lt;&gt;"Oui",OR($AJ174="PDF libre",$AJ174="PDF libre (dépôt)")),Paramètres!$C$24,0)))</f>
        <v>50</v>
      </c>
      <c r="N174" s="32"/>
      <c r="O174" s="33" t="str">
        <f ca="1">IF($B174="","Non",HYPERLINK(DossierPDF&amp;$BB174,"Oui"))</f>
        <v>Oui</v>
      </c>
      <c r="P174" s="33" t="s">
        <v>235</v>
      </c>
      <c r="Q174" s="33" t="s">
        <v>235</v>
      </c>
      <c r="R174" s="33"/>
      <c r="S174" s="34"/>
      <c r="T174" s="25" t="s">
        <v>661</v>
      </c>
      <c r="U174" s="26" t="str">
        <f>IF($B174="","",IFERROR(INDEX(Paramètres!$N$6:$N$13,MATCH($T174,Paramètres!$M$6:$M$13,0)),$T174))</f>
        <v>Ouvrage / guide</v>
      </c>
      <c r="V174" s="4" t="s">
        <v>3703</v>
      </c>
      <c r="W174" s="28">
        <v>2008</v>
      </c>
      <c r="X174" s="4"/>
      <c r="Y174" s="25"/>
      <c r="Z174" s="25"/>
      <c r="AA174" s="25"/>
      <c r="AB174" s="25" t="s">
        <v>3704</v>
      </c>
      <c r="AC174" s="25"/>
      <c r="AD174" s="25"/>
      <c r="AE174" s="25" t="s">
        <v>341</v>
      </c>
      <c r="AF174" s="35" t="s">
        <v>3705</v>
      </c>
      <c r="AG174" s="27" t="str">
        <f t="shared" si="37"/>
        <v/>
      </c>
      <c r="AH174" s="27" t="str">
        <f t="shared" si="38"/>
        <v>Scholar</v>
      </c>
      <c r="AI174" s="28" t="s">
        <v>245</v>
      </c>
      <c r="AJ174" s="25" t="s">
        <v>186</v>
      </c>
      <c r="AK174" s="4" t="s">
        <v>3247</v>
      </c>
      <c r="AL174" s="25" t="s">
        <v>517</v>
      </c>
      <c r="AM174" s="4" t="s">
        <v>3362</v>
      </c>
      <c r="AN174" s="25" t="s">
        <v>3186</v>
      </c>
      <c r="AO174" s="4" t="s">
        <v>3706</v>
      </c>
      <c r="AP174" s="4"/>
      <c r="AQ174" s="25" t="s">
        <v>235</v>
      </c>
      <c r="AR174" s="26" t="str">
        <f>IF($B174="","",IFERROR(INDEX(Paramètres!$Q$6:$Q$13,MATCH($G174,Paramètres!$P$6:$P$13,0)),""))</f>
        <v>Fatigue et endommagement</v>
      </c>
      <c r="AS174" s="26" t="str">
        <f>IF($B174="","",IFERROR(INDEX(Paramètres!$T$6:$T$11,MATCH($I174,Paramètres!$S$6:$S$11,0)),""))</f>
        <v>mars 2027</v>
      </c>
      <c r="AT174" s="31">
        <f>IF($B174="","",IFERROR(INDEX(Paramètres!$C$27:$C$29,MATCH($H174,Paramètres!$B$27:$B$29,0)),0))</f>
        <v>1</v>
      </c>
      <c r="AU174" s="29"/>
      <c r="AV174" s="32"/>
      <c r="AW174" s="26" t="str">
        <f t="shared" si="39"/>
        <v>pilkey2008peterson.md</v>
      </c>
      <c r="AX174" s="26">
        <f>IF($B174="","",COUNTIF($I$2:I174,$I174))</f>
        <v>36</v>
      </c>
      <c r="AY174" s="26" t="str">
        <f t="shared" si="40"/>
        <v>6-36</v>
      </c>
      <c r="AZ174" s="26" t="s">
        <v>3705</v>
      </c>
      <c r="BA174" s="36">
        <f t="shared" ca="1" si="41"/>
        <v>50.00826</v>
      </c>
    </row>
    <row r="175" spans="1:54" ht="127.5" x14ac:dyDescent="0.25">
      <c r="A175" s="25" t="s">
        <v>3707</v>
      </c>
      <c r="B175" s="25" t="s">
        <v>3708</v>
      </c>
      <c r="C175" s="26" t="str">
        <f t="shared" si="35"/>
        <v>Fuller &amp; Thompson (1907)</v>
      </c>
      <c r="D175" s="4" t="s">
        <v>3709</v>
      </c>
      <c r="E175" s="27" t="str">
        <f>IF(OR($B175="",$AF175=""),"",HYPERLINK(IF(AND(Paramètres!$C$13&lt;&gt;"",$AJ175="Éditeur (abonnement)"),Paramètres!$C$13&amp;$AF175,$AF175),"Ouvrir : "&amp;$AE175))</f>
        <v>Ouvrir : Page éditeur (DOI)</v>
      </c>
      <c r="F175" s="28" t="s">
        <v>235</v>
      </c>
      <c r="G175" s="28">
        <v>6</v>
      </c>
      <c r="H175" s="25" t="s">
        <v>405</v>
      </c>
      <c r="I175" s="28">
        <v>6</v>
      </c>
      <c r="J175" s="29" t="s">
        <v>234</v>
      </c>
      <c r="K175" s="26" t="str">
        <f ca="1">IF($B175="","",IF($J175="Lu","Lu",IF($J175="Écarté","Écarté",IF($I175&lt;Paramètres!$C$8,"EN RETARD",IF($I175=Paramètres!$C$8,"Ce mois-ci",IF($I175=Paramètres!$C$8+1,"Mois prochain","À venir"))))))</f>
        <v>À venir</v>
      </c>
      <c r="L175" s="30" t="str">
        <f t="shared" ca="1" si="36"/>
        <v/>
      </c>
      <c r="M175" s="31">
        <f ca="1">IF($B175="","",IF(OR($J175="Lu",$J175="Écarté"),0,IFERROR(INDEX(Paramètres!$C$17:$C$19,MATCH($H175,Paramètres!$B$17:$B$19,0)),0)+Paramètres!$C$20*(7-$I175)+IF($I175&lt;Paramètres!$C$8,Paramètres!$C$21,0)+IF($F175="Oui",Paramètres!$C$22,0)+IF($AL175&lt;&gt;"Vérifié",Paramètres!$C$23,0)+IF(AND($O175&lt;&gt;"Oui",OR($AJ175="PDF libre",$AJ175="PDF libre (dépôt)")),Paramètres!$C$24,0)))</f>
        <v>35</v>
      </c>
      <c r="N175" s="32"/>
      <c r="O175" s="33" t="str">
        <f ca="1">IF($B175="","Non",HYPERLINK(DossierPDF&amp;$BB175,"Oui"))</f>
        <v>Oui</v>
      </c>
      <c r="P175" s="33" t="s">
        <v>235</v>
      </c>
      <c r="Q175" s="33" t="s">
        <v>235</v>
      </c>
      <c r="R175" s="33"/>
      <c r="S175" s="34"/>
      <c r="T175" s="25" t="s">
        <v>236</v>
      </c>
      <c r="U175" s="26" t="str">
        <f>IF($B175="","",IFERROR(INDEX(Paramètres!$N$6:$N$13,MATCH($T175,Paramètres!$M$6:$M$13,0)),$T175))</f>
        <v>Article de revue</v>
      </c>
      <c r="V175" s="4" t="s">
        <v>3710</v>
      </c>
      <c r="W175" s="28">
        <v>1907</v>
      </c>
      <c r="X175" s="4" t="s">
        <v>3711</v>
      </c>
      <c r="Y175" s="25" t="s">
        <v>3712</v>
      </c>
      <c r="Z175" s="25"/>
      <c r="AA175" s="25" t="s">
        <v>3713</v>
      </c>
      <c r="AB175" s="25"/>
      <c r="AC175" s="25" t="s">
        <v>3714</v>
      </c>
      <c r="AD175" s="25"/>
      <c r="AE175" s="25" t="s">
        <v>243</v>
      </c>
      <c r="AF175" s="35" t="s">
        <v>3715</v>
      </c>
      <c r="AG175" s="27" t="str">
        <f t="shared" si="37"/>
        <v>doi.org</v>
      </c>
      <c r="AH175" s="27" t="str">
        <f t="shared" si="38"/>
        <v>Scholar</v>
      </c>
      <c r="AI175" s="28" t="s">
        <v>245</v>
      </c>
      <c r="AJ175" s="25" t="s">
        <v>185</v>
      </c>
      <c r="AK175" s="4" t="s">
        <v>3716</v>
      </c>
      <c r="AL175" s="25" t="s">
        <v>247</v>
      </c>
      <c r="AM175" s="4" t="s">
        <v>3717</v>
      </c>
      <c r="AN175" s="25" t="s">
        <v>3186</v>
      </c>
      <c r="AO175" s="4" t="s">
        <v>3718</v>
      </c>
      <c r="AP175" s="4"/>
      <c r="AQ175" s="25" t="s">
        <v>235</v>
      </c>
      <c r="AR175" s="26" t="str">
        <f>IF($B175="","",IFERROR(INDEX(Paramètres!$Q$6:$Q$13,MATCH($G175,Paramètres!$P$6:$P$13,0)),""))</f>
        <v>Fatigue et endommagement</v>
      </c>
      <c r="AS175" s="26" t="str">
        <f>IF($B175="","",IFERROR(INDEX(Paramètres!$T$6:$T$11,MATCH($I175,Paramètres!$S$6:$S$11,0)),""))</f>
        <v>mars 2027</v>
      </c>
      <c r="AT175" s="31">
        <f>IF($B175="","",IFERROR(INDEX(Paramètres!$C$27:$C$29,MATCH($H175,Paramètres!$B$27:$B$29,0)),0))</f>
        <v>1</v>
      </c>
      <c r="AU175" s="29"/>
      <c r="AV175" s="32"/>
      <c r="AW175" s="26" t="str">
        <f t="shared" si="39"/>
        <v>fuller1907proportioning.md</v>
      </c>
      <c r="AX175" s="26">
        <f>IF($B175="","",COUNTIF($I$2:I175,$I175))</f>
        <v>37</v>
      </c>
      <c r="AY175" s="26" t="str">
        <f t="shared" si="40"/>
        <v>6-37</v>
      </c>
      <c r="AZ175" s="26" t="s">
        <v>3719</v>
      </c>
      <c r="BA175" s="36">
        <f t="shared" ca="1" si="41"/>
        <v>35.008249999999997</v>
      </c>
    </row>
    <row r="176" spans="1:54" ht="89.25" x14ac:dyDescent="0.25">
      <c r="A176" s="25" t="s">
        <v>3720</v>
      </c>
      <c r="B176" s="25" t="s">
        <v>3721</v>
      </c>
      <c r="C176" s="26" t="str">
        <f t="shared" si="35"/>
        <v>Kim et al. (2003)</v>
      </c>
      <c r="D176" s="4" t="s">
        <v>3722</v>
      </c>
      <c r="E176" s="27" t="str">
        <f>IF(OR($B176="",$AF176=""),"",HYPERLINK(IF(AND(Paramètres!$C$13&lt;&gt;"",$AJ176="Éditeur (abonnement)"),Paramètres!$C$13&amp;$AF176,$AF176),"Ouvrir : "&amp;$AE176))</f>
        <v>Ouvrir : Page éditeur (DOI)</v>
      </c>
      <c r="F176" s="28" t="s">
        <v>235</v>
      </c>
      <c r="G176" s="28">
        <v>6</v>
      </c>
      <c r="H176" s="25" t="s">
        <v>338</v>
      </c>
      <c r="I176" s="28">
        <v>3</v>
      </c>
      <c r="J176" s="29" t="s">
        <v>234</v>
      </c>
      <c r="K176" s="26" t="str">
        <f ca="1">IF($B176="","",IF($J176="Lu","Lu",IF($J176="Écarté","Écarté",IF($I176&lt;Paramètres!$C$8,"EN RETARD",IF($I176=Paramètres!$C$8,"Ce mois-ci",IF($I176=Paramètres!$C$8+1,"Mois prochain","À venir"))))))</f>
        <v>À venir</v>
      </c>
      <c r="L176" s="30" t="str">
        <f t="shared" ca="1" si="36"/>
        <v/>
      </c>
      <c r="M176" s="31">
        <f ca="1">IF($B176="","",IF(OR($J176="Lu",$J176="Écarté"),0,IFERROR(INDEX(Paramètres!$C$17:$C$19,MATCH($H176,Paramètres!$B$17:$B$19,0)),0)+Paramètres!$C$20*(7-$I176)+IF($I176&lt;Paramètres!$C$8,Paramètres!$C$21,0)+IF($F176="Oui",Paramètres!$C$22,0)+IF($AL176&lt;&gt;"Vérifié",Paramètres!$C$23,0)+IF(AND($O176&lt;&gt;"Oui",OR($AJ176="PDF libre",$AJ176="PDF libre (dépôt)")),Paramètres!$C$24,0)))</f>
        <v>80</v>
      </c>
      <c r="N176" s="32"/>
      <c r="O176" s="33" t="str">
        <f ca="1">IF($B176="","Non",HYPERLINK(DossierPDF&amp;$BB176,"Oui"))</f>
        <v>Oui</v>
      </c>
      <c r="P176" s="33" t="s">
        <v>235</v>
      </c>
      <c r="Q176" s="33" t="s">
        <v>235</v>
      </c>
      <c r="R176" s="33"/>
      <c r="S176" s="34"/>
      <c r="T176" s="25" t="s">
        <v>236</v>
      </c>
      <c r="U176" s="26" t="str">
        <f>IF($B176="","",IFERROR(INDEX(Paramètres!$N$6:$N$13,MATCH($T176,Paramètres!$M$6:$M$13,0)),$T176))</f>
        <v>Article de revue</v>
      </c>
      <c r="V176" s="4" t="s">
        <v>3723</v>
      </c>
      <c r="W176" s="28">
        <v>2003</v>
      </c>
      <c r="X176" s="4" t="s">
        <v>895</v>
      </c>
      <c r="Y176" s="25" t="s">
        <v>1617</v>
      </c>
      <c r="Z176" s="25" t="s">
        <v>394</v>
      </c>
      <c r="AA176" s="25" t="s">
        <v>3724</v>
      </c>
      <c r="AB176" s="25"/>
      <c r="AC176" s="25" t="s">
        <v>3725</v>
      </c>
      <c r="AD176" s="25"/>
      <c r="AE176" s="25" t="s">
        <v>243</v>
      </c>
      <c r="AF176" s="35" t="s">
        <v>3726</v>
      </c>
      <c r="AG176" s="27" t="str">
        <f t="shared" si="37"/>
        <v>doi.org</v>
      </c>
      <c r="AH176" s="27" t="str">
        <f t="shared" si="38"/>
        <v>Scholar</v>
      </c>
      <c r="AI176" s="28" t="s">
        <v>245</v>
      </c>
      <c r="AJ176" s="25" t="s">
        <v>185</v>
      </c>
      <c r="AK176" s="4" t="s">
        <v>3716</v>
      </c>
      <c r="AL176" s="25" t="s">
        <v>247</v>
      </c>
      <c r="AM176" s="4" t="s">
        <v>3727</v>
      </c>
      <c r="AN176" s="25" t="s">
        <v>3186</v>
      </c>
      <c r="AO176" s="4" t="s">
        <v>3728</v>
      </c>
      <c r="AP176" s="4" t="s">
        <v>3729</v>
      </c>
      <c r="AQ176" s="25" t="s">
        <v>235</v>
      </c>
      <c r="AR176" s="26" t="str">
        <f>IF($B176="","",IFERROR(INDEX(Paramètres!$Q$6:$Q$13,MATCH($G176,Paramètres!$P$6:$P$13,0)),""))</f>
        <v>Fatigue et endommagement</v>
      </c>
      <c r="AS176" s="26" t="str">
        <f>IF($B176="","",IFERROR(INDEX(Paramètres!$T$6:$T$11,MATCH($I176,Paramètres!$S$6:$S$11,0)),""))</f>
        <v>décembre 2026</v>
      </c>
      <c r="AT176" s="31">
        <f>IF($B176="","",IFERROR(INDEX(Paramètres!$C$27:$C$29,MATCH($H176,Paramètres!$B$27:$B$29,0)),0))</f>
        <v>3</v>
      </c>
      <c r="AU176" s="29"/>
      <c r="AV176" s="32"/>
      <c r="AW176" s="26" t="str">
        <f t="shared" si="39"/>
        <v>kim2003fatigue.md</v>
      </c>
      <c r="AX176" s="26">
        <f>IF($B176="","",COUNTIF($I$2:I176,$I176))</f>
        <v>19</v>
      </c>
      <c r="AY176" s="26" t="str">
        <f t="shared" si="40"/>
        <v>3-19</v>
      </c>
      <c r="AZ176" s="26" t="s">
        <v>3730</v>
      </c>
      <c r="BA176" s="36">
        <f t="shared" ca="1" si="41"/>
        <v>80.008240000000001</v>
      </c>
      <c r="BB176" t="inlineStr">
        <is>
          <t>BIB-175_Kim-etal_2003_Fatigue-healing-asphalt-mixtures.pdf</t>
        </is>
      </c>
    </row>
    <row r="177" spans="1:53" ht="114.75" x14ac:dyDescent="0.25">
      <c r="A177" s="25" t="s">
        <v>3731</v>
      </c>
      <c r="B177" s="25" t="s">
        <v>3732</v>
      </c>
      <c r="C177" s="26" t="str">
        <f t="shared" si="35"/>
        <v>Aragão et al. (2011)</v>
      </c>
      <c r="D177" s="4" t="s">
        <v>3733</v>
      </c>
      <c r="E177" s="27" t="str">
        <f>IF(OR($B177="",$AF177=""),"",HYPERLINK(IF(AND(Paramètres!$C$13&lt;&gt;"",$AJ177="Éditeur (abonnement)"),Paramètres!$C$13&amp;$AF177,$AF177),"Ouvrir : "&amp;$AE177))</f>
        <v>Ouvrir : Page éditeur (DOI)</v>
      </c>
      <c r="F177" s="28" t="s">
        <v>235</v>
      </c>
      <c r="G177" s="28">
        <v>6</v>
      </c>
      <c r="H177" s="25" t="s">
        <v>338</v>
      </c>
      <c r="I177" s="28">
        <v>6</v>
      </c>
      <c r="J177" s="29" t="s">
        <v>234</v>
      </c>
      <c r="K177" s="26" t="str">
        <f ca="1">IF($B177="","",IF($J177="Lu","Lu",IF($J177="Écarté","Écarté",IF($I177&lt;Paramètres!$C$8,"EN RETARD",IF($I177=Paramètres!$C$8,"Ce mois-ci",IF($I177=Paramètres!$C$8+1,"Mois prochain","À venir"))))))</f>
        <v>À venir</v>
      </c>
      <c r="L177" s="30" t="str">
        <f t="shared" ca="1" si="36"/>
        <v/>
      </c>
      <c r="M177" s="31">
        <f ca="1">IF($B177="","",IF(OR($J177="Lu",$J177="Écarté"),0,IFERROR(INDEX(Paramètres!$C$17:$C$19,MATCH($H177,Paramètres!$B$17:$B$19,0)),0)+Paramètres!$C$20*(7-$I177)+IF($I177&lt;Paramètres!$C$8,Paramètres!$C$21,0)+IF($F177="Oui",Paramètres!$C$22,0)+IF($AL177&lt;&gt;"Vérifié",Paramètres!$C$23,0)+IF(AND($O177&lt;&gt;"Oui",OR($AJ177="PDF libre",$AJ177="PDF libre (dépôt)")),Paramètres!$C$24,0)))</f>
        <v>65</v>
      </c>
      <c r="N177" s="32"/>
      <c r="O177" s="33" t="str">
        <f ca="1">IF($B177="","Non",HYPERLINK(DossierPDF&amp;$BB177,"Oui"))</f>
        <v>Oui</v>
      </c>
      <c r="P177" s="33" t="s">
        <v>235</v>
      </c>
      <c r="Q177" s="33" t="s">
        <v>235</v>
      </c>
      <c r="R177" s="33"/>
      <c r="S177" s="34"/>
      <c r="T177" s="25" t="s">
        <v>236</v>
      </c>
      <c r="U177" s="26" t="str">
        <f>IF($B177="","",IFERROR(INDEX(Paramètres!$N$6:$N$13,MATCH($T177,Paramètres!$M$6:$M$13,0)),$T177))</f>
        <v>Article de revue</v>
      </c>
      <c r="V177" s="4" t="s">
        <v>3734</v>
      </c>
      <c r="W177" s="28">
        <v>2011</v>
      </c>
      <c r="X177" s="4" t="s">
        <v>895</v>
      </c>
      <c r="Y177" s="25" t="s">
        <v>711</v>
      </c>
      <c r="Z177" s="25" t="s">
        <v>394</v>
      </c>
      <c r="AA177" s="25" t="s">
        <v>3735</v>
      </c>
      <c r="AB177" s="25"/>
      <c r="AC177" s="25" t="s">
        <v>3736</v>
      </c>
      <c r="AD177" s="25"/>
      <c r="AE177" s="25" t="s">
        <v>243</v>
      </c>
      <c r="AF177" s="35" t="s">
        <v>3737</v>
      </c>
      <c r="AG177" s="27" t="str">
        <f t="shared" si="37"/>
        <v>doi.org</v>
      </c>
      <c r="AH177" s="27" t="str">
        <f t="shared" si="38"/>
        <v>Scholar</v>
      </c>
      <c r="AI177" s="28" t="s">
        <v>245</v>
      </c>
      <c r="AJ177" s="25" t="s">
        <v>185</v>
      </c>
      <c r="AK177" s="4" t="s">
        <v>3716</v>
      </c>
      <c r="AL177" s="25" t="s">
        <v>247</v>
      </c>
      <c r="AM177" s="4" t="s">
        <v>243</v>
      </c>
      <c r="AN177" s="25" t="s">
        <v>3186</v>
      </c>
      <c r="AO177" s="4" t="s">
        <v>3738</v>
      </c>
      <c r="AP177" s="4" t="s">
        <v>3729</v>
      </c>
      <c r="AQ177" s="25" t="s">
        <v>235</v>
      </c>
      <c r="AR177" s="26" t="str">
        <f>IF($B177="","",IFERROR(INDEX(Paramètres!$Q$6:$Q$13,MATCH($G177,Paramètres!$P$6:$P$13,0)),""))</f>
        <v>Fatigue et endommagement</v>
      </c>
      <c r="AS177" s="26" t="str">
        <f>IF($B177="","",IFERROR(INDEX(Paramètres!$T$6:$T$11,MATCH($I177,Paramètres!$S$6:$S$11,0)),""))</f>
        <v>mars 2027</v>
      </c>
      <c r="AT177" s="31">
        <f>IF($B177="","",IFERROR(INDEX(Paramètres!$C$27:$C$29,MATCH($H177,Paramètres!$B$27:$B$29,0)),0))</f>
        <v>3</v>
      </c>
      <c r="AU177" s="29"/>
      <c r="AV177" s="32"/>
      <c r="AW177" s="26" t="str">
        <f t="shared" si="39"/>
        <v>aragao2011micromechanical.md</v>
      </c>
      <c r="AX177" s="26">
        <f>IF($B177="","",COUNTIF($I$2:I177,$I177))</f>
        <v>38</v>
      </c>
      <c r="AY177" s="26" t="str">
        <f t="shared" si="40"/>
        <v>6-38</v>
      </c>
      <c r="AZ177" s="26" t="s">
        <v>3739</v>
      </c>
      <c r="BA177" s="36">
        <f t="shared" ca="1" si="41"/>
        <v>65.008229999999998</v>
      </c>
    </row>
    <row r="178" spans="1:54" ht="102" x14ac:dyDescent="0.25">
      <c r="A178" s="25" t="s">
        <v>3740</v>
      </c>
      <c r="B178" s="25" t="s">
        <v>3741</v>
      </c>
      <c r="C178" s="26" t="str">
        <f t="shared" si="35"/>
        <v>Underwood &amp; Kim (2013)</v>
      </c>
      <c r="D178" s="4" t="s">
        <v>3742</v>
      </c>
      <c r="E178" s="27" t="str">
        <f>IF(OR($B178="",$AF178=""),"",HYPERLINK(IF(AND(Paramètres!$C$13&lt;&gt;"",$AJ178="Éditeur (abonnement)"),Paramètres!$C$13&amp;$AF178,$AF178),"Ouvrir : "&amp;$AE178))</f>
        <v>Ouvrir : Page éditeur (DOI)</v>
      </c>
      <c r="F178" s="28" t="s">
        <v>235</v>
      </c>
      <c r="G178" s="28">
        <v>6</v>
      </c>
      <c r="H178" s="25" t="s">
        <v>338</v>
      </c>
      <c r="I178" s="28">
        <v>3</v>
      </c>
      <c r="J178" s="29" t="s">
        <v>234</v>
      </c>
      <c r="K178" s="26" t="str">
        <f ca="1">IF($B178="","",IF($J178="Lu","Lu",IF($J178="Écarté","Écarté",IF($I178&lt;Paramètres!$C$8,"EN RETARD",IF($I178=Paramètres!$C$8,"Ce mois-ci",IF($I178=Paramètres!$C$8+1,"Mois prochain","À venir"))))))</f>
        <v>À venir</v>
      </c>
      <c r="L178" s="30" t="str">
        <f t="shared" ca="1" si="36"/>
        <v/>
      </c>
      <c r="M178" s="31">
        <f ca="1">IF($B178="","",IF(OR($J178="Lu",$J178="Écarté"),0,IFERROR(INDEX(Paramètres!$C$17:$C$19,MATCH($H178,Paramètres!$B$17:$B$19,0)),0)+Paramètres!$C$20*(7-$I178)+IF($I178&lt;Paramètres!$C$8,Paramètres!$C$21,0)+IF($F178="Oui",Paramètres!$C$22,0)+IF($AL178&lt;&gt;"Vérifié",Paramètres!$C$23,0)+IF(AND($O178&lt;&gt;"Oui",OR($AJ178="PDF libre",$AJ178="PDF libre (dépôt)")),Paramètres!$C$24,0)))</f>
        <v>80</v>
      </c>
      <c r="N178" s="32"/>
      <c r="O178" s="33" t="str">
        <f ca="1">IF($B178="","Non",HYPERLINK(DossierPDF&amp;$BB178,"Oui"))</f>
        <v>Oui</v>
      </c>
      <c r="P178" s="33" t="s">
        <v>235</v>
      </c>
      <c r="Q178" s="33" t="s">
        <v>235</v>
      </c>
      <c r="R178" s="33"/>
      <c r="S178" s="34"/>
      <c r="T178" s="25" t="s">
        <v>236</v>
      </c>
      <c r="U178" s="26" t="str">
        <f>IF($B178="","",IFERROR(INDEX(Paramètres!$N$6:$N$13,MATCH($T178,Paramètres!$M$6:$M$13,0)),$T178))</f>
        <v>Article de revue</v>
      </c>
      <c r="V178" s="4" t="s">
        <v>3743</v>
      </c>
      <c r="W178" s="28">
        <v>2013</v>
      </c>
      <c r="X178" s="4" t="s">
        <v>573</v>
      </c>
      <c r="Y178" s="25" t="s">
        <v>367</v>
      </c>
      <c r="Z178" s="25" t="s">
        <v>475</v>
      </c>
      <c r="AA178" s="25" t="s">
        <v>3744</v>
      </c>
      <c r="AB178" s="25"/>
      <c r="AC178" s="25" t="s">
        <v>3745</v>
      </c>
      <c r="AD178" s="25"/>
      <c r="AE178" s="25" t="s">
        <v>243</v>
      </c>
      <c r="AF178" s="35" t="s">
        <v>3746</v>
      </c>
      <c r="AG178" s="27" t="str">
        <f t="shared" si="37"/>
        <v>doi.org</v>
      </c>
      <c r="AH178" s="27" t="str">
        <f t="shared" si="38"/>
        <v>Scholar</v>
      </c>
      <c r="AI178" s="28" t="s">
        <v>245</v>
      </c>
      <c r="AJ178" s="25" t="s">
        <v>185</v>
      </c>
      <c r="AK178" s="4" t="s">
        <v>3747</v>
      </c>
      <c r="AL178" s="25" t="s">
        <v>247</v>
      </c>
      <c r="AM178" s="4" t="s">
        <v>3480</v>
      </c>
      <c r="AN178" s="25" t="s">
        <v>3186</v>
      </c>
      <c r="AO178" s="4" t="s">
        <v>3748</v>
      </c>
      <c r="AP178" s="4" t="s">
        <v>3749</v>
      </c>
      <c r="AQ178" s="25" t="s">
        <v>235</v>
      </c>
      <c r="AR178" s="26" t="str">
        <f>IF($B178="","",IFERROR(INDEX(Paramètres!$Q$6:$Q$13,MATCH($G178,Paramètres!$P$6:$P$13,0)),""))</f>
        <v>Fatigue et endommagement</v>
      </c>
      <c r="AS178" s="26" t="str">
        <f>IF($B178="","",IFERROR(INDEX(Paramètres!$T$6:$T$11,MATCH($I178,Paramètres!$S$6:$S$11,0)),""))</f>
        <v>décembre 2026</v>
      </c>
      <c r="AT178" s="31">
        <f>IF($B178="","",IFERROR(INDEX(Paramètres!$C$27:$C$29,MATCH($H178,Paramètres!$B$27:$B$29,0)),0))</f>
        <v>3</v>
      </c>
      <c r="AU178" s="29"/>
      <c r="AV178" s="32"/>
      <c r="AW178" s="26" t="str">
        <f t="shared" si="39"/>
        <v>underwood2013fam.md</v>
      </c>
      <c r="AX178" s="26">
        <f>IF($B178="","",COUNTIF($I$2:I178,$I178))</f>
        <v>20</v>
      </c>
      <c r="AY178" s="26" t="str">
        <f t="shared" si="40"/>
        <v>3-20</v>
      </c>
      <c r="AZ178" s="26" t="s">
        <v>3750</v>
      </c>
      <c r="BA178" s="36">
        <f t="shared" ca="1" si="41"/>
        <v>80.008219999999994</v>
      </c>
      <c r="BB178" t="inlineStr">
        <is>
          <t>BIB-177_Underwood-Kim_2013_Microstructural-investigation-multiscale.pdf</t>
        </is>
      </c>
    </row>
    <row r="179" spans="1:53" ht="165.75" hidden="1" x14ac:dyDescent="0.25">
      <c r="A179" s="25" t="s">
        <v>3751</v>
      </c>
      <c r="B179" s="25" t="s">
        <v>3752</v>
      </c>
      <c r="C179" s="26" t="str">
        <f t="shared" si="35"/>
        <v>Vulcano-Greullet et al. (2010)</v>
      </c>
      <c r="D179" s="4" t="s">
        <v>3753</v>
      </c>
      <c r="E179" s="27" t="str">
        <f>IF(OR($B179="",$AF179=""),"",HYPERLINK(IF(AND(Paramètres!$C$13&lt;&gt;"",$AJ179="Éditeur (abonnement)"),Paramètres!$C$13&amp;$AF179,$AF179),"Ouvrir : "&amp;$AE179))</f>
        <v>Ouvrir : Recherche Google Scholar</v>
      </c>
      <c r="F179" s="28" t="s">
        <v>235</v>
      </c>
      <c r="G179" s="28">
        <v>6</v>
      </c>
      <c r="H179" s="25" t="s">
        <v>338</v>
      </c>
      <c r="I179" s="28">
        <v>6</v>
      </c>
      <c r="J179" s="29" t="s">
        <v>234</v>
      </c>
      <c r="K179" s="26" t="str">
        <f ca="1">IF($B179="","",IF($J179="Lu","Lu",IF($J179="Écarté","Écarté",IF($I179&lt;Paramètres!$C$8,"EN RETARD",IF($I179=Paramètres!$C$8,"Ce mois-ci",IF($I179=Paramètres!$C$8+1,"Mois prochain","À venir"))))))</f>
        <v>À venir</v>
      </c>
      <c r="L179" s="30" t="str">
        <f t="shared" si="36"/>
        <v>Vérification à compléter avant de citer</v>
      </c>
      <c r="M179" s="31">
        <f ca="1">IF($B179="","",IF(OR($J179="Lu",$J179="Écarté"),0,IFERROR(INDEX(Paramètres!$C$17:$C$19,MATCH($H179,Paramètres!$B$17:$B$19,0)),0)+Paramètres!$C$20*(7-$I179)+IF($I179&lt;Paramètres!$C$8,Paramètres!$C$21,0)+IF($F179="Oui",Paramètres!$C$22,0)+IF($AL179&lt;&gt;"Vérifié",Paramètres!$C$23,0)+IF(AND($O179&lt;&gt;"Oui",OR($AJ179="PDF libre",$AJ179="PDF libre (dépôt)")),Paramètres!$C$24,0)))</f>
        <v>80</v>
      </c>
      <c r="N179" s="32"/>
      <c r="O179" s="33" t="str">
        <f ca="1">IF($B179="","Non",HYPERLINK(DossierPDF&amp;$BB179,"Oui"))</f>
        <v>Oui</v>
      </c>
      <c r="P179" s="33" t="s">
        <v>235</v>
      </c>
      <c r="Q179" s="33" t="s">
        <v>235</v>
      </c>
      <c r="R179" s="33"/>
      <c r="S179" s="34"/>
      <c r="T179" s="25" t="s">
        <v>286</v>
      </c>
      <c r="U179" s="26" t="str">
        <f>IF($B179="","",IFERROR(INDEX(Paramètres!$N$6:$N$13,MATCH($T179,Paramètres!$M$6:$M$13,0)),$T179))</f>
        <v>Communication (actes)</v>
      </c>
      <c r="V179" s="4" t="s">
        <v>3754</v>
      </c>
      <c r="W179" s="28">
        <v>2010</v>
      </c>
      <c r="X179" s="4" t="s">
        <v>3755</v>
      </c>
      <c r="Y179" s="25" t="s">
        <v>394</v>
      </c>
      <c r="Z179" s="25"/>
      <c r="AA179" s="25" t="s">
        <v>3756</v>
      </c>
      <c r="AB179" s="25"/>
      <c r="AC179" s="25"/>
      <c r="AD179" s="25"/>
      <c r="AE179" s="25" t="s">
        <v>341</v>
      </c>
      <c r="AF179" s="35" t="s">
        <v>3757</v>
      </c>
      <c r="AG179" s="27" t="str">
        <f t="shared" si="37"/>
        <v/>
      </c>
      <c r="AH179" s="27" t="str">
        <f t="shared" si="38"/>
        <v>Scholar</v>
      </c>
      <c r="AI179" s="28" t="s">
        <v>689</v>
      </c>
      <c r="AJ179" s="25" t="s">
        <v>188</v>
      </c>
      <c r="AK179" s="4" t="s">
        <v>3758</v>
      </c>
      <c r="AL179" s="25" t="s">
        <v>517</v>
      </c>
      <c r="AM179" s="4" t="s">
        <v>3279</v>
      </c>
      <c r="AN179" s="25" t="s">
        <v>3186</v>
      </c>
      <c r="AO179" s="4" t="s">
        <v>3759</v>
      </c>
      <c r="AP179" s="4" t="s">
        <v>3760</v>
      </c>
      <c r="AQ179" s="25" t="s">
        <v>235</v>
      </c>
      <c r="AR179" s="26" t="str">
        <f>IF($B179="","",IFERROR(INDEX(Paramètres!$Q$6:$Q$13,MATCH($G179,Paramètres!$P$6:$P$13,0)),""))</f>
        <v>Fatigue et endommagement</v>
      </c>
      <c r="AS179" s="26" t="str">
        <f>IF($B179="","",IFERROR(INDEX(Paramètres!$T$6:$T$11,MATCH($I179,Paramètres!$S$6:$S$11,0)),""))</f>
        <v>mars 2027</v>
      </c>
      <c r="AT179" s="31">
        <f>IF($B179="","",IFERROR(INDEX(Paramètres!$C$27:$C$29,MATCH($H179,Paramètres!$B$27:$B$29,0)),0))</f>
        <v>3</v>
      </c>
      <c r="AU179" s="29"/>
      <c r="AV179" s="32"/>
      <c r="AW179" s="26" t="str">
        <f t="shared" si="39"/>
        <v>vulcano2010stripping.md</v>
      </c>
      <c r="AX179" s="26">
        <f>IF($B179="","",COUNTIF($I$2:I179,$I179))</f>
        <v>39</v>
      </c>
      <c r="AY179" s="26" t="str">
        <f t="shared" si="40"/>
        <v>6-39</v>
      </c>
      <c r="AZ179" s="26" t="s">
        <v>3757</v>
      </c>
      <c r="BA179" s="36">
        <f t="shared" ca="1" si="41"/>
        <v>80.008210000000005</v>
      </c>
    </row>
    <row r="180" spans="1:53" ht="204" hidden="1" x14ac:dyDescent="0.25">
      <c r="A180" s="25" t="s">
        <v>3761</v>
      </c>
      <c r="B180" s="25" t="s">
        <v>3762</v>
      </c>
      <c r="C180" s="26" t="str">
        <f t="shared" si="35"/>
        <v>Grellet et al. (2016)</v>
      </c>
      <c r="D180" s="4" t="s">
        <v>3763</v>
      </c>
      <c r="E180" s="27" t="str">
        <f>IF(OR($B180="",$AF180=""),"",HYPERLINK(IF(AND(Paramètres!$C$13&lt;&gt;"",$AJ180="Éditeur (abonnement)"),Paramètres!$C$13&amp;$AF180,$AF180),"Ouvrir : "&amp;$AE180))</f>
        <v>Ouvrir : Recherche Google Scholar</v>
      </c>
      <c r="F180" s="28" t="s">
        <v>235</v>
      </c>
      <c r="G180" s="28">
        <v>6</v>
      </c>
      <c r="H180" s="25" t="s">
        <v>405</v>
      </c>
      <c r="I180" s="28">
        <v>6</v>
      </c>
      <c r="J180" s="29" t="s">
        <v>234</v>
      </c>
      <c r="K180" s="26" t="str">
        <f ca="1">IF($B180="","",IF($J180="Lu","Lu",IF($J180="Écarté","Écarté",IF($I180&lt;Paramètres!$C$8,"EN RETARD",IF($I180=Paramètres!$C$8,"Ce mois-ci",IF($I180=Paramètres!$C$8+1,"Mois prochain","À venir"))))))</f>
        <v>À venir</v>
      </c>
      <c r="L180" s="30" t="str">
        <f t="shared" si="36"/>
        <v>Vérification à compléter avant de citer</v>
      </c>
      <c r="M180" s="31">
        <f ca="1">IF($B180="","",IF(OR($J180="Lu",$J180="Écarté"),0,IFERROR(INDEX(Paramètres!$C$17:$C$19,MATCH($H180,Paramètres!$B$17:$B$19,0)),0)+Paramètres!$C$20*(7-$I180)+IF($I180&lt;Paramètres!$C$8,Paramètres!$C$21,0)+IF($F180="Oui",Paramètres!$C$22,0)+IF($AL180&lt;&gt;"Vérifié",Paramètres!$C$23,0)+IF(AND($O180&lt;&gt;"Oui",OR($AJ180="PDF libre",$AJ180="PDF libre (dépôt)")),Paramètres!$C$24,0)))</f>
        <v>50</v>
      </c>
      <c r="N180" s="32"/>
      <c r="O180" s="33" t="str">
        <f ca="1">IF($B180="","Non",HYPERLINK(DossierPDF&amp;$BB180,"Oui"))</f>
        <v>Oui</v>
      </c>
      <c r="P180" s="33" t="s">
        <v>235</v>
      </c>
      <c r="Q180" s="33" t="s">
        <v>235</v>
      </c>
      <c r="R180" s="33"/>
      <c r="S180" s="34"/>
      <c r="T180" s="25" t="s">
        <v>286</v>
      </c>
      <c r="U180" s="26" t="str">
        <f>IF($B180="","",IFERROR(INDEX(Paramètres!$N$6:$N$13,MATCH($T180,Paramètres!$M$6:$M$13,0)),$T180))</f>
        <v>Communication (actes)</v>
      </c>
      <c r="V180" s="4" t="s">
        <v>3764</v>
      </c>
      <c r="W180" s="28">
        <v>2016</v>
      </c>
      <c r="X180" s="4" t="s">
        <v>3765</v>
      </c>
      <c r="Y180" s="25"/>
      <c r="Z180" s="25"/>
      <c r="AA180" s="25" t="s">
        <v>3766</v>
      </c>
      <c r="AB180" s="25"/>
      <c r="AC180" s="25"/>
      <c r="AD180" s="25"/>
      <c r="AE180" s="25" t="s">
        <v>341</v>
      </c>
      <c r="AF180" s="35" t="s">
        <v>3767</v>
      </c>
      <c r="AG180" s="27" t="str">
        <f t="shared" si="37"/>
        <v/>
      </c>
      <c r="AH180" s="27" t="str">
        <f t="shared" si="38"/>
        <v>Scholar</v>
      </c>
      <c r="AI180" s="28" t="s">
        <v>689</v>
      </c>
      <c r="AJ180" s="25" t="s">
        <v>188</v>
      </c>
      <c r="AK180" s="4" t="s">
        <v>3768</v>
      </c>
      <c r="AL180" s="25" t="s">
        <v>517</v>
      </c>
      <c r="AM180" s="4" t="s">
        <v>3279</v>
      </c>
      <c r="AN180" s="25" t="s">
        <v>3186</v>
      </c>
      <c r="AO180" s="4" t="s">
        <v>3769</v>
      </c>
      <c r="AP180" s="4" t="s">
        <v>3770</v>
      </c>
      <c r="AQ180" s="25" t="s">
        <v>235</v>
      </c>
      <c r="AR180" s="26" t="str">
        <f>IF($B180="","",IFERROR(INDEX(Paramètres!$Q$6:$Q$13,MATCH($G180,Paramètres!$P$6:$P$13,0)),""))</f>
        <v>Fatigue et endommagement</v>
      </c>
      <c r="AS180" s="26" t="str">
        <f>IF($B180="","",IFERROR(INDEX(Paramètres!$T$6:$T$11,MATCH($I180,Paramètres!$S$6:$S$11,0)),""))</f>
        <v>mars 2027</v>
      </c>
      <c r="AT180" s="31">
        <f>IF($B180="","",IFERROR(INDEX(Paramètres!$C$27:$C$29,MATCH($H180,Paramètres!$B$27:$B$29,0)),0))</f>
        <v>1</v>
      </c>
      <c r="AU180" s="29"/>
      <c r="AV180" s="32"/>
      <c r="AW180" s="26" t="str">
        <f t="shared" si="39"/>
        <v>grellet2016interfaces.md</v>
      </c>
      <c r="AX180" s="26">
        <f>IF($B180="","",COUNTIF($I$2:I180,$I180))</f>
        <v>40</v>
      </c>
      <c r="AY180" s="26" t="str">
        <f t="shared" si="40"/>
        <v>6-40</v>
      </c>
      <c r="AZ180" s="26" t="s">
        <v>3767</v>
      </c>
      <c r="BA180" s="36">
        <f t="shared" ca="1" si="41"/>
        <v>50.008200000000002</v>
      </c>
    </row>
    <row r="181" spans="1:53" hidden="1" x14ac:dyDescent="0.25">
      <c r="A181" s="25"/>
      <c r="B181" s="25"/>
      <c r="C181" s="26" t="str">
        <f t="shared" si="35"/>
        <v/>
      </c>
      <c r="D181" s="4"/>
      <c r="E181" s="27" t="str">
        <f>IF(OR($B181="",$AF181=""),"",HYPERLINK(IF(AND(Paramètres!$C$13&lt;&gt;"",$AJ181="Éditeur (abonnement)"),Paramètres!$C$13&amp;$AF181,$AF181),"Ouvrir : "&amp;$AE181))</f>
        <v/>
      </c>
      <c r="F181" s="28"/>
      <c r="G181" s="28"/>
      <c r="H181" s="25"/>
      <c r="I181" s="28"/>
      <c r="J181" s="29"/>
      <c r="K181" s="26" t="str">
        <f>IF($B181="","",IF($J181="Lu","Lu",IF($J181="Écarté","Écarté",IF($I181&lt;Paramètres!$C$8,"EN RETARD",IF($I181=Paramètres!$C$8,"Ce mois-ci",IF($I181=Paramètres!$C$8+1,"Mois prochain","À venir"))))))</f>
        <v/>
      </c>
      <c r="L181" s="30" t="str">
        <f t="shared" si="36"/>
        <v/>
      </c>
      <c r="M181" s="31" t="str">
        <f>IF($B181="","",IF(OR($J181="Lu",$J181="Écarté"),0,IFERROR(INDEX(Paramètres!$C$17:$C$19,MATCH($H181,Paramètres!$B$17:$B$19,0)),0)+Paramètres!$C$20*(7-$I181)+IF($I181&lt;Paramètres!$C$8,Paramètres!$C$21,0)+IF($F181="Oui",Paramètres!$C$22,0)+IF($AL181&lt;&gt;"Vérifié",Paramètres!$C$23,0)+IF(AND($O181&lt;&gt;"Oui",OR($AJ181="PDF libre",$AJ181="PDF libre (dépôt)")),Paramètres!$C$24,0)))</f>
        <v/>
      </c>
      <c r="N181" s="32"/>
      <c r="O181" s="33"/>
      <c r="P181" s="33"/>
      <c r="Q181" s="33"/>
      <c r="R181" s="33"/>
      <c r="S181" s="34"/>
      <c r="T181" s="25"/>
      <c r="U181" s="26" t="str">
        <f>IF($B181="","",IFERROR(INDEX(Paramètres!$N$6:$N$13,MATCH($T181,Paramètres!$M$6:$M$13,0)),$T181))</f>
        <v/>
      </c>
      <c r="V181" s="4"/>
      <c r="W181" s="28"/>
      <c r="X181" s="4"/>
      <c r="Y181" s="25"/>
      <c r="Z181" s="25"/>
      <c r="AA181" s="25"/>
      <c r="AB181" s="25"/>
      <c r="AC181" s="25"/>
      <c r="AD181" s="25"/>
      <c r="AE181" s="25"/>
      <c r="AF181" s="35"/>
      <c r="AG181" s="27" t="str">
        <f t="shared" si="37"/>
        <v/>
      </c>
      <c r="AH181" s="27" t="str">
        <f t="shared" si="38"/>
        <v/>
      </c>
      <c r="AI181" s="28"/>
      <c r="AJ181" s="25"/>
      <c r="AK181" s="4"/>
      <c r="AL181" s="25"/>
      <c r="AM181" s="4"/>
      <c r="AN181" s="25"/>
      <c r="AO181" s="4"/>
      <c r="AP181" s="4"/>
      <c r="AQ181" s="25"/>
      <c r="AR181" s="26" t="str">
        <f>IF($B181="","",IFERROR(INDEX(Paramètres!$Q$6:$Q$13,MATCH($G181,Paramètres!$P$6:$P$13,0)),""))</f>
        <v/>
      </c>
      <c r="AS181" s="26" t="str">
        <f>IF($B181="","",IFERROR(INDEX(Paramètres!$T$6:$T$11,MATCH($I181,Paramètres!$S$6:$S$11,0)),""))</f>
        <v/>
      </c>
      <c r="AT181" s="31" t="str">
        <f>IF($B181="","",IFERROR(INDEX(Paramètres!$C$27:$C$29,MATCH($H181,Paramètres!$B$27:$B$29,0)),0))</f>
        <v/>
      </c>
      <c r="AU181" s="29"/>
      <c r="AV181" s="32"/>
      <c r="AW181" s="26" t="str">
        <f t="shared" si="39"/>
        <v/>
      </c>
      <c r="AX181" s="26" t="str">
        <f>IF($B181="","",COUNTIF($I$2:I181,$I181))</f>
        <v/>
      </c>
      <c r="AY181" s="26" t="str">
        <f t="shared" si="40"/>
        <v/>
      </c>
      <c r="AZ181" s="26"/>
      <c r="BA181" s="36" t="str">
        <f t="shared" si="41"/>
        <v/>
      </c>
    </row>
    <row r="182" spans="1:53" hidden="1" x14ac:dyDescent="0.25">
      <c r="A182" s="25"/>
      <c r="B182" s="25"/>
      <c r="C182" s="26" t="str">
        <f t="shared" si="35"/>
        <v/>
      </c>
      <c r="D182" s="4"/>
      <c r="E182" s="27" t="str">
        <f>IF(OR($B182="",$AF182=""),"",HYPERLINK(IF(AND(Paramètres!$C$13&lt;&gt;"",$AJ182="Éditeur (abonnement)"),Paramètres!$C$13&amp;$AF182,$AF182),"Ouvrir : "&amp;$AE182))</f>
        <v/>
      </c>
      <c r="F182" s="28"/>
      <c r="G182" s="28"/>
      <c r="H182" s="25"/>
      <c r="I182" s="28"/>
      <c r="J182" s="29"/>
      <c r="K182" s="26" t="str">
        <f>IF($B182="","",IF($J182="Lu","Lu",IF($J182="Écarté","Écarté",IF($I182&lt;Paramètres!$C$8,"EN RETARD",IF($I182=Paramètres!$C$8,"Ce mois-ci",IF($I182=Paramètres!$C$8+1,"Mois prochain","À venir"))))))</f>
        <v/>
      </c>
      <c r="L182" s="30" t="str">
        <f t="shared" si="36"/>
        <v/>
      </c>
      <c r="M182" s="31" t="str">
        <f>IF($B182="","",IF(OR($J182="Lu",$J182="Écarté"),0,IFERROR(INDEX(Paramètres!$C$17:$C$19,MATCH($H182,Paramètres!$B$17:$B$19,0)),0)+Paramètres!$C$20*(7-$I182)+IF($I182&lt;Paramètres!$C$8,Paramètres!$C$21,0)+IF($F182="Oui",Paramètres!$C$22,0)+IF($AL182&lt;&gt;"Vérifié",Paramètres!$C$23,0)+IF(AND($O182&lt;&gt;"Oui",OR($AJ182="PDF libre",$AJ182="PDF libre (dépôt)")),Paramètres!$C$24,0)))</f>
        <v/>
      </c>
      <c r="N182" s="32"/>
      <c r="O182" s="33"/>
      <c r="P182" s="33"/>
      <c r="Q182" s="33"/>
      <c r="R182" s="33"/>
      <c r="S182" s="34"/>
      <c r="T182" s="25"/>
      <c r="U182" s="26" t="str">
        <f>IF($B182="","",IFERROR(INDEX(Paramètres!$N$6:$N$13,MATCH($T182,Paramètres!$M$6:$M$13,0)),$T182))</f>
        <v/>
      </c>
      <c r="V182" s="4"/>
      <c r="W182" s="28"/>
      <c r="X182" s="4"/>
      <c r="Y182" s="25"/>
      <c r="Z182" s="25"/>
      <c r="AA182" s="25"/>
      <c r="AB182" s="25"/>
      <c r="AC182" s="25"/>
      <c r="AD182" s="25"/>
      <c r="AE182" s="25"/>
      <c r="AF182" s="35"/>
      <c r="AG182" s="27" t="str">
        <f t="shared" si="37"/>
        <v/>
      </c>
      <c r="AH182" s="27" t="str">
        <f t="shared" si="38"/>
        <v/>
      </c>
      <c r="AI182" s="28"/>
      <c r="AJ182" s="25"/>
      <c r="AK182" s="4"/>
      <c r="AL182" s="25"/>
      <c r="AM182" s="4"/>
      <c r="AN182" s="25"/>
      <c r="AO182" s="4"/>
      <c r="AP182" s="4"/>
      <c r="AQ182" s="25"/>
      <c r="AR182" s="26" t="str">
        <f>IF($B182="","",IFERROR(INDEX(Paramètres!$Q$6:$Q$13,MATCH($G182,Paramètres!$P$6:$P$13,0)),""))</f>
        <v/>
      </c>
      <c r="AS182" s="26" t="str">
        <f>IF($B182="","",IFERROR(INDEX(Paramètres!$T$6:$T$11,MATCH($I182,Paramètres!$S$6:$S$11,0)),""))</f>
        <v/>
      </c>
      <c r="AT182" s="31" t="str">
        <f>IF($B182="","",IFERROR(INDEX(Paramètres!$C$27:$C$29,MATCH($H182,Paramètres!$B$27:$B$29,0)),0))</f>
        <v/>
      </c>
      <c r="AU182" s="29"/>
      <c r="AV182" s="32"/>
      <c r="AW182" s="26" t="str">
        <f t="shared" si="39"/>
        <v/>
      </c>
      <c r="AX182" s="26" t="str">
        <f>IF($B182="","",COUNTIF($I$2:I182,$I182))</f>
        <v/>
      </c>
      <c r="AY182" s="26" t="str">
        <f t="shared" si="40"/>
        <v/>
      </c>
      <c r="AZ182" s="26"/>
      <c r="BA182" s="36" t="str">
        <f t="shared" si="41"/>
        <v/>
      </c>
    </row>
    <row r="183" spans="1:53" hidden="1" x14ac:dyDescent="0.25">
      <c r="A183" s="25"/>
      <c r="B183" s="25"/>
      <c r="C183" s="26" t="str">
        <f t="shared" si="35"/>
        <v/>
      </c>
      <c r="D183" s="4"/>
      <c r="E183" s="27" t="str">
        <f>IF(OR($B183="",$AF183=""),"",HYPERLINK(IF(AND(Paramètres!$C$13&lt;&gt;"",$AJ183="Éditeur (abonnement)"),Paramètres!$C$13&amp;$AF183,$AF183),"Ouvrir : "&amp;$AE183))</f>
        <v/>
      </c>
      <c r="F183" s="28"/>
      <c r="G183" s="28"/>
      <c r="H183" s="25"/>
      <c r="I183" s="28"/>
      <c r="J183" s="29"/>
      <c r="K183" s="26" t="str">
        <f>IF($B183="","",IF($J183="Lu","Lu",IF($J183="Écarté","Écarté",IF($I183&lt;Paramètres!$C$8,"EN RETARD",IF($I183=Paramètres!$C$8,"Ce mois-ci",IF($I183=Paramètres!$C$8+1,"Mois prochain","À venir"))))))</f>
        <v/>
      </c>
      <c r="L183" s="30" t="str">
        <f t="shared" si="36"/>
        <v/>
      </c>
      <c r="M183" s="31" t="str">
        <f>IF($B183="","",IF(OR($J183="Lu",$J183="Écarté"),0,IFERROR(INDEX(Paramètres!$C$17:$C$19,MATCH($H183,Paramètres!$B$17:$B$19,0)),0)+Paramètres!$C$20*(7-$I183)+IF($I183&lt;Paramètres!$C$8,Paramètres!$C$21,0)+IF($F183="Oui",Paramètres!$C$22,0)+IF($AL183&lt;&gt;"Vérifié",Paramètres!$C$23,0)+IF(AND($O183&lt;&gt;"Oui",OR($AJ183="PDF libre",$AJ183="PDF libre (dépôt)")),Paramètres!$C$24,0)))</f>
        <v/>
      </c>
      <c r="N183" s="32"/>
      <c r="O183" s="33"/>
      <c r="P183" s="33"/>
      <c r="Q183" s="33"/>
      <c r="R183" s="33"/>
      <c r="S183" s="34"/>
      <c r="T183" s="25"/>
      <c r="U183" s="26" t="str">
        <f>IF($B183="","",IFERROR(INDEX(Paramètres!$N$6:$N$13,MATCH($T183,Paramètres!$M$6:$M$13,0)),$T183))</f>
        <v/>
      </c>
      <c r="V183" s="4"/>
      <c r="W183" s="28"/>
      <c r="X183" s="4"/>
      <c r="Y183" s="25"/>
      <c r="Z183" s="25"/>
      <c r="AA183" s="25"/>
      <c r="AB183" s="25"/>
      <c r="AC183" s="25"/>
      <c r="AD183" s="25"/>
      <c r="AE183" s="25"/>
      <c r="AF183" s="35"/>
      <c r="AG183" s="27" t="str">
        <f t="shared" si="37"/>
        <v/>
      </c>
      <c r="AH183" s="27" t="str">
        <f t="shared" si="38"/>
        <v/>
      </c>
      <c r="AI183" s="28"/>
      <c r="AJ183" s="25"/>
      <c r="AK183" s="4"/>
      <c r="AL183" s="25"/>
      <c r="AM183" s="4"/>
      <c r="AN183" s="25"/>
      <c r="AO183" s="4"/>
      <c r="AP183" s="4"/>
      <c r="AQ183" s="25"/>
      <c r="AR183" s="26" t="str">
        <f>IF($B183="","",IFERROR(INDEX(Paramètres!$Q$6:$Q$13,MATCH($G183,Paramètres!$P$6:$P$13,0)),""))</f>
        <v/>
      </c>
      <c r="AS183" s="26" t="str">
        <f>IF($B183="","",IFERROR(INDEX(Paramètres!$T$6:$T$11,MATCH($I183,Paramètres!$S$6:$S$11,0)),""))</f>
        <v/>
      </c>
      <c r="AT183" s="31" t="str">
        <f>IF($B183="","",IFERROR(INDEX(Paramètres!$C$27:$C$29,MATCH($H183,Paramètres!$B$27:$B$29,0)),0))</f>
        <v/>
      </c>
      <c r="AU183" s="29"/>
      <c r="AV183" s="32"/>
      <c r="AW183" s="26" t="str">
        <f t="shared" si="39"/>
        <v/>
      </c>
      <c r="AX183" s="26" t="str">
        <f>IF($B183="","",COUNTIF($I$2:I183,$I183))</f>
        <v/>
      </c>
      <c r="AY183" s="26" t="str">
        <f t="shared" si="40"/>
        <v/>
      </c>
      <c r="AZ183" s="26"/>
      <c r="BA183" s="36" t="str">
        <f t="shared" si="41"/>
        <v/>
      </c>
    </row>
    <row r="184" spans="1:53" hidden="1" x14ac:dyDescent="0.25">
      <c r="A184" s="25"/>
      <c r="B184" s="25"/>
      <c r="C184" s="26" t="str">
        <f t="shared" si="35"/>
        <v/>
      </c>
      <c r="D184" s="4"/>
      <c r="E184" s="27" t="str">
        <f>IF(OR($B184="",$AF184=""),"",HYPERLINK(IF(AND(Paramètres!$C$13&lt;&gt;"",$AJ184="Éditeur (abonnement)"),Paramètres!$C$13&amp;$AF184,$AF184),"Ouvrir : "&amp;$AE184))</f>
        <v/>
      </c>
      <c r="F184" s="28"/>
      <c r="G184" s="28"/>
      <c r="H184" s="25"/>
      <c r="I184" s="28"/>
      <c r="J184" s="29"/>
      <c r="K184" s="26" t="str">
        <f>IF($B184="","",IF($J184="Lu","Lu",IF($J184="Écarté","Écarté",IF($I184&lt;Paramètres!$C$8,"EN RETARD",IF($I184=Paramètres!$C$8,"Ce mois-ci",IF($I184=Paramètres!$C$8+1,"Mois prochain","À venir"))))))</f>
        <v/>
      </c>
      <c r="L184" s="30" t="str">
        <f t="shared" si="36"/>
        <v/>
      </c>
      <c r="M184" s="31" t="str">
        <f>IF($B184="","",IF(OR($J184="Lu",$J184="Écarté"),0,IFERROR(INDEX(Paramètres!$C$17:$C$19,MATCH($H184,Paramètres!$B$17:$B$19,0)),0)+Paramètres!$C$20*(7-$I184)+IF($I184&lt;Paramètres!$C$8,Paramètres!$C$21,0)+IF($F184="Oui",Paramètres!$C$22,0)+IF($AL184&lt;&gt;"Vérifié",Paramètres!$C$23,0)+IF(AND($O184&lt;&gt;"Oui",OR($AJ184="PDF libre",$AJ184="PDF libre (dépôt)")),Paramètres!$C$24,0)))</f>
        <v/>
      </c>
      <c r="N184" s="32"/>
      <c r="O184" s="33"/>
      <c r="P184" s="33"/>
      <c r="Q184" s="33"/>
      <c r="R184" s="33"/>
      <c r="S184" s="34"/>
      <c r="T184" s="25"/>
      <c r="U184" s="26" t="str">
        <f>IF($B184="","",IFERROR(INDEX(Paramètres!$N$6:$N$13,MATCH($T184,Paramètres!$M$6:$M$13,0)),$T184))</f>
        <v/>
      </c>
      <c r="V184" s="4"/>
      <c r="W184" s="28"/>
      <c r="X184" s="4"/>
      <c r="Y184" s="25"/>
      <c r="Z184" s="25"/>
      <c r="AA184" s="25"/>
      <c r="AB184" s="25"/>
      <c r="AC184" s="25"/>
      <c r="AD184" s="25"/>
      <c r="AE184" s="25"/>
      <c r="AF184" s="35"/>
      <c r="AG184" s="27" t="str">
        <f t="shared" si="37"/>
        <v/>
      </c>
      <c r="AH184" s="27" t="str">
        <f t="shared" si="38"/>
        <v/>
      </c>
      <c r="AI184" s="28"/>
      <c r="AJ184" s="25"/>
      <c r="AK184" s="4"/>
      <c r="AL184" s="25"/>
      <c r="AM184" s="4"/>
      <c r="AN184" s="25"/>
      <c r="AO184" s="4"/>
      <c r="AP184" s="4"/>
      <c r="AQ184" s="25"/>
      <c r="AR184" s="26" t="str">
        <f>IF($B184="","",IFERROR(INDEX(Paramètres!$Q$6:$Q$13,MATCH($G184,Paramètres!$P$6:$P$13,0)),""))</f>
        <v/>
      </c>
      <c r="AS184" s="26" t="str">
        <f>IF($B184="","",IFERROR(INDEX(Paramètres!$T$6:$T$11,MATCH($I184,Paramètres!$S$6:$S$11,0)),""))</f>
        <v/>
      </c>
      <c r="AT184" s="31" t="str">
        <f>IF($B184="","",IFERROR(INDEX(Paramètres!$C$27:$C$29,MATCH($H184,Paramètres!$B$27:$B$29,0)),0))</f>
        <v/>
      </c>
      <c r="AU184" s="29"/>
      <c r="AV184" s="32"/>
      <c r="AW184" s="26" t="str">
        <f t="shared" si="39"/>
        <v/>
      </c>
      <c r="AX184" s="26" t="str">
        <f>IF($B184="","",COUNTIF($I$2:I184,$I184))</f>
        <v/>
      </c>
      <c r="AY184" s="26" t="str">
        <f t="shared" si="40"/>
        <v/>
      </c>
      <c r="AZ184" s="26"/>
      <c r="BA184" s="36" t="str">
        <f t="shared" si="41"/>
        <v/>
      </c>
    </row>
    <row r="185" spans="1:53" hidden="1" x14ac:dyDescent="0.25">
      <c r="A185" s="25"/>
      <c r="B185" s="25"/>
      <c r="C185" s="26" t="str">
        <f t="shared" si="35"/>
        <v/>
      </c>
      <c r="D185" s="4"/>
      <c r="E185" s="27" t="str">
        <f>IF(OR($B185="",$AF185=""),"",HYPERLINK(IF(AND(Paramètres!$C$13&lt;&gt;"",$AJ185="Éditeur (abonnement)"),Paramètres!$C$13&amp;$AF185,$AF185),"Ouvrir : "&amp;$AE185))</f>
        <v/>
      </c>
      <c r="F185" s="28"/>
      <c r="G185" s="28"/>
      <c r="H185" s="25"/>
      <c r="I185" s="28"/>
      <c r="J185" s="29"/>
      <c r="K185" s="26" t="str">
        <f>IF($B185="","",IF($J185="Lu","Lu",IF($J185="Écarté","Écarté",IF($I185&lt;Paramètres!$C$8,"EN RETARD",IF($I185=Paramètres!$C$8,"Ce mois-ci",IF($I185=Paramètres!$C$8+1,"Mois prochain","À venir"))))))</f>
        <v/>
      </c>
      <c r="L185" s="30" t="str">
        <f t="shared" si="36"/>
        <v/>
      </c>
      <c r="M185" s="31" t="str">
        <f>IF($B185="","",IF(OR($J185="Lu",$J185="Écarté"),0,IFERROR(INDEX(Paramètres!$C$17:$C$19,MATCH($H185,Paramètres!$B$17:$B$19,0)),0)+Paramètres!$C$20*(7-$I185)+IF($I185&lt;Paramètres!$C$8,Paramètres!$C$21,0)+IF($F185="Oui",Paramètres!$C$22,0)+IF($AL185&lt;&gt;"Vérifié",Paramètres!$C$23,0)+IF(AND($O185&lt;&gt;"Oui",OR($AJ185="PDF libre",$AJ185="PDF libre (dépôt)")),Paramètres!$C$24,0)))</f>
        <v/>
      </c>
      <c r="N185" s="32"/>
      <c r="O185" s="33"/>
      <c r="P185" s="33"/>
      <c r="Q185" s="33"/>
      <c r="R185" s="33"/>
      <c r="S185" s="34"/>
      <c r="T185" s="25"/>
      <c r="U185" s="26" t="str">
        <f>IF($B185="","",IFERROR(INDEX(Paramètres!$N$6:$N$13,MATCH($T185,Paramètres!$M$6:$M$13,0)),$T185))</f>
        <v/>
      </c>
      <c r="V185" s="4"/>
      <c r="W185" s="28"/>
      <c r="X185" s="4"/>
      <c r="Y185" s="25"/>
      <c r="Z185" s="25"/>
      <c r="AA185" s="25"/>
      <c r="AB185" s="25"/>
      <c r="AC185" s="25"/>
      <c r="AD185" s="25"/>
      <c r="AE185" s="25"/>
      <c r="AF185" s="35"/>
      <c r="AG185" s="27" t="str">
        <f t="shared" si="37"/>
        <v/>
      </c>
      <c r="AH185" s="27" t="str">
        <f t="shared" si="38"/>
        <v/>
      </c>
      <c r="AI185" s="28"/>
      <c r="AJ185" s="25"/>
      <c r="AK185" s="4"/>
      <c r="AL185" s="25"/>
      <c r="AM185" s="4"/>
      <c r="AN185" s="25"/>
      <c r="AO185" s="4"/>
      <c r="AP185" s="4"/>
      <c r="AQ185" s="25"/>
      <c r="AR185" s="26" t="str">
        <f>IF($B185="","",IFERROR(INDEX(Paramètres!$Q$6:$Q$13,MATCH($G185,Paramètres!$P$6:$P$13,0)),""))</f>
        <v/>
      </c>
      <c r="AS185" s="26" t="str">
        <f>IF($B185="","",IFERROR(INDEX(Paramètres!$T$6:$T$11,MATCH($I185,Paramètres!$S$6:$S$11,0)),""))</f>
        <v/>
      </c>
      <c r="AT185" s="31" t="str">
        <f>IF($B185="","",IFERROR(INDEX(Paramètres!$C$27:$C$29,MATCH($H185,Paramètres!$B$27:$B$29,0)),0))</f>
        <v/>
      </c>
      <c r="AU185" s="29"/>
      <c r="AV185" s="32"/>
      <c r="AW185" s="26" t="str">
        <f t="shared" si="39"/>
        <v/>
      </c>
      <c r="AX185" s="26" t="str">
        <f>IF($B185="","",COUNTIF($I$2:I185,$I185))</f>
        <v/>
      </c>
      <c r="AY185" s="26" t="str">
        <f t="shared" si="40"/>
        <v/>
      </c>
      <c r="AZ185" s="26"/>
      <c r="BA185" s="36" t="str">
        <f t="shared" si="41"/>
        <v/>
      </c>
    </row>
    <row r="186" spans="1:53" hidden="1" x14ac:dyDescent="0.25">
      <c r="A186" s="25"/>
      <c r="B186" s="25"/>
      <c r="C186" s="26" t="str">
        <f t="shared" si="35"/>
        <v/>
      </c>
      <c r="D186" s="4"/>
      <c r="E186" s="27" t="str">
        <f>IF(OR($B186="",$AF186=""),"",HYPERLINK(IF(AND(Paramètres!$C$13&lt;&gt;"",$AJ186="Éditeur (abonnement)"),Paramètres!$C$13&amp;$AF186,$AF186),"Ouvrir : "&amp;$AE186))</f>
        <v/>
      </c>
      <c r="F186" s="28"/>
      <c r="G186" s="28"/>
      <c r="H186" s="25"/>
      <c r="I186" s="28"/>
      <c r="J186" s="29"/>
      <c r="K186" s="26" t="str">
        <f>IF($B186="","",IF($J186="Lu","Lu",IF($J186="Écarté","Écarté",IF($I186&lt;Paramètres!$C$8,"EN RETARD",IF($I186=Paramètres!$C$8,"Ce mois-ci",IF($I186=Paramètres!$C$8+1,"Mois prochain","À venir"))))))</f>
        <v/>
      </c>
      <c r="L186" s="30" t="str">
        <f t="shared" si="36"/>
        <v/>
      </c>
      <c r="M186" s="31" t="str">
        <f>IF($B186="","",IF(OR($J186="Lu",$J186="Écarté"),0,IFERROR(INDEX(Paramètres!$C$17:$C$19,MATCH($H186,Paramètres!$B$17:$B$19,0)),0)+Paramètres!$C$20*(7-$I186)+IF($I186&lt;Paramètres!$C$8,Paramètres!$C$21,0)+IF($F186="Oui",Paramètres!$C$22,0)+IF($AL186&lt;&gt;"Vérifié",Paramètres!$C$23,0)+IF(AND($O186&lt;&gt;"Oui",OR($AJ186="PDF libre",$AJ186="PDF libre (dépôt)")),Paramètres!$C$24,0)))</f>
        <v/>
      </c>
      <c r="N186" s="32"/>
      <c r="O186" s="33"/>
      <c r="P186" s="33"/>
      <c r="Q186" s="33"/>
      <c r="R186" s="33"/>
      <c r="S186" s="34"/>
      <c r="T186" s="25"/>
      <c r="U186" s="26" t="str">
        <f>IF($B186="","",IFERROR(INDEX(Paramètres!$N$6:$N$13,MATCH($T186,Paramètres!$M$6:$M$13,0)),$T186))</f>
        <v/>
      </c>
      <c r="V186" s="4"/>
      <c r="W186" s="28"/>
      <c r="X186" s="4"/>
      <c r="Y186" s="25"/>
      <c r="Z186" s="25"/>
      <c r="AA186" s="25"/>
      <c r="AB186" s="25"/>
      <c r="AC186" s="25"/>
      <c r="AD186" s="25"/>
      <c r="AE186" s="25"/>
      <c r="AF186" s="35"/>
      <c r="AG186" s="27" t="str">
        <f t="shared" si="37"/>
        <v/>
      </c>
      <c r="AH186" s="27" t="str">
        <f t="shared" si="38"/>
        <v/>
      </c>
      <c r="AI186" s="28"/>
      <c r="AJ186" s="25"/>
      <c r="AK186" s="4"/>
      <c r="AL186" s="25"/>
      <c r="AM186" s="4"/>
      <c r="AN186" s="25"/>
      <c r="AO186" s="4"/>
      <c r="AP186" s="4"/>
      <c r="AQ186" s="25"/>
      <c r="AR186" s="26" t="str">
        <f>IF($B186="","",IFERROR(INDEX(Paramètres!$Q$6:$Q$13,MATCH($G186,Paramètres!$P$6:$P$13,0)),""))</f>
        <v/>
      </c>
      <c r="AS186" s="26" t="str">
        <f>IF($B186="","",IFERROR(INDEX(Paramètres!$T$6:$T$11,MATCH($I186,Paramètres!$S$6:$S$11,0)),""))</f>
        <v/>
      </c>
      <c r="AT186" s="31" t="str">
        <f>IF($B186="","",IFERROR(INDEX(Paramètres!$C$27:$C$29,MATCH($H186,Paramètres!$B$27:$B$29,0)),0))</f>
        <v/>
      </c>
      <c r="AU186" s="29"/>
      <c r="AV186" s="32"/>
      <c r="AW186" s="26" t="str">
        <f t="shared" si="39"/>
        <v/>
      </c>
      <c r="AX186" s="26" t="str">
        <f>IF($B186="","",COUNTIF($I$2:I186,$I186))</f>
        <v/>
      </c>
      <c r="AY186" s="26" t="str">
        <f t="shared" si="40"/>
        <v/>
      </c>
      <c r="AZ186" s="26"/>
      <c r="BA186" s="36" t="str">
        <f t="shared" si="41"/>
        <v/>
      </c>
    </row>
    <row r="187" spans="1:53" hidden="1" x14ac:dyDescent="0.25">
      <c r="A187" s="25"/>
      <c r="B187" s="25"/>
      <c r="C187" s="26" t="str">
        <f t="shared" si="35"/>
        <v/>
      </c>
      <c r="D187" s="4"/>
      <c r="E187" s="27" t="str">
        <f>IF(OR($B187="",$AF187=""),"",HYPERLINK(IF(AND(Paramètres!$C$13&lt;&gt;"",$AJ187="Éditeur (abonnement)"),Paramètres!$C$13&amp;$AF187,$AF187),"Ouvrir : "&amp;$AE187))</f>
        <v/>
      </c>
      <c r="F187" s="28"/>
      <c r="G187" s="28"/>
      <c r="H187" s="25"/>
      <c r="I187" s="28"/>
      <c r="J187" s="29"/>
      <c r="K187" s="26" t="str">
        <f>IF($B187="","",IF($J187="Lu","Lu",IF($J187="Écarté","Écarté",IF($I187&lt;Paramètres!$C$8,"EN RETARD",IF($I187=Paramètres!$C$8,"Ce mois-ci",IF($I187=Paramètres!$C$8+1,"Mois prochain","À venir"))))))</f>
        <v/>
      </c>
      <c r="L187" s="30" t="str">
        <f t="shared" si="36"/>
        <v/>
      </c>
      <c r="M187" s="31" t="str">
        <f>IF($B187="","",IF(OR($J187="Lu",$J187="Écarté"),0,IFERROR(INDEX(Paramètres!$C$17:$C$19,MATCH($H187,Paramètres!$B$17:$B$19,0)),0)+Paramètres!$C$20*(7-$I187)+IF($I187&lt;Paramètres!$C$8,Paramètres!$C$21,0)+IF($F187="Oui",Paramètres!$C$22,0)+IF($AL187&lt;&gt;"Vérifié",Paramètres!$C$23,0)+IF(AND($O187&lt;&gt;"Oui",OR($AJ187="PDF libre",$AJ187="PDF libre (dépôt)")),Paramètres!$C$24,0)))</f>
        <v/>
      </c>
      <c r="N187" s="32"/>
      <c r="O187" s="33"/>
      <c r="P187" s="33"/>
      <c r="Q187" s="33"/>
      <c r="R187" s="33"/>
      <c r="S187" s="34"/>
      <c r="T187" s="25"/>
      <c r="U187" s="26" t="str">
        <f>IF($B187="","",IFERROR(INDEX(Paramètres!$N$6:$N$13,MATCH($T187,Paramètres!$M$6:$M$13,0)),$T187))</f>
        <v/>
      </c>
      <c r="V187" s="4"/>
      <c r="W187" s="28"/>
      <c r="X187" s="4"/>
      <c r="Y187" s="25"/>
      <c r="Z187" s="25"/>
      <c r="AA187" s="25"/>
      <c r="AB187" s="25"/>
      <c r="AC187" s="25"/>
      <c r="AD187" s="25"/>
      <c r="AE187" s="25"/>
      <c r="AF187" s="35"/>
      <c r="AG187" s="27" t="str">
        <f t="shared" si="37"/>
        <v/>
      </c>
      <c r="AH187" s="27" t="str">
        <f t="shared" si="38"/>
        <v/>
      </c>
      <c r="AI187" s="28"/>
      <c r="AJ187" s="25"/>
      <c r="AK187" s="4"/>
      <c r="AL187" s="25"/>
      <c r="AM187" s="4"/>
      <c r="AN187" s="25"/>
      <c r="AO187" s="4"/>
      <c r="AP187" s="4"/>
      <c r="AQ187" s="25"/>
      <c r="AR187" s="26" t="str">
        <f>IF($B187="","",IFERROR(INDEX(Paramètres!$Q$6:$Q$13,MATCH($G187,Paramètres!$P$6:$P$13,0)),""))</f>
        <v/>
      </c>
      <c r="AS187" s="26" t="str">
        <f>IF($B187="","",IFERROR(INDEX(Paramètres!$T$6:$T$11,MATCH($I187,Paramètres!$S$6:$S$11,0)),""))</f>
        <v/>
      </c>
      <c r="AT187" s="31" t="str">
        <f>IF($B187="","",IFERROR(INDEX(Paramètres!$C$27:$C$29,MATCH($H187,Paramètres!$B$27:$B$29,0)),0))</f>
        <v/>
      </c>
      <c r="AU187" s="29"/>
      <c r="AV187" s="32"/>
      <c r="AW187" s="26" t="str">
        <f t="shared" si="39"/>
        <v/>
      </c>
      <c r="AX187" s="26" t="str">
        <f>IF($B187="","",COUNTIF($I$2:I187,$I187))</f>
        <v/>
      </c>
      <c r="AY187" s="26" t="str">
        <f t="shared" si="40"/>
        <v/>
      </c>
      <c r="AZ187" s="26"/>
      <c r="BA187" s="36" t="str">
        <f t="shared" si="41"/>
        <v/>
      </c>
    </row>
    <row r="188" spans="1:53" hidden="1" x14ac:dyDescent="0.25">
      <c r="A188" s="25"/>
      <c r="B188" s="25"/>
      <c r="C188" s="26" t="str">
        <f t="shared" si="35"/>
        <v/>
      </c>
      <c r="D188" s="4"/>
      <c r="E188" s="27" t="str">
        <f>IF(OR($B188="",$AF188=""),"",HYPERLINK(IF(AND(Paramètres!$C$13&lt;&gt;"",$AJ188="Éditeur (abonnement)"),Paramètres!$C$13&amp;$AF188,$AF188),"Ouvrir : "&amp;$AE188))</f>
        <v/>
      </c>
      <c r="F188" s="28"/>
      <c r="G188" s="28"/>
      <c r="H188" s="25"/>
      <c r="I188" s="28"/>
      <c r="J188" s="29"/>
      <c r="K188" s="26" t="str">
        <f>IF($B188="","",IF($J188="Lu","Lu",IF($J188="Écarté","Écarté",IF($I188&lt;Paramètres!$C$8,"EN RETARD",IF($I188=Paramètres!$C$8,"Ce mois-ci",IF($I188=Paramètres!$C$8+1,"Mois prochain","À venir"))))))</f>
        <v/>
      </c>
      <c r="L188" s="30" t="str">
        <f t="shared" si="36"/>
        <v/>
      </c>
      <c r="M188" s="31" t="str">
        <f>IF($B188="","",IF(OR($J188="Lu",$J188="Écarté"),0,IFERROR(INDEX(Paramètres!$C$17:$C$19,MATCH($H188,Paramètres!$B$17:$B$19,0)),0)+Paramètres!$C$20*(7-$I188)+IF($I188&lt;Paramètres!$C$8,Paramètres!$C$21,0)+IF($F188="Oui",Paramètres!$C$22,0)+IF($AL188&lt;&gt;"Vérifié",Paramètres!$C$23,0)+IF(AND($O188&lt;&gt;"Oui",OR($AJ188="PDF libre",$AJ188="PDF libre (dépôt)")),Paramètres!$C$24,0)))</f>
        <v/>
      </c>
      <c r="N188" s="32"/>
      <c r="O188" s="33"/>
      <c r="P188" s="33"/>
      <c r="Q188" s="33"/>
      <c r="R188" s="33"/>
      <c r="S188" s="34"/>
      <c r="T188" s="25"/>
      <c r="U188" s="26" t="str">
        <f>IF($B188="","",IFERROR(INDEX(Paramètres!$N$6:$N$13,MATCH($T188,Paramètres!$M$6:$M$13,0)),$T188))</f>
        <v/>
      </c>
      <c r="V188" s="4"/>
      <c r="W188" s="28"/>
      <c r="X188" s="4"/>
      <c r="Y188" s="25"/>
      <c r="Z188" s="25"/>
      <c r="AA188" s="25"/>
      <c r="AB188" s="25"/>
      <c r="AC188" s="25"/>
      <c r="AD188" s="25"/>
      <c r="AE188" s="25"/>
      <c r="AF188" s="35"/>
      <c r="AG188" s="27" t="str">
        <f t="shared" si="37"/>
        <v/>
      </c>
      <c r="AH188" s="27" t="str">
        <f t="shared" si="38"/>
        <v/>
      </c>
      <c r="AI188" s="28"/>
      <c r="AJ188" s="25"/>
      <c r="AK188" s="4"/>
      <c r="AL188" s="25"/>
      <c r="AM188" s="4"/>
      <c r="AN188" s="25"/>
      <c r="AO188" s="4"/>
      <c r="AP188" s="4"/>
      <c r="AQ188" s="25"/>
      <c r="AR188" s="26" t="str">
        <f>IF($B188="","",IFERROR(INDEX(Paramètres!$Q$6:$Q$13,MATCH($G188,Paramètres!$P$6:$P$13,0)),""))</f>
        <v/>
      </c>
      <c r="AS188" s="26" t="str">
        <f>IF($B188="","",IFERROR(INDEX(Paramètres!$T$6:$T$11,MATCH($I188,Paramètres!$S$6:$S$11,0)),""))</f>
        <v/>
      </c>
      <c r="AT188" s="31" t="str">
        <f>IF($B188="","",IFERROR(INDEX(Paramètres!$C$27:$C$29,MATCH($H188,Paramètres!$B$27:$B$29,0)),0))</f>
        <v/>
      </c>
      <c r="AU188" s="29"/>
      <c r="AV188" s="32"/>
      <c r="AW188" s="26" t="str">
        <f t="shared" si="39"/>
        <v/>
      </c>
      <c r="AX188" s="26" t="str">
        <f>IF($B188="","",COUNTIF($I$2:I188,$I188))</f>
        <v/>
      </c>
      <c r="AY188" s="26" t="str">
        <f t="shared" si="40"/>
        <v/>
      </c>
      <c r="AZ188" s="26"/>
      <c r="BA188" s="36" t="str">
        <f t="shared" si="41"/>
        <v/>
      </c>
    </row>
    <row r="189" spans="1:53" hidden="1" x14ac:dyDescent="0.25">
      <c r="A189" s="25"/>
      <c r="B189" s="25"/>
      <c r="C189" s="26" t="str">
        <f t="shared" si="35"/>
        <v/>
      </c>
      <c r="D189" s="4"/>
      <c r="E189" s="27" t="str">
        <f>IF(OR($B189="",$AF189=""),"",HYPERLINK(IF(AND(Paramètres!$C$13&lt;&gt;"",$AJ189="Éditeur (abonnement)"),Paramètres!$C$13&amp;$AF189,$AF189),"Ouvrir : "&amp;$AE189))</f>
        <v/>
      </c>
      <c r="F189" s="28"/>
      <c r="G189" s="28"/>
      <c r="H189" s="25"/>
      <c r="I189" s="28"/>
      <c r="J189" s="29"/>
      <c r="K189" s="26" t="str">
        <f>IF($B189="","",IF($J189="Lu","Lu",IF($J189="Écarté","Écarté",IF($I189&lt;Paramètres!$C$8,"EN RETARD",IF($I189=Paramètres!$C$8,"Ce mois-ci",IF($I189=Paramètres!$C$8+1,"Mois prochain","À venir"))))))</f>
        <v/>
      </c>
      <c r="L189" s="30" t="str">
        <f t="shared" si="36"/>
        <v/>
      </c>
      <c r="M189" s="31" t="str">
        <f>IF($B189="","",IF(OR($J189="Lu",$J189="Écarté"),0,IFERROR(INDEX(Paramètres!$C$17:$C$19,MATCH($H189,Paramètres!$B$17:$B$19,0)),0)+Paramètres!$C$20*(7-$I189)+IF($I189&lt;Paramètres!$C$8,Paramètres!$C$21,0)+IF($F189="Oui",Paramètres!$C$22,0)+IF($AL189&lt;&gt;"Vérifié",Paramètres!$C$23,0)+IF(AND($O189&lt;&gt;"Oui",OR($AJ189="PDF libre",$AJ189="PDF libre (dépôt)")),Paramètres!$C$24,0)))</f>
        <v/>
      </c>
      <c r="N189" s="32"/>
      <c r="O189" s="33"/>
      <c r="P189" s="33"/>
      <c r="Q189" s="33"/>
      <c r="R189" s="33"/>
      <c r="S189" s="34"/>
      <c r="T189" s="25"/>
      <c r="U189" s="26" t="str">
        <f>IF($B189="","",IFERROR(INDEX(Paramètres!$N$6:$N$13,MATCH($T189,Paramètres!$M$6:$M$13,0)),$T189))</f>
        <v/>
      </c>
      <c r="V189" s="4"/>
      <c r="W189" s="28"/>
      <c r="X189" s="4"/>
      <c r="Y189" s="25"/>
      <c r="Z189" s="25"/>
      <c r="AA189" s="25"/>
      <c r="AB189" s="25"/>
      <c r="AC189" s="25"/>
      <c r="AD189" s="25"/>
      <c r="AE189" s="25"/>
      <c r="AF189" s="35"/>
      <c r="AG189" s="27" t="str">
        <f t="shared" si="37"/>
        <v/>
      </c>
      <c r="AH189" s="27" t="str">
        <f t="shared" si="38"/>
        <v/>
      </c>
      <c r="AI189" s="28"/>
      <c r="AJ189" s="25"/>
      <c r="AK189" s="4"/>
      <c r="AL189" s="25"/>
      <c r="AM189" s="4"/>
      <c r="AN189" s="25"/>
      <c r="AO189" s="4"/>
      <c r="AP189" s="4"/>
      <c r="AQ189" s="25"/>
      <c r="AR189" s="26" t="str">
        <f>IF($B189="","",IFERROR(INDEX(Paramètres!$Q$6:$Q$13,MATCH($G189,Paramètres!$P$6:$P$13,0)),""))</f>
        <v/>
      </c>
      <c r="AS189" s="26" t="str">
        <f>IF($B189="","",IFERROR(INDEX(Paramètres!$T$6:$T$11,MATCH($I189,Paramètres!$S$6:$S$11,0)),""))</f>
        <v/>
      </c>
      <c r="AT189" s="31" t="str">
        <f>IF($B189="","",IFERROR(INDEX(Paramètres!$C$27:$C$29,MATCH($H189,Paramètres!$B$27:$B$29,0)),0))</f>
        <v/>
      </c>
      <c r="AU189" s="29"/>
      <c r="AV189" s="32"/>
      <c r="AW189" s="26" t="str">
        <f t="shared" si="39"/>
        <v/>
      </c>
      <c r="AX189" s="26" t="str">
        <f>IF($B189="","",COUNTIF($I$2:I189,$I189))</f>
        <v/>
      </c>
      <c r="AY189" s="26" t="str">
        <f t="shared" si="40"/>
        <v/>
      </c>
      <c r="AZ189" s="26"/>
      <c r="BA189" s="36" t="str">
        <f t="shared" si="41"/>
        <v/>
      </c>
    </row>
    <row r="190" spans="1:53" hidden="1" x14ac:dyDescent="0.25">
      <c r="A190" s="25"/>
      <c r="B190" s="25"/>
      <c r="C190" s="26" t="str">
        <f t="shared" si="35"/>
        <v/>
      </c>
      <c r="D190" s="4"/>
      <c r="E190" s="27" t="str">
        <f>IF(OR($B190="",$AF190=""),"",HYPERLINK(IF(AND(Paramètres!$C$13&lt;&gt;"",$AJ190="Éditeur (abonnement)"),Paramètres!$C$13&amp;$AF190,$AF190),"Ouvrir : "&amp;$AE190))</f>
        <v/>
      </c>
      <c r="F190" s="28"/>
      <c r="G190" s="28"/>
      <c r="H190" s="25"/>
      <c r="I190" s="28"/>
      <c r="J190" s="29"/>
      <c r="K190" s="26" t="str">
        <f>IF($B190="","",IF($J190="Lu","Lu",IF($J190="Écarté","Écarté",IF($I190&lt;Paramètres!$C$8,"EN RETARD",IF($I190=Paramètres!$C$8,"Ce mois-ci",IF($I190=Paramètres!$C$8+1,"Mois prochain","À venir"))))))</f>
        <v/>
      </c>
      <c r="L190" s="30" t="str">
        <f t="shared" si="36"/>
        <v/>
      </c>
      <c r="M190" s="31" t="str">
        <f>IF($B190="","",IF(OR($J190="Lu",$J190="Écarté"),0,IFERROR(INDEX(Paramètres!$C$17:$C$19,MATCH($H190,Paramètres!$B$17:$B$19,0)),0)+Paramètres!$C$20*(7-$I190)+IF($I190&lt;Paramètres!$C$8,Paramètres!$C$21,0)+IF($F190="Oui",Paramètres!$C$22,0)+IF($AL190&lt;&gt;"Vérifié",Paramètres!$C$23,0)+IF(AND($O190&lt;&gt;"Oui",OR($AJ190="PDF libre",$AJ190="PDF libre (dépôt)")),Paramètres!$C$24,0)))</f>
        <v/>
      </c>
      <c r="N190" s="32"/>
      <c r="O190" s="33"/>
      <c r="P190" s="33"/>
      <c r="Q190" s="33"/>
      <c r="R190" s="33"/>
      <c r="S190" s="34"/>
      <c r="T190" s="25"/>
      <c r="U190" s="26" t="str">
        <f>IF($B190="","",IFERROR(INDEX(Paramètres!$N$6:$N$13,MATCH($T190,Paramètres!$M$6:$M$13,0)),$T190))</f>
        <v/>
      </c>
      <c r="V190" s="4"/>
      <c r="W190" s="28"/>
      <c r="X190" s="4"/>
      <c r="Y190" s="25"/>
      <c r="Z190" s="25"/>
      <c r="AA190" s="25"/>
      <c r="AB190" s="25"/>
      <c r="AC190" s="25"/>
      <c r="AD190" s="25"/>
      <c r="AE190" s="25"/>
      <c r="AF190" s="35"/>
      <c r="AG190" s="27" t="str">
        <f t="shared" si="37"/>
        <v/>
      </c>
      <c r="AH190" s="27" t="str">
        <f t="shared" si="38"/>
        <v/>
      </c>
      <c r="AI190" s="28"/>
      <c r="AJ190" s="25"/>
      <c r="AK190" s="4"/>
      <c r="AL190" s="25"/>
      <c r="AM190" s="4"/>
      <c r="AN190" s="25"/>
      <c r="AO190" s="4"/>
      <c r="AP190" s="4"/>
      <c r="AQ190" s="25"/>
      <c r="AR190" s="26" t="str">
        <f>IF($B190="","",IFERROR(INDEX(Paramètres!$Q$6:$Q$13,MATCH($G190,Paramètres!$P$6:$P$13,0)),""))</f>
        <v/>
      </c>
      <c r="AS190" s="26" t="str">
        <f>IF($B190="","",IFERROR(INDEX(Paramètres!$T$6:$T$11,MATCH($I190,Paramètres!$S$6:$S$11,0)),""))</f>
        <v/>
      </c>
      <c r="AT190" s="31" t="str">
        <f>IF($B190="","",IFERROR(INDEX(Paramètres!$C$27:$C$29,MATCH($H190,Paramètres!$B$27:$B$29,0)),0))</f>
        <v/>
      </c>
      <c r="AU190" s="29"/>
      <c r="AV190" s="32"/>
      <c r="AW190" s="26" t="str">
        <f t="shared" si="39"/>
        <v/>
      </c>
      <c r="AX190" s="26" t="str">
        <f>IF($B190="","",COUNTIF($I$2:I190,$I190))</f>
        <v/>
      </c>
      <c r="AY190" s="26" t="str">
        <f t="shared" si="40"/>
        <v/>
      </c>
      <c r="AZ190" s="26"/>
      <c r="BA190" s="36" t="str">
        <f t="shared" si="41"/>
        <v/>
      </c>
    </row>
    <row r="191" spans="1:53" hidden="1" x14ac:dyDescent="0.25">
      <c r="A191" s="25"/>
      <c r="B191" s="25"/>
      <c r="C191" s="26" t="str">
        <f t="shared" si="35"/>
        <v/>
      </c>
      <c r="D191" s="4"/>
      <c r="E191" s="27" t="str">
        <f>IF(OR($B191="",$AF191=""),"",HYPERLINK(IF(AND(Paramètres!$C$13&lt;&gt;"",$AJ191="Éditeur (abonnement)"),Paramètres!$C$13&amp;$AF191,$AF191),"Ouvrir : "&amp;$AE191))</f>
        <v/>
      </c>
      <c r="F191" s="28"/>
      <c r="G191" s="28"/>
      <c r="H191" s="25"/>
      <c r="I191" s="28"/>
      <c r="J191" s="29"/>
      <c r="K191" s="26" t="str">
        <f>IF($B191="","",IF($J191="Lu","Lu",IF($J191="Écarté","Écarté",IF($I191&lt;Paramètres!$C$8,"EN RETARD",IF($I191=Paramètres!$C$8,"Ce mois-ci",IF($I191=Paramètres!$C$8+1,"Mois prochain","À venir"))))))</f>
        <v/>
      </c>
      <c r="L191" s="30" t="str">
        <f t="shared" si="36"/>
        <v/>
      </c>
      <c r="M191" s="31" t="str">
        <f>IF($B191="","",IF(OR($J191="Lu",$J191="Écarté"),0,IFERROR(INDEX(Paramètres!$C$17:$C$19,MATCH($H191,Paramètres!$B$17:$B$19,0)),0)+Paramètres!$C$20*(7-$I191)+IF($I191&lt;Paramètres!$C$8,Paramètres!$C$21,0)+IF($F191="Oui",Paramètres!$C$22,0)+IF($AL191&lt;&gt;"Vérifié",Paramètres!$C$23,0)+IF(AND($O191&lt;&gt;"Oui",OR($AJ191="PDF libre",$AJ191="PDF libre (dépôt)")),Paramètres!$C$24,0)))</f>
        <v/>
      </c>
      <c r="N191" s="32"/>
      <c r="O191" s="33"/>
      <c r="P191" s="33"/>
      <c r="Q191" s="33"/>
      <c r="R191" s="33"/>
      <c r="S191" s="34"/>
      <c r="T191" s="25"/>
      <c r="U191" s="26" t="str">
        <f>IF($B191="","",IFERROR(INDEX(Paramètres!$N$6:$N$13,MATCH($T191,Paramètres!$M$6:$M$13,0)),$T191))</f>
        <v/>
      </c>
      <c r="V191" s="4"/>
      <c r="W191" s="28"/>
      <c r="X191" s="4"/>
      <c r="Y191" s="25"/>
      <c r="Z191" s="25"/>
      <c r="AA191" s="25"/>
      <c r="AB191" s="25"/>
      <c r="AC191" s="25"/>
      <c r="AD191" s="25"/>
      <c r="AE191" s="25"/>
      <c r="AF191" s="35"/>
      <c r="AG191" s="27" t="str">
        <f t="shared" si="37"/>
        <v/>
      </c>
      <c r="AH191" s="27" t="str">
        <f t="shared" si="38"/>
        <v/>
      </c>
      <c r="AI191" s="28"/>
      <c r="AJ191" s="25"/>
      <c r="AK191" s="4"/>
      <c r="AL191" s="25"/>
      <c r="AM191" s="4"/>
      <c r="AN191" s="25"/>
      <c r="AO191" s="4"/>
      <c r="AP191" s="4"/>
      <c r="AQ191" s="25"/>
      <c r="AR191" s="26" t="str">
        <f>IF($B191="","",IFERROR(INDEX(Paramètres!$Q$6:$Q$13,MATCH($G191,Paramètres!$P$6:$P$13,0)),""))</f>
        <v/>
      </c>
      <c r="AS191" s="26" t="str">
        <f>IF($B191="","",IFERROR(INDEX(Paramètres!$T$6:$T$11,MATCH($I191,Paramètres!$S$6:$S$11,0)),""))</f>
        <v/>
      </c>
      <c r="AT191" s="31" t="str">
        <f>IF($B191="","",IFERROR(INDEX(Paramètres!$C$27:$C$29,MATCH($H191,Paramètres!$B$27:$B$29,0)),0))</f>
        <v/>
      </c>
      <c r="AU191" s="29"/>
      <c r="AV191" s="32"/>
      <c r="AW191" s="26" t="str">
        <f t="shared" si="39"/>
        <v/>
      </c>
      <c r="AX191" s="26" t="str">
        <f>IF($B191="","",COUNTIF($I$2:I191,$I191))</f>
        <v/>
      </c>
      <c r="AY191" s="26" t="str">
        <f t="shared" si="40"/>
        <v/>
      </c>
      <c r="AZ191" s="26"/>
      <c r="BA191" s="36" t="str">
        <f t="shared" si="41"/>
        <v/>
      </c>
    </row>
    <row r="192" spans="1:53" hidden="1" x14ac:dyDescent="0.25">
      <c r="A192" s="25"/>
      <c r="B192" s="25"/>
      <c r="C192" s="26" t="str">
        <f t="shared" si="35"/>
        <v/>
      </c>
      <c r="D192" s="4"/>
      <c r="E192" s="27" t="str">
        <f>IF(OR($B192="",$AF192=""),"",HYPERLINK(IF(AND(Paramètres!$C$13&lt;&gt;"",$AJ192="Éditeur (abonnement)"),Paramètres!$C$13&amp;$AF192,$AF192),"Ouvrir : "&amp;$AE192))</f>
        <v/>
      </c>
      <c r="F192" s="28"/>
      <c r="G192" s="28"/>
      <c r="H192" s="25"/>
      <c r="I192" s="28"/>
      <c r="J192" s="29"/>
      <c r="K192" s="26" t="str">
        <f>IF($B192="","",IF($J192="Lu","Lu",IF($J192="Écarté","Écarté",IF($I192&lt;Paramètres!$C$8,"EN RETARD",IF($I192=Paramètres!$C$8,"Ce mois-ci",IF($I192=Paramètres!$C$8+1,"Mois prochain","À venir"))))))</f>
        <v/>
      </c>
      <c r="L192" s="30" t="str">
        <f t="shared" si="36"/>
        <v/>
      </c>
      <c r="M192" s="31" t="str">
        <f>IF($B192="","",IF(OR($J192="Lu",$J192="Écarté"),0,IFERROR(INDEX(Paramètres!$C$17:$C$19,MATCH($H192,Paramètres!$B$17:$B$19,0)),0)+Paramètres!$C$20*(7-$I192)+IF($I192&lt;Paramètres!$C$8,Paramètres!$C$21,0)+IF($F192="Oui",Paramètres!$C$22,0)+IF($AL192&lt;&gt;"Vérifié",Paramètres!$C$23,0)+IF(AND($O192&lt;&gt;"Oui",OR($AJ192="PDF libre",$AJ192="PDF libre (dépôt)")),Paramètres!$C$24,0)))</f>
        <v/>
      </c>
      <c r="N192" s="32"/>
      <c r="O192" s="33"/>
      <c r="P192" s="33"/>
      <c r="Q192" s="33"/>
      <c r="R192" s="33"/>
      <c r="S192" s="34"/>
      <c r="T192" s="25"/>
      <c r="U192" s="26" t="str">
        <f>IF($B192="","",IFERROR(INDEX(Paramètres!$N$6:$N$13,MATCH($T192,Paramètres!$M$6:$M$13,0)),$T192))</f>
        <v/>
      </c>
      <c r="V192" s="4"/>
      <c r="W192" s="28"/>
      <c r="X192" s="4"/>
      <c r="Y192" s="25"/>
      <c r="Z192" s="25"/>
      <c r="AA192" s="25"/>
      <c r="AB192" s="25"/>
      <c r="AC192" s="25"/>
      <c r="AD192" s="25"/>
      <c r="AE192" s="25"/>
      <c r="AF192" s="35"/>
      <c r="AG192" s="27" t="str">
        <f t="shared" si="37"/>
        <v/>
      </c>
      <c r="AH192" s="27" t="str">
        <f t="shared" si="38"/>
        <v/>
      </c>
      <c r="AI192" s="28"/>
      <c r="AJ192" s="25"/>
      <c r="AK192" s="4"/>
      <c r="AL192" s="25"/>
      <c r="AM192" s="4"/>
      <c r="AN192" s="25"/>
      <c r="AO192" s="4"/>
      <c r="AP192" s="4"/>
      <c r="AQ192" s="25"/>
      <c r="AR192" s="26" t="str">
        <f>IF($B192="","",IFERROR(INDEX(Paramètres!$Q$6:$Q$13,MATCH($G192,Paramètres!$P$6:$P$13,0)),""))</f>
        <v/>
      </c>
      <c r="AS192" s="26" t="str">
        <f>IF($B192="","",IFERROR(INDEX(Paramètres!$T$6:$T$11,MATCH($I192,Paramètres!$S$6:$S$11,0)),""))</f>
        <v/>
      </c>
      <c r="AT192" s="31" t="str">
        <f>IF($B192="","",IFERROR(INDEX(Paramètres!$C$27:$C$29,MATCH($H192,Paramètres!$B$27:$B$29,0)),0))</f>
        <v/>
      </c>
      <c r="AU192" s="29"/>
      <c r="AV192" s="32"/>
      <c r="AW192" s="26" t="str">
        <f t="shared" si="39"/>
        <v/>
      </c>
      <c r="AX192" s="26" t="str">
        <f>IF($B192="","",COUNTIF($I$2:I192,$I192))</f>
        <v/>
      </c>
      <c r="AY192" s="26" t="str">
        <f t="shared" si="40"/>
        <v/>
      </c>
      <c r="AZ192" s="26"/>
      <c r="BA192" s="36" t="str">
        <f t="shared" si="41"/>
        <v/>
      </c>
    </row>
    <row r="193" spans="1:53" hidden="1" x14ac:dyDescent="0.25">
      <c r="A193" s="25"/>
      <c r="B193" s="25"/>
      <c r="C193" s="26" t="str">
        <f t="shared" si="35"/>
        <v/>
      </c>
      <c r="D193" s="4"/>
      <c r="E193" s="27" t="str">
        <f>IF(OR($B193="",$AF193=""),"",HYPERLINK(IF(AND(Paramètres!$C$13&lt;&gt;"",$AJ193="Éditeur (abonnement)"),Paramètres!$C$13&amp;$AF193,$AF193),"Ouvrir : "&amp;$AE193))</f>
        <v/>
      </c>
      <c r="F193" s="28"/>
      <c r="G193" s="28"/>
      <c r="H193" s="25"/>
      <c r="I193" s="28"/>
      <c r="J193" s="29"/>
      <c r="K193" s="26" t="str">
        <f>IF($B193="","",IF($J193="Lu","Lu",IF($J193="Écarté","Écarté",IF($I193&lt;Paramètres!$C$8,"EN RETARD",IF($I193=Paramètres!$C$8,"Ce mois-ci",IF($I193=Paramètres!$C$8+1,"Mois prochain","À venir"))))))</f>
        <v/>
      </c>
      <c r="L193" s="30" t="str">
        <f t="shared" si="36"/>
        <v/>
      </c>
      <c r="M193" s="31" t="str">
        <f>IF($B193="","",IF(OR($J193="Lu",$J193="Écarté"),0,IFERROR(INDEX(Paramètres!$C$17:$C$19,MATCH($H193,Paramètres!$B$17:$B$19,0)),0)+Paramètres!$C$20*(7-$I193)+IF($I193&lt;Paramètres!$C$8,Paramètres!$C$21,0)+IF($F193="Oui",Paramètres!$C$22,0)+IF($AL193&lt;&gt;"Vérifié",Paramètres!$C$23,0)+IF(AND($O193&lt;&gt;"Oui",OR($AJ193="PDF libre",$AJ193="PDF libre (dépôt)")),Paramètres!$C$24,0)))</f>
        <v/>
      </c>
      <c r="N193" s="32"/>
      <c r="O193" s="33"/>
      <c r="P193" s="33"/>
      <c r="Q193" s="33"/>
      <c r="R193" s="33"/>
      <c r="S193" s="34"/>
      <c r="T193" s="25"/>
      <c r="U193" s="26" t="str">
        <f>IF($B193="","",IFERROR(INDEX(Paramètres!$N$6:$N$13,MATCH($T193,Paramètres!$M$6:$M$13,0)),$T193))</f>
        <v/>
      </c>
      <c r="V193" s="4"/>
      <c r="W193" s="28"/>
      <c r="X193" s="4"/>
      <c r="Y193" s="25"/>
      <c r="Z193" s="25"/>
      <c r="AA193" s="25"/>
      <c r="AB193" s="25"/>
      <c r="AC193" s="25"/>
      <c r="AD193" s="25"/>
      <c r="AE193" s="25"/>
      <c r="AF193" s="35"/>
      <c r="AG193" s="27" t="str">
        <f t="shared" si="37"/>
        <v/>
      </c>
      <c r="AH193" s="27" t="str">
        <f t="shared" si="38"/>
        <v/>
      </c>
      <c r="AI193" s="28"/>
      <c r="AJ193" s="25"/>
      <c r="AK193" s="4"/>
      <c r="AL193" s="25"/>
      <c r="AM193" s="4"/>
      <c r="AN193" s="25"/>
      <c r="AO193" s="4"/>
      <c r="AP193" s="4"/>
      <c r="AQ193" s="25"/>
      <c r="AR193" s="26" t="str">
        <f>IF($B193="","",IFERROR(INDEX(Paramètres!$Q$6:$Q$13,MATCH($G193,Paramètres!$P$6:$P$13,0)),""))</f>
        <v/>
      </c>
      <c r="AS193" s="26" t="str">
        <f>IF($B193="","",IFERROR(INDEX(Paramètres!$T$6:$T$11,MATCH($I193,Paramètres!$S$6:$S$11,0)),""))</f>
        <v/>
      </c>
      <c r="AT193" s="31" t="str">
        <f>IF($B193="","",IFERROR(INDEX(Paramètres!$C$27:$C$29,MATCH($H193,Paramètres!$B$27:$B$29,0)),0))</f>
        <v/>
      </c>
      <c r="AU193" s="29"/>
      <c r="AV193" s="32"/>
      <c r="AW193" s="26" t="str">
        <f t="shared" si="39"/>
        <v/>
      </c>
      <c r="AX193" s="26" t="str">
        <f>IF($B193="","",COUNTIF($I$2:I193,$I193))</f>
        <v/>
      </c>
      <c r="AY193" s="26" t="str">
        <f t="shared" si="40"/>
        <v/>
      </c>
      <c r="AZ193" s="26"/>
      <c r="BA193" s="36" t="str">
        <f t="shared" si="41"/>
        <v/>
      </c>
    </row>
    <row r="194" spans="1:53" hidden="1" x14ac:dyDescent="0.25">
      <c r="A194" s="25"/>
      <c r="B194" s="25"/>
      <c r="C194" s="26" t="str">
        <f t="shared" ref="C194:C201" si="42">IF($B194="","",IFERROR(LEFT(LEFT($V194,FIND(";",$V194&amp;";")-1),FIND(",",LEFT($V194,FIND(";",$V194&amp;";")-1))-1),LEFT($V194,FIND(";",$V194&amp;";")-1))&amp;IF((LEN($V194)-LEN(SUBSTITUTE($V194,";",""))+1)=1,"",IF((LEN($V194)-LEN(SUBSTITUTE($V194,";",""))+1)=2," &amp; "&amp;IFERROR(LEFT(TRIM(MID($V194,FIND(";",$V194)+1,FIND(";",$V194&amp;";",FIND(";",$V194)+1)-FIND(";",$V194)-1)),FIND(",",TRIM(MID($V194,FIND(";",$V194)+1,FIND(";",$V194&amp;";",FIND(";",$V194)+1)-FIND(";",$V194)-1)))-1),TRIM(MID($V194,FIND(";",$V194)+1,FIND(";",$V194&amp;";",FIND(";",$V194)+1)-FIND(";",$V194)-1)))," et al."))&amp;" ("&amp;$W194&amp;")")</f>
        <v/>
      </c>
      <c r="D194" s="4"/>
      <c r="E194" s="27" t="str">
        <f>IF(OR($B194="",$AF194=""),"",HYPERLINK(IF(AND(Paramètres!$C$13&lt;&gt;"",$AJ194="Éditeur (abonnement)"),Paramètres!$C$13&amp;$AF194,$AF194),"Ouvrir : "&amp;$AE194))</f>
        <v/>
      </c>
      <c r="F194" s="28"/>
      <c r="G194" s="28"/>
      <c r="H194" s="25"/>
      <c r="I194" s="28"/>
      <c r="J194" s="29"/>
      <c r="K194" s="26" t="str">
        <f>IF($B194="","",IF($J194="Lu","Lu",IF($J194="Écarté","Écarté",IF($I194&lt;Paramètres!$C$8,"EN RETARD",IF($I194=Paramètres!$C$8,"Ce mois-ci",IF($I194=Paramètres!$C$8+1,"Mois prochain","À venir"))))))</f>
        <v/>
      </c>
      <c r="L194" s="30" t="str">
        <f t="shared" ref="L194:L201" si="43">IF($B194="","",IF($AL194="Non vérifié","Ne pas citer en l'état : métadonnées non vérifiées",IF($AL194="Partiel","Vérification à compléter avant de citer",IF($O194="Oui","",IF(OR($AJ194="PDF libre",$AJ194="PDF libre (dépôt)"),"PDF libre à télécharger",IF($AJ194="Éditeur (abonnement)","À télécharger via l'accès ENTPE",IF($AJ194="Payant (boutique)","À consulter via l'abonnement de l'école",IF($AJ194="Non diffusé (à demander)","Document à demander (feuille Demandes)","Texte intégral à localiser"))))))))</f>
        <v/>
      </c>
      <c r="M194" s="31" t="str">
        <f>IF($B194="","",IF(OR($J194="Lu",$J194="Écarté"),0,IFERROR(INDEX(Paramètres!$C$17:$C$19,MATCH($H194,Paramètres!$B$17:$B$19,0)),0)+Paramètres!$C$20*(7-$I194)+IF($I194&lt;Paramètres!$C$8,Paramètres!$C$21,0)+IF($F194="Oui",Paramètres!$C$22,0)+IF($AL194&lt;&gt;"Vérifié",Paramètres!$C$23,0)+IF(AND($O194&lt;&gt;"Oui",OR($AJ194="PDF libre",$AJ194="PDF libre (dépôt)")),Paramètres!$C$24,0)))</f>
        <v/>
      </c>
      <c r="N194" s="32"/>
      <c r="O194" s="33"/>
      <c r="P194" s="33"/>
      <c r="Q194" s="33"/>
      <c r="R194" s="33"/>
      <c r="S194" s="34"/>
      <c r="T194" s="25"/>
      <c r="U194" s="26" t="str">
        <f>IF($B194="","",IFERROR(INDEX(Paramètres!$N$6:$N$13,MATCH($T194,Paramètres!$M$6:$M$13,0)),$T194))</f>
        <v/>
      </c>
      <c r="V194" s="4"/>
      <c r="W194" s="28"/>
      <c r="X194" s="4"/>
      <c r="Y194" s="25"/>
      <c r="Z194" s="25"/>
      <c r="AA194" s="25"/>
      <c r="AB194" s="25"/>
      <c r="AC194" s="25"/>
      <c r="AD194" s="25"/>
      <c r="AE194" s="25"/>
      <c r="AF194" s="35"/>
      <c r="AG194" s="27" t="str">
        <f t="shared" ref="AG194:AG201" si="44">IF($AC194="","",HYPERLINK("https://doi.org/"&amp;$AC194,"doi.org"))</f>
        <v/>
      </c>
      <c r="AH194" s="27" t="str">
        <f t="shared" ref="AH194:AH201" si="45">IF($AZ194="","",HYPERLINK($AZ194,"Scholar"))</f>
        <v/>
      </c>
      <c r="AI194" s="28"/>
      <c r="AJ194" s="25"/>
      <c r="AK194" s="4"/>
      <c r="AL194" s="25"/>
      <c r="AM194" s="4"/>
      <c r="AN194" s="25"/>
      <c r="AO194" s="4"/>
      <c r="AP194" s="4"/>
      <c r="AQ194" s="25"/>
      <c r="AR194" s="26" t="str">
        <f>IF($B194="","",IFERROR(INDEX(Paramètres!$Q$6:$Q$13,MATCH($G194,Paramètres!$P$6:$P$13,0)),""))</f>
        <v/>
      </c>
      <c r="AS194" s="26" t="str">
        <f>IF($B194="","",IFERROR(INDEX(Paramètres!$T$6:$T$11,MATCH($I194,Paramètres!$S$6:$S$11,0)),""))</f>
        <v/>
      </c>
      <c r="AT194" s="31" t="str">
        <f>IF($B194="","",IFERROR(INDEX(Paramètres!$C$27:$C$29,MATCH($H194,Paramètres!$B$27:$B$29,0)),0))</f>
        <v/>
      </c>
      <c r="AU194" s="29"/>
      <c r="AV194" s="32"/>
      <c r="AW194" s="26" t="str">
        <f t="shared" ref="AW194:AW201" si="46">IF($B194="","",$B194&amp;".md")</f>
        <v/>
      </c>
      <c r="AX194" s="26" t="str">
        <f>IF($B194="","",COUNTIF($I$2:I194,$I194))</f>
        <v/>
      </c>
      <c r="AY194" s="26" t="str">
        <f t="shared" ref="AY194:AY201" si="47">IF($B194="","",$I194&amp;"-"&amp;$AX194)</f>
        <v/>
      </c>
      <c r="AZ194" s="26"/>
      <c r="BA194" s="36" t="str">
        <f t="shared" ref="BA194:BA201" si="48">IF($B194="","",$M194+(1000-ROW())/100000)</f>
        <v/>
      </c>
    </row>
    <row r="195" spans="1:53" hidden="1" x14ac:dyDescent="0.25">
      <c r="A195" s="25"/>
      <c r="B195" s="25"/>
      <c r="C195" s="26" t="str">
        <f t="shared" si="42"/>
        <v/>
      </c>
      <c r="D195" s="4"/>
      <c r="E195" s="27" t="str">
        <f>IF(OR($B195="",$AF195=""),"",HYPERLINK(IF(AND(Paramètres!$C$13&lt;&gt;"",$AJ195="Éditeur (abonnement)"),Paramètres!$C$13&amp;$AF195,$AF195),"Ouvrir : "&amp;$AE195))</f>
        <v/>
      </c>
      <c r="F195" s="28"/>
      <c r="G195" s="28"/>
      <c r="H195" s="25"/>
      <c r="I195" s="28"/>
      <c r="J195" s="29"/>
      <c r="K195" s="26" t="str">
        <f>IF($B195="","",IF($J195="Lu","Lu",IF($J195="Écarté","Écarté",IF($I195&lt;Paramètres!$C$8,"EN RETARD",IF($I195=Paramètres!$C$8,"Ce mois-ci",IF($I195=Paramètres!$C$8+1,"Mois prochain","À venir"))))))</f>
        <v/>
      </c>
      <c r="L195" s="30" t="str">
        <f t="shared" si="43"/>
        <v/>
      </c>
      <c r="M195" s="31" t="str">
        <f>IF($B195="","",IF(OR($J195="Lu",$J195="Écarté"),0,IFERROR(INDEX(Paramètres!$C$17:$C$19,MATCH($H195,Paramètres!$B$17:$B$19,0)),0)+Paramètres!$C$20*(7-$I195)+IF($I195&lt;Paramètres!$C$8,Paramètres!$C$21,0)+IF($F195="Oui",Paramètres!$C$22,0)+IF($AL195&lt;&gt;"Vérifié",Paramètres!$C$23,0)+IF(AND($O195&lt;&gt;"Oui",OR($AJ195="PDF libre",$AJ195="PDF libre (dépôt)")),Paramètres!$C$24,0)))</f>
        <v/>
      </c>
      <c r="N195" s="32"/>
      <c r="O195" s="33"/>
      <c r="P195" s="33"/>
      <c r="Q195" s="33"/>
      <c r="R195" s="33"/>
      <c r="S195" s="34"/>
      <c r="T195" s="25"/>
      <c r="U195" s="26" t="str">
        <f>IF($B195="","",IFERROR(INDEX(Paramètres!$N$6:$N$13,MATCH($T195,Paramètres!$M$6:$M$13,0)),$T195))</f>
        <v/>
      </c>
      <c r="V195" s="4"/>
      <c r="W195" s="28"/>
      <c r="X195" s="4"/>
      <c r="Y195" s="25"/>
      <c r="Z195" s="25"/>
      <c r="AA195" s="25"/>
      <c r="AB195" s="25"/>
      <c r="AC195" s="25"/>
      <c r="AD195" s="25"/>
      <c r="AE195" s="25"/>
      <c r="AF195" s="35"/>
      <c r="AG195" s="27" t="str">
        <f t="shared" si="44"/>
        <v/>
      </c>
      <c r="AH195" s="27" t="str">
        <f t="shared" si="45"/>
        <v/>
      </c>
      <c r="AI195" s="28"/>
      <c r="AJ195" s="25"/>
      <c r="AK195" s="4"/>
      <c r="AL195" s="25"/>
      <c r="AM195" s="4"/>
      <c r="AN195" s="25"/>
      <c r="AO195" s="4"/>
      <c r="AP195" s="4"/>
      <c r="AQ195" s="25"/>
      <c r="AR195" s="26" t="str">
        <f>IF($B195="","",IFERROR(INDEX(Paramètres!$Q$6:$Q$13,MATCH($G195,Paramètres!$P$6:$P$13,0)),""))</f>
        <v/>
      </c>
      <c r="AS195" s="26" t="str">
        <f>IF($B195="","",IFERROR(INDEX(Paramètres!$T$6:$T$11,MATCH($I195,Paramètres!$S$6:$S$11,0)),""))</f>
        <v/>
      </c>
      <c r="AT195" s="31" t="str">
        <f>IF($B195="","",IFERROR(INDEX(Paramètres!$C$27:$C$29,MATCH($H195,Paramètres!$B$27:$B$29,0)),0))</f>
        <v/>
      </c>
      <c r="AU195" s="29"/>
      <c r="AV195" s="32"/>
      <c r="AW195" s="26" t="str">
        <f t="shared" si="46"/>
        <v/>
      </c>
      <c r="AX195" s="26" t="str">
        <f>IF($B195="","",COUNTIF($I$2:I195,$I195))</f>
        <v/>
      </c>
      <c r="AY195" s="26" t="str">
        <f t="shared" si="47"/>
        <v/>
      </c>
      <c r="AZ195" s="26"/>
      <c r="BA195" s="36" t="str">
        <f t="shared" si="48"/>
        <v/>
      </c>
    </row>
    <row r="196" spans="1:53" hidden="1" x14ac:dyDescent="0.25">
      <c r="A196" s="25"/>
      <c r="B196" s="25"/>
      <c r="C196" s="26" t="str">
        <f t="shared" si="42"/>
        <v/>
      </c>
      <c r="D196" s="4"/>
      <c r="E196" s="27" t="str">
        <f>IF(OR($B196="",$AF196=""),"",HYPERLINK(IF(AND(Paramètres!$C$13&lt;&gt;"",$AJ196="Éditeur (abonnement)"),Paramètres!$C$13&amp;$AF196,$AF196),"Ouvrir : "&amp;$AE196))</f>
        <v/>
      </c>
      <c r="F196" s="28"/>
      <c r="G196" s="28"/>
      <c r="H196" s="25"/>
      <c r="I196" s="28"/>
      <c r="J196" s="29"/>
      <c r="K196" s="26" t="str">
        <f>IF($B196="","",IF($J196="Lu","Lu",IF($J196="Écarté","Écarté",IF($I196&lt;Paramètres!$C$8,"EN RETARD",IF($I196=Paramètres!$C$8,"Ce mois-ci",IF($I196=Paramètres!$C$8+1,"Mois prochain","À venir"))))))</f>
        <v/>
      </c>
      <c r="L196" s="30" t="str">
        <f t="shared" si="43"/>
        <v/>
      </c>
      <c r="M196" s="31" t="str">
        <f>IF($B196="","",IF(OR($J196="Lu",$J196="Écarté"),0,IFERROR(INDEX(Paramètres!$C$17:$C$19,MATCH($H196,Paramètres!$B$17:$B$19,0)),0)+Paramètres!$C$20*(7-$I196)+IF($I196&lt;Paramètres!$C$8,Paramètres!$C$21,0)+IF($F196="Oui",Paramètres!$C$22,0)+IF($AL196&lt;&gt;"Vérifié",Paramètres!$C$23,0)+IF(AND($O196&lt;&gt;"Oui",OR($AJ196="PDF libre",$AJ196="PDF libre (dépôt)")),Paramètres!$C$24,0)))</f>
        <v/>
      </c>
      <c r="N196" s="32"/>
      <c r="O196" s="33"/>
      <c r="P196" s="33"/>
      <c r="Q196" s="33"/>
      <c r="R196" s="33"/>
      <c r="S196" s="34"/>
      <c r="T196" s="25"/>
      <c r="U196" s="26" t="str">
        <f>IF($B196="","",IFERROR(INDEX(Paramètres!$N$6:$N$13,MATCH($T196,Paramètres!$M$6:$M$13,0)),$T196))</f>
        <v/>
      </c>
      <c r="V196" s="4"/>
      <c r="W196" s="28"/>
      <c r="X196" s="4"/>
      <c r="Y196" s="25"/>
      <c r="Z196" s="25"/>
      <c r="AA196" s="25"/>
      <c r="AB196" s="25"/>
      <c r="AC196" s="25"/>
      <c r="AD196" s="25"/>
      <c r="AE196" s="25"/>
      <c r="AF196" s="35"/>
      <c r="AG196" s="27" t="str">
        <f t="shared" si="44"/>
        <v/>
      </c>
      <c r="AH196" s="27" t="str">
        <f t="shared" si="45"/>
        <v/>
      </c>
      <c r="AI196" s="28"/>
      <c r="AJ196" s="25"/>
      <c r="AK196" s="4"/>
      <c r="AL196" s="25"/>
      <c r="AM196" s="4"/>
      <c r="AN196" s="25"/>
      <c r="AO196" s="4"/>
      <c r="AP196" s="4"/>
      <c r="AQ196" s="25"/>
      <c r="AR196" s="26" t="str">
        <f>IF($B196="","",IFERROR(INDEX(Paramètres!$Q$6:$Q$13,MATCH($G196,Paramètres!$P$6:$P$13,0)),""))</f>
        <v/>
      </c>
      <c r="AS196" s="26" t="str">
        <f>IF($B196="","",IFERROR(INDEX(Paramètres!$T$6:$T$11,MATCH($I196,Paramètres!$S$6:$S$11,0)),""))</f>
        <v/>
      </c>
      <c r="AT196" s="31" t="str">
        <f>IF($B196="","",IFERROR(INDEX(Paramètres!$C$27:$C$29,MATCH($H196,Paramètres!$B$27:$B$29,0)),0))</f>
        <v/>
      </c>
      <c r="AU196" s="29"/>
      <c r="AV196" s="32"/>
      <c r="AW196" s="26" t="str">
        <f t="shared" si="46"/>
        <v/>
      </c>
      <c r="AX196" s="26" t="str">
        <f>IF($B196="","",COUNTIF($I$2:I196,$I196))</f>
        <v/>
      </c>
      <c r="AY196" s="26" t="str">
        <f t="shared" si="47"/>
        <v/>
      </c>
      <c r="AZ196" s="26"/>
      <c r="BA196" s="36" t="str">
        <f t="shared" si="48"/>
        <v/>
      </c>
    </row>
    <row r="197" spans="1:53" hidden="1" x14ac:dyDescent="0.25">
      <c r="A197" s="25"/>
      <c r="B197" s="25"/>
      <c r="C197" s="26" t="str">
        <f t="shared" si="42"/>
        <v/>
      </c>
      <c r="D197" s="4"/>
      <c r="E197" s="27" t="str">
        <f>IF(OR($B197="",$AF197=""),"",HYPERLINK(IF(AND(Paramètres!$C$13&lt;&gt;"",$AJ197="Éditeur (abonnement)"),Paramètres!$C$13&amp;$AF197,$AF197),"Ouvrir : "&amp;$AE197))</f>
        <v/>
      </c>
      <c r="F197" s="28"/>
      <c r="G197" s="28"/>
      <c r="H197" s="25"/>
      <c r="I197" s="28"/>
      <c r="J197" s="29"/>
      <c r="K197" s="26" t="str">
        <f>IF($B197="","",IF($J197="Lu","Lu",IF($J197="Écarté","Écarté",IF($I197&lt;Paramètres!$C$8,"EN RETARD",IF($I197=Paramètres!$C$8,"Ce mois-ci",IF($I197=Paramètres!$C$8+1,"Mois prochain","À venir"))))))</f>
        <v/>
      </c>
      <c r="L197" s="30" t="str">
        <f t="shared" si="43"/>
        <v/>
      </c>
      <c r="M197" s="31" t="str">
        <f>IF($B197="","",IF(OR($J197="Lu",$J197="Écarté"),0,IFERROR(INDEX(Paramètres!$C$17:$C$19,MATCH($H197,Paramètres!$B$17:$B$19,0)),0)+Paramètres!$C$20*(7-$I197)+IF($I197&lt;Paramètres!$C$8,Paramètres!$C$21,0)+IF($F197="Oui",Paramètres!$C$22,0)+IF($AL197&lt;&gt;"Vérifié",Paramètres!$C$23,0)+IF(AND($O197&lt;&gt;"Oui",OR($AJ197="PDF libre",$AJ197="PDF libre (dépôt)")),Paramètres!$C$24,0)))</f>
        <v/>
      </c>
      <c r="N197" s="32"/>
      <c r="O197" s="33"/>
      <c r="P197" s="33"/>
      <c r="Q197" s="33"/>
      <c r="R197" s="33"/>
      <c r="S197" s="34"/>
      <c r="T197" s="25"/>
      <c r="U197" s="26" t="str">
        <f>IF($B197="","",IFERROR(INDEX(Paramètres!$N$6:$N$13,MATCH($T197,Paramètres!$M$6:$M$13,0)),$T197))</f>
        <v/>
      </c>
      <c r="V197" s="4"/>
      <c r="W197" s="28"/>
      <c r="X197" s="4"/>
      <c r="Y197" s="25"/>
      <c r="Z197" s="25"/>
      <c r="AA197" s="25"/>
      <c r="AB197" s="25"/>
      <c r="AC197" s="25"/>
      <c r="AD197" s="25"/>
      <c r="AE197" s="25"/>
      <c r="AF197" s="35"/>
      <c r="AG197" s="27" t="str">
        <f t="shared" si="44"/>
        <v/>
      </c>
      <c r="AH197" s="27" t="str">
        <f t="shared" si="45"/>
        <v/>
      </c>
      <c r="AI197" s="28"/>
      <c r="AJ197" s="25"/>
      <c r="AK197" s="4"/>
      <c r="AL197" s="25"/>
      <c r="AM197" s="4"/>
      <c r="AN197" s="25"/>
      <c r="AO197" s="4"/>
      <c r="AP197" s="4"/>
      <c r="AQ197" s="25"/>
      <c r="AR197" s="26" t="str">
        <f>IF($B197="","",IFERROR(INDEX(Paramètres!$Q$6:$Q$13,MATCH($G197,Paramètres!$P$6:$P$13,0)),""))</f>
        <v/>
      </c>
      <c r="AS197" s="26" t="str">
        <f>IF($B197="","",IFERROR(INDEX(Paramètres!$T$6:$T$11,MATCH($I197,Paramètres!$S$6:$S$11,0)),""))</f>
        <v/>
      </c>
      <c r="AT197" s="31" t="str">
        <f>IF($B197="","",IFERROR(INDEX(Paramètres!$C$27:$C$29,MATCH($H197,Paramètres!$B$27:$B$29,0)),0))</f>
        <v/>
      </c>
      <c r="AU197" s="29"/>
      <c r="AV197" s="32"/>
      <c r="AW197" s="26" t="str">
        <f t="shared" si="46"/>
        <v/>
      </c>
      <c r="AX197" s="26" t="str">
        <f>IF($B197="","",COUNTIF($I$2:I197,$I197))</f>
        <v/>
      </c>
      <c r="AY197" s="26" t="str">
        <f t="shared" si="47"/>
        <v/>
      </c>
      <c r="AZ197" s="26"/>
      <c r="BA197" s="36" t="str">
        <f t="shared" si="48"/>
        <v/>
      </c>
    </row>
    <row r="198" spans="1:53" hidden="1" x14ac:dyDescent="0.25">
      <c r="A198" s="25"/>
      <c r="B198" s="25"/>
      <c r="C198" s="26" t="str">
        <f t="shared" si="42"/>
        <v/>
      </c>
      <c r="D198" s="4"/>
      <c r="E198" s="27" t="str">
        <f>IF(OR($B198="",$AF198=""),"",HYPERLINK(IF(AND(Paramètres!$C$13&lt;&gt;"",$AJ198="Éditeur (abonnement)"),Paramètres!$C$13&amp;$AF198,$AF198),"Ouvrir : "&amp;$AE198))</f>
        <v/>
      </c>
      <c r="F198" s="28"/>
      <c r="G198" s="28"/>
      <c r="H198" s="25"/>
      <c r="I198" s="28"/>
      <c r="J198" s="29"/>
      <c r="K198" s="26" t="str">
        <f>IF($B198="","",IF($J198="Lu","Lu",IF($J198="Écarté","Écarté",IF($I198&lt;Paramètres!$C$8,"EN RETARD",IF($I198=Paramètres!$C$8,"Ce mois-ci",IF($I198=Paramètres!$C$8+1,"Mois prochain","À venir"))))))</f>
        <v/>
      </c>
      <c r="L198" s="30" t="str">
        <f t="shared" si="43"/>
        <v/>
      </c>
      <c r="M198" s="31" t="str">
        <f>IF($B198="","",IF(OR($J198="Lu",$J198="Écarté"),0,IFERROR(INDEX(Paramètres!$C$17:$C$19,MATCH($H198,Paramètres!$B$17:$B$19,0)),0)+Paramètres!$C$20*(7-$I198)+IF($I198&lt;Paramètres!$C$8,Paramètres!$C$21,0)+IF($F198="Oui",Paramètres!$C$22,0)+IF($AL198&lt;&gt;"Vérifié",Paramètres!$C$23,0)+IF(AND($O198&lt;&gt;"Oui",OR($AJ198="PDF libre",$AJ198="PDF libre (dépôt)")),Paramètres!$C$24,0)))</f>
        <v/>
      </c>
      <c r="N198" s="32"/>
      <c r="O198" s="33"/>
      <c r="P198" s="33"/>
      <c r="Q198" s="33"/>
      <c r="R198" s="33"/>
      <c r="S198" s="34"/>
      <c r="T198" s="25"/>
      <c r="U198" s="26" t="str">
        <f>IF($B198="","",IFERROR(INDEX(Paramètres!$N$6:$N$13,MATCH($T198,Paramètres!$M$6:$M$13,0)),$T198))</f>
        <v/>
      </c>
      <c r="V198" s="4"/>
      <c r="W198" s="28"/>
      <c r="X198" s="4"/>
      <c r="Y198" s="25"/>
      <c r="Z198" s="25"/>
      <c r="AA198" s="25"/>
      <c r="AB198" s="25"/>
      <c r="AC198" s="25"/>
      <c r="AD198" s="25"/>
      <c r="AE198" s="25"/>
      <c r="AF198" s="35"/>
      <c r="AG198" s="27" t="str">
        <f t="shared" si="44"/>
        <v/>
      </c>
      <c r="AH198" s="27" t="str">
        <f t="shared" si="45"/>
        <v/>
      </c>
      <c r="AI198" s="28"/>
      <c r="AJ198" s="25"/>
      <c r="AK198" s="4"/>
      <c r="AL198" s="25"/>
      <c r="AM198" s="4"/>
      <c r="AN198" s="25"/>
      <c r="AO198" s="4"/>
      <c r="AP198" s="4"/>
      <c r="AQ198" s="25"/>
      <c r="AR198" s="26" t="str">
        <f>IF($B198="","",IFERROR(INDEX(Paramètres!$Q$6:$Q$13,MATCH($G198,Paramètres!$P$6:$P$13,0)),""))</f>
        <v/>
      </c>
      <c r="AS198" s="26" t="str">
        <f>IF($B198="","",IFERROR(INDEX(Paramètres!$T$6:$T$11,MATCH($I198,Paramètres!$S$6:$S$11,0)),""))</f>
        <v/>
      </c>
      <c r="AT198" s="31" t="str">
        <f>IF($B198="","",IFERROR(INDEX(Paramètres!$C$27:$C$29,MATCH($H198,Paramètres!$B$27:$B$29,0)),0))</f>
        <v/>
      </c>
      <c r="AU198" s="29"/>
      <c r="AV198" s="32"/>
      <c r="AW198" s="26" t="str">
        <f t="shared" si="46"/>
        <v/>
      </c>
      <c r="AX198" s="26" t="str">
        <f>IF($B198="","",COUNTIF($I$2:I198,$I198))</f>
        <v/>
      </c>
      <c r="AY198" s="26" t="str">
        <f t="shared" si="47"/>
        <v/>
      </c>
      <c r="AZ198" s="26"/>
      <c r="BA198" s="36" t="str">
        <f t="shared" si="48"/>
        <v/>
      </c>
    </row>
    <row r="199" spans="1:53" hidden="1" x14ac:dyDescent="0.25">
      <c r="A199" s="25"/>
      <c r="B199" s="25"/>
      <c r="C199" s="26" t="str">
        <f t="shared" si="42"/>
        <v/>
      </c>
      <c r="D199" s="4"/>
      <c r="E199" s="27" t="str">
        <f>IF(OR($B199="",$AF199=""),"",HYPERLINK(IF(AND(Paramètres!$C$13&lt;&gt;"",$AJ199="Éditeur (abonnement)"),Paramètres!$C$13&amp;$AF199,$AF199),"Ouvrir : "&amp;$AE199))</f>
        <v/>
      </c>
      <c r="F199" s="28"/>
      <c r="G199" s="28"/>
      <c r="H199" s="25"/>
      <c r="I199" s="28"/>
      <c r="J199" s="29"/>
      <c r="K199" s="26" t="str">
        <f>IF($B199="","",IF($J199="Lu","Lu",IF($J199="Écarté","Écarté",IF($I199&lt;Paramètres!$C$8,"EN RETARD",IF($I199=Paramètres!$C$8,"Ce mois-ci",IF($I199=Paramètres!$C$8+1,"Mois prochain","À venir"))))))</f>
        <v/>
      </c>
      <c r="L199" s="30" t="str">
        <f t="shared" si="43"/>
        <v/>
      </c>
      <c r="M199" s="31" t="str">
        <f>IF($B199="","",IF(OR($J199="Lu",$J199="Écarté"),0,IFERROR(INDEX(Paramètres!$C$17:$C$19,MATCH($H199,Paramètres!$B$17:$B$19,0)),0)+Paramètres!$C$20*(7-$I199)+IF($I199&lt;Paramètres!$C$8,Paramètres!$C$21,0)+IF($F199="Oui",Paramètres!$C$22,0)+IF($AL199&lt;&gt;"Vérifié",Paramètres!$C$23,0)+IF(AND($O199&lt;&gt;"Oui",OR($AJ199="PDF libre",$AJ199="PDF libre (dépôt)")),Paramètres!$C$24,0)))</f>
        <v/>
      </c>
      <c r="N199" s="32"/>
      <c r="O199" s="33"/>
      <c r="P199" s="33"/>
      <c r="Q199" s="33"/>
      <c r="R199" s="33"/>
      <c r="S199" s="34"/>
      <c r="T199" s="25"/>
      <c r="U199" s="26" t="str">
        <f>IF($B199="","",IFERROR(INDEX(Paramètres!$N$6:$N$13,MATCH($T199,Paramètres!$M$6:$M$13,0)),$T199))</f>
        <v/>
      </c>
      <c r="V199" s="4"/>
      <c r="W199" s="28"/>
      <c r="X199" s="4"/>
      <c r="Y199" s="25"/>
      <c r="Z199" s="25"/>
      <c r="AA199" s="25"/>
      <c r="AB199" s="25"/>
      <c r="AC199" s="25"/>
      <c r="AD199" s="25"/>
      <c r="AE199" s="25"/>
      <c r="AF199" s="35"/>
      <c r="AG199" s="27" t="str">
        <f t="shared" si="44"/>
        <v/>
      </c>
      <c r="AH199" s="27" t="str">
        <f t="shared" si="45"/>
        <v/>
      </c>
      <c r="AI199" s="28"/>
      <c r="AJ199" s="25"/>
      <c r="AK199" s="4"/>
      <c r="AL199" s="25"/>
      <c r="AM199" s="4"/>
      <c r="AN199" s="25"/>
      <c r="AO199" s="4"/>
      <c r="AP199" s="4"/>
      <c r="AQ199" s="25"/>
      <c r="AR199" s="26" t="str">
        <f>IF($B199="","",IFERROR(INDEX(Paramètres!$Q$6:$Q$13,MATCH($G199,Paramètres!$P$6:$P$13,0)),""))</f>
        <v/>
      </c>
      <c r="AS199" s="26" t="str">
        <f>IF($B199="","",IFERROR(INDEX(Paramètres!$T$6:$T$11,MATCH($I199,Paramètres!$S$6:$S$11,0)),""))</f>
        <v/>
      </c>
      <c r="AT199" s="31" t="str">
        <f>IF($B199="","",IFERROR(INDEX(Paramètres!$C$27:$C$29,MATCH($H199,Paramètres!$B$27:$B$29,0)),0))</f>
        <v/>
      </c>
      <c r="AU199" s="29"/>
      <c r="AV199" s="32"/>
      <c r="AW199" s="26" t="str">
        <f t="shared" si="46"/>
        <v/>
      </c>
      <c r="AX199" s="26" t="str">
        <f>IF($B199="","",COUNTIF($I$2:I199,$I199))</f>
        <v/>
      </c>
      <c r="AY199" s="26" t="str">
        <f t="shared" si="47"/>
        <v/>
      </c>
      <c r="AZ199" s="26"/>
      <c r="BA199" s="36" t="str">
        <f t="shared" si="48"/>
        <v/>
      </c>
    </row>
    <row r="200" spans="1:53" hidden="1" x14ac:dyDescent="0.25">
      <c r="A200" s="25"/>
      <c r="B200" s="25"/>
      <c r="C200" s="26" t="str">
        <f t="shared" si="42"/>
        <v/>
      </c>
      <c r="D200" s="4"/>
      <c r="E200" s="27" t="str">
        <f>IF(OR($B200="",$AF200=""),"",HYPERLINK(IF(AND(Paramètres!$C$13&lt;&gt;"",$AJ200="Éditeur (abonnement)"),Paramètres!$C$13&amp;$AF200,$AF200),"Ouvrir : "&amp;$AE200))</f>
        <v/>
      </c>
      <c r="F200" s="28"/>
      <c r="G200" s="28"/>
      <c r="H200" s="25"/>
      <c r="I200" s="28"/>
      <c r="J200" s="29"/>
      <c r="K200" s="26" t="str">
        <f>IF($B200="","",IF($J200="Lu","Lu",IF($J200="Écarté","Écarté",IF($I200&lt;Paramètres!$C$8,"EN RETARD",IF($I200=Paramètres!$C$8,"Ce mois-ci",IF($I200=Paramètres!$C$8+1,"Mois prochain","À venir"))))))</f>
        <v/>
      </c>
      <c r="L200" s="30" t="str">
        <f t="shared" si="43"/>
        <v/>
      </c>
      <c r="M200" s="31" t="str">
        <f>IF($B200="","",IF(OR($J200="Lu",$J200="Écarté"),0,IFERROR(INDEX(Paramètres!$C$17:$C$19,MATCH($H200,Paramètres!$B$17:$B$19,0)),0)+Paramètres!$C$20*(7-$I200)+IF($I200&lt;Paramètres!$C$8,Paramètres!$C$21,0)+IF($F200="Oui",Paramètres!$C$22,0)+IF($AL200&lt;&gt;"Vérifié",Paramètres!$C$23,0)+IF(AND($O200&lt;&gt;"Oui",OR($AJ200="PDF libre",$AJ200="PDF libre (dépôt)")),Paramètres!$C$24,0)))</f>
        <v/>
      </c>
      <c r="N200" s="32"/>
      <c r="O200" s="33"/>
      <c r="P200" s="33"/>
      <c r="Q200" s="33"/>
      <c r="R200" s="33"/>
      <c r="S200" s="34"/>
      <c r="T200" s="25"/>
      <c r="U200" s="26" t="str">
        <f>IF($B200="","",IFERROR(INDEX(Paramètres!$N$6:$N$13,MATCH($T200,Paramètres!$M$6:$M$13,0)),$T200))</f>
        <v/>
      </c>
      <c r="V200" s="4"/>
      <c r="W200" s="28"/>
      <c r="X200" s="4"/>
      <c r="Y200" s="25"/>
      <c r="Z200" s="25"/>
      <c r="AA200" s="25"/>
      <c r="AB200" s="25"/>
      <c r="AC200" s="25"/>
      <c r="AD200" s="25"/>
      <c r="AE200" s="25"/>
      <c r="AF200" s="35"/>
      <c r="AG200" s="27" t="str">
        <f t="shared" si="44"/>
        <v/>
      </c>
      <c r="AH200" s="27" t="str">
        <f t="shared" si="45"/>
        <v/>
      </c>
      <c r="AI200" s="28"/>
      <c r="AJ200" s="25"/>
      <c r="AK200" s="4"/>
      <c r="AL200" s="25"/>
      <c r="AM200" s="4"/>
      <c r="AN200" s="25"/>
      <c r="AO200" s="4"/>
      <c r="AP200" s="4"/>
      <c r="AQ200" s="25"/>
      <c r="AR200" s="26" t="str">
        <f>IF($B200="","",IFERROR(INDEX(Paramètres!$Q$6:$Q$13,MATCH($G200,Paramètres!$P$6:$P$13,0)),""))</f>
        <v/>
      </c>
      <c r="AS200" s="26" t="str">
        <f>IF($B200="","",IFERROR(INDEX(Paramètres!$T$6:$T$11,MATCH($I200,Paramètres!$S$6:$S$11,0)),""))</f>
        <v/>
      </c>
      <c r="AT200" s="31" t="str">
        <f>IF($B200="","",IFERROR(INDEX(Paramètres!$C$27:$C$29,MATCH($H200,Paramètres!$B$27:$B$29,0)),0))</f>
        <v/>
      </c>
      <c r="AU200" s="29"/>
      <c r="AV200" s="32"/>
      <c r="AW200" s="26" t="str">
        <f t="shared" si="46"/>
        <v/>
      </c>
      <c r="AX200" s="26" t="str">
        <f>IF($B200="","",COUNTIF($I$2:I200,$I200))</f>
        <v/>
      </c>
      <c r="AY200" s="26" t="str">
        <f t="shared" si="47"/>
        <v/>
      </c>
      <c r="AZ200" s="26"/>
      <c r="BA200" s="36" t="str">
        <f t="shared" si="48"/>
        <v/>
      </c>
    </row>
    <row r="201" spans="1:53" hidden="1" x14ac:dyDescent="0.25">
      <c r="A201" s="25"/>
      <c r="B201" s="25"/>
      <c r="C201" s="26" t="str">
        <f t="shared" si="42"/>
        <v/>
      </c>
      <c r="D201" s="4"/>
      <c r="E201" s="27" t="str">
        <f>IF(OR($B201="",$AF201=""),"",HYPERLINK(IF(AND(Paramètres!$C$13&lt;&gt;"",$AJ201="Éditeur (abonnement)"),Paramètres!$C$13&amp;$AF201,$AF201),"Ouvrir : "&amp;$AE201))</f>
        <v/>
      </c>
      <c r="F201" s="28"/>
      <c r="G201" s="28"/>
      <c r="H201" s="25"/>
      <c r="I201" s="28"/>
      <c r="J201" s="29"/>
      <c r="K201" s="26" t="str">
        <f>IF($B201="","",IF($J201="Lu","Lu",IF($J201="Écarté","Écarté",IF($I201&lt;Paramètres!$C$8,"EN RETARD",IF($I201=Paramètres!$C$8,"Ce mois-ci",IF($I201=Paramètres!$C$8+1,"Mois prochain","À venir"))))))</f>
        <v/>
      </c>
      <c r="L201" s="30" t="str">
        <f t="shared" si="43"/>
        <v/>
      </c>
      <c r="M201" s="31" t="str">
        <f>IF($B201="","",IF(OR($J201="Lu",$J201="Écarté"),0,IFERROR(INDEX(Paramètres!$C$17:$C$19,MATCH($H201,Paramètres!$B$17:$B$19,0)),0)+Paramètres!$C$20*(7-$I201)+IF($I201&lt;Paramètres!$C$8,Paramètres!$C$21,0)+IF($F201="Oui",Paramètres!$C$22,0)+IF($AL201&lt;&gt;"Vérifié",Paramètres!$C$23,0)+IF(AND($O201&lt;&gt;"Oui",OR($AJ201="PDF libre",$AJ201="PDF libre (dépôt)")),Paramètres!$C$24,0)))</f>
        <v/>
      </c>
      <c r="N201" s="32"/>
      <c r="O201" s="33"/>
      <c r="P201" s="33"/>
      <c r="Q201" s="33"/>
      <c r="R201" s="33"/>
      <c r="S201" s="34"/>
      <c r="T201" s="25"/>
      <c r="U201" s="26" t="str">
        <f>IF($B201="","",IFERROR(INDEX(Paramètres!$N$6:$N$13,MATCH($T201,Paramètres!$M$6:$M$13,0)),$T201))</f>
        <v/>
      </c>
      <c r="V201" s="4"/>
      <c r="W201" s="28"/>
      <c r="X201" s="4"/>
      <c r="Y201" s="25"/>
      <c r="Z201" s="25"/>
      <c r="AA201" s="25"/>
      <c r="AB201" s="25"/>
      <c r="AC201" s="25"/>
      <c r="AD201" s="25"/>
      <c r="AE201" s="25"/>
      <c r="AF201" s="35"/>
      <c r="AG201" s="27" t="str">
        <f t="shared" si="44"/>
        <v/>
      </c>
      <c r="AH201" s="27" t="str">
        <f t="shared" si="45"/>
        <v/>
      </c>
      <c r="AI201" s="28"/>
      <c r="AJ201" s="25"/>
      <c r="AK201" s="4"/>
      <c r="AL201" s="25"/>
      <c r="AM201" s="4"/>
      <c r="AN201" s="25"/>
      <c r="AO201" s="4"/>
      <c r="AP201" s="4"/>
      <c r="AQ201" s="25"/>
      <c r="AR201" s="26" t="str">
        <f>IF($B201="","",IFERROR(INDEX(Paramètres!$Q$6:$Q$13,MATCH($G201,Paramètres!$P$6:$P$13,0)),""))</f>
        <v/>
      </c>
      <c r="AS201" s="26" t="str">
        <f>IF($B201="","",IFERROR(INDEX(Paramètres!$T$6:$T$11,MATCH($I201,Paramètres!$S$6:$S$11,0)),""))</f>
        <v/>
      </c>
      <c r="AT201" s="31" t="str">
        <f>IF($B201="","",IFERROR(INDEX(Paramètres!$C$27:$C$29,MATCH($H201,Paramètres!$B$27:$B$29,0)),0))</f>
        <v/>
      </c>
      <c r="AU201" s="29"/>
      <c r="AV201" s="32"/>
      <c r="AW201" s="26" t="str">
        <f t="shared" si="46"/>
        <v/>
      </c>
      <c r="AX201" s="26" t="str">
        <f>IF($B201="","",COUNTIF($I$2:I201,$I201))</f>
        <v/>
      </c>
      <c r="AY201" s="26" t="str">
        <f t="shared" si="47"/>
        <v/>
      </c>
      <c r="AZ201" s="26"/>
      <c r="BA201" s="36" t="str">
        <f t="shared" si="48"/>
        <v/>
      </c>
    </row>
  </sheetData>
  <autoFilter ref="A1:BA201" xr:uid="{00000000-0009-0000-0000-000002000000}">
    <filterColumn colId="4">
      <filters>
        <filter val="Ouvrir : Page éditeur (DOI)"/>
      </filters>
    </filterColumn>
  </autoFilter>
  <conditionalFormatting sqref="A2:B201">
    <cfRule type="expression" dxfId="67" priority="17">
      <formula>$J2="Lu"</formula>
    </cfRule>
  </conditionalFormatting>
  <conditionalFormatting sqref="F2:F201">
    <cfRule type="expression" dxfId="66" priority="14">
      <formula>$F2="Oui"</formula>
    </cfRule>
  </conditionalFormatting>
  <conditionalFormatting sqref="H2:H201">
    <cfRule type="expression" dxfId="65" priority="13">
      <formula>$H2="INCONTOURNABLE"</formula>
    </cfRule>
  </conditionalFormatting>
  <conditionalFormatting sqref="K2:K201">
    <cfRule type="expression" dxfId="64" priority="2">
      <formula>$K2="EN RETARD"</formula>
    </cfRule>
    <cfRule type="expression" dxfId="63" priority="3">
      <formula>$K2="Ce mois-ci"</formula>
    </cfRule>
    <cfRule type="expression" dxfId="62" priority="4">
      <formula>$K2="Mois prochain"</formula>
    </cfRule>
    <cfRule type="expression" dxfId="61" priority="5">
      <formula>$K2="Lu"</formula>
    </cfRule>
    <cfRule type="expression" dxfId="60" priority="6">
      <formula>$K2="Écarté"</formula>
    </cfRule>
  </conditionalFormatting>
  <conditionalFormatting sqref="L2:L201">
    <cfRule type="expression" dxfId="59" priority="16">
      <formula>LEFT($L2,3)="Ne "</formula>
    </cfRule>
  </conditionalFormatting>
  <conditionalFormatting sqref="M2:M201">
    <cfRule type="colorScale" priority="15">
      <colorScale>
        <cfvo type="num" val="0"/>
        <cfvo type="max"/>
        <color rgb="FFFFFFFF"/>
        <color rgb="FFF4B183"/>
      </colorScale>
    </cfRule>
  </conditionalFormatting>
  <conditionalFormatting sqref="AJ2:AJ201">
    <cfRule type="expression" dxfId="58" priority="10">
      <formula>LEFT($AJ2,9)="PDF libre"</formula>
    </cfRule>
    <cfRule type="expression" dxfId="57" priority="11">
      <formula>$AJ2="Non diffusé (à demander)"</formula>
    </cfRule>
    <cfRule type="expression" dxfId="56" priority="12">
      <formula>OR($AJ2="Payant (boutique)",$AJ2="Notice en ligne (texte à localiser)")</formula>
    </cfRule>
  </conditionalFormatting>
  <conditionalFormatting sqref="AL2:AL201">
    <cfRule type="expression" dxfId="55" priority="7">
      <formula>$AL2="Non vérifié"</formula>
    </cfRule>
    <cfRule type="expression" dxfId="54" priority="8">
      <formula>$AL2="Partiel"</formula>
    </cfRule>
    <cfRule type="expression" dxfId="53" priority="9">
      <formula>$AL2="Vérifié"</formula>
    </cfRule>
  </conditionalFormatting>
  <dataValidations count="2">
    <dataValidation type="whole" allowBlank="1" sqref="I2:I201" xr:uid="{00000000-0002-0000-0200-000006000000}">
      <formula1>1</formula1>
      <formula2>6</formula2>
    </dataValidation>
    <dataValidation type="whole" allowBlank="1" sqref="G2:G201" xr:uid="{00000000-0002-0000-0200-000007000000}">
      <formula1>1</formula1>
      <formula2>8</formula2>
    </dataValidation>
  </dataValidations>
  <hyperlinks>
    <hyperlink ref="AF2" r:id="rId1" xr:uid="{00000000-0004-0000-0200-000000000000}"/>
    <hyperlink ref="AF3" r:id="rId2" xr:uid="{00000000-0004-0000-0200-000001000000}"/>
    <hyperlink ref="AF4" r:id="rId3" xr:uid="{00000000-0004-0000-0200-000002000000}"/>
    <hyperlink ref="AF5" r:id="rId4" xr:uid="{00000000-0004-0000-0200-000003000000}"/>
    <hyperlink ref="AF6" r:id="rId5" xr:uid="{00000000-0004-0000-0200-000004000000}"/>
    <hyperlink ref="AF7" r:id="rId6" xr:uid="{00000000-0004-0000-0200-000005000000}"/>
    <hyperlink ref="AF8" r:id="rId7" xr:uid="{00000000-0004-0000-0200-000006000000}"/>
    <hyperlink ref="AF9" r:id="rId8" xr:uid="{00000000-0004-0000-0200-000007000000}"/>
    <hyperlink ref="AF10" r:id="rId9" xr:uid="{00000000-0004-0000-0200-000008000000}"/>
    <hyperlink ref="AF11" r:id="rId10" xr:uid="{00000000-0004-0000-0200-000009000000}"/>
    <hyperlink ref="AF12" r:id="rId11" xr:uid="{00000000-0004-0000-0200-00000A000000}"/>
    <hyperlink ref="AF13" r:id="rId12" xr:uid="{00000000-0004-0000-0200-00000B000000}"/>
    <hyperlink ref="AF14" r:id="rId13" xr:uid="{00000000-0004-0000-0200-00000C000000}"/>
    <hyperlink ref="AF15" r:id="rId14" xr:uid="{00000000-0004-0000-0200-00000D000000}"/>
    <hyperlink ref="AF16" r:id="rId15" xr:uid="{00000000-0004-0000-0200-00000E000000}"/>
    <hyperlink ref="AF17" r:id="rId16" xr:uid="{00000000-0004-0000-0200-00000F000000}"/>
    <hyperlink ref="AF18" r:id="rId17" xr:uid="{00000000-0004-0000-0200-000010000000}"/>
    <hyperlink ref="AF19" r:id="rId18" xr:uid="{00000000-0004-0000-0200-000011000000}"/>
    <hyperlink ref="AF20" r:id="rId19" xr:uid="{00000000-0004-0000-0200-000012000000}"/>
    <hyperlink ref="AF21" r:id="rId20" xr:uid="{00000000-0004-0000-0200-000013000000}"/>
    <hyperlink ref="AF22" r:id="rId21" xr:uid="{00000000-0004-0000-0200-000014000000}"/>
    <hyperlink ref="AF23" r:id="rId22" xr:uid="{00000000-0004-0000-0200-000015000000}"/>
    <hyperlink ref="AF24" r:id="rId23" xr:uid="{00000000-0004-0000-0200-000016000000}"/>
    <hyperlink ref="AF25" r:id="rId24" xr:uid="{00000000-0004-0000-0200-000017000000}"/>
    <hyperlink ref="AF26" r:id="rId25" xr:uid="{00000000-0004-0000-0200-000018000000}"/>
    <hyperlink ref="AF27" r:id="rId26" xr:uid="{00000000-0004-0000-0200-000019000000}"/>
    <hyperlink ref="AF28" r:id="rId27" xr:uid="{00000000-0004-0000-0200-00001A000000}"/>
    <hyperlink ref="AF29" r:id="rId28" xr:uid="{00000000-0004-0000-0200-00001B000000}"/>
    <hyperlink ref="AF30" r:id="rId29" xr:uid="{00000000-0004-0000-0200-00001C000000}"/>
    <hyperlink ref="AF31" r:id="rId30" xr:uid="{00000000-0004-0000-0200-00001D000000}"/>
    <hyperlink ref="AF32" r:id="rId31" xr:uid="{00000000-0004-0000-0200-00001E000000}"/>
    <hyperlink ref="AF33" r:id="rId32" xr:uid="{00000000-0004-0000-0200-00001F000000}"/>
    <hyperlink ref="AF34" r:id="rId33" xr:uid="{00000000-0004-0000-0200-000020000000}"/>
    <hyperlink ref="AF35" r:id="rId34" xr:uid="{00000000-0004-0000-0200-000021000000}"/>
    <hyperlink ref="AF36" r:id="rId35" xr:uid="{00000000-0004-0000-0200-000022000000}"/>
    <hyperlink ref="AF37" r:id="rId36" xr:uid="{00000000-0004-0000-0200-000023000000}"/>
    <hyperlink ref="AF38" r:id="rId37" xr:uid="{00000000-0004-0000-0200-000024000000}"/>
    <hyperlink ref="AF39" r:id="rId38" xr:uid="{00000000-0004-0000-0200-000025000000}"/>
    <hyperlink ref="AF40" r:id="rId39" xr:uid="{00000000-0004-0000-0200-000026000000}"/>
    <hyperlink ref="AF41" r:id="rId40" xr:uid="{00000000-0004-0000-0200-000027000000}"/>
    <hyperlink ref="AF42" r:id="rId41" xr:uid="{00000000-0004-0000-0200-000028000000}"/>
    <hyperlink ref="AF43" r:id="rId42" xr:uid="{00000000-0004-0000-0200-000029000000}"/>
    <hyperlink ref="AF44" r:id="rId43" xr:uid="{00000000-0004-0000-0200-00002A000000}"/>
    <hyperlink ref="AF45" r:id="rId44" xr:uid="{00000000-0004-0000-0200-00002B000000}"/>
    <hyperlink ref="AF46" r:id="rId45" xr:uid="{00000000-0004-0000-0200-00002C000000}"/>
    <hyperlink ref="AF47" r:id="rId46" xr:uid="{00000000-0004-0000-0200-00002D000000}"/>
    <hyperlink ref="AF48" r:id="rId47" xr:uid="{00000000-0004-0000-0200-00002E000000}"/>
    <hyperlink ref="AF49" r:id="rId48" xr:uid="{00000000-0004-0000-0200-00002F000000}"/>
    <hyperlink ref="AF50" r:id="rId49" xr:uid="{00000000-0004-0000-0200-000030000000}"/>
    <hyperlink ref="AF51" r:id="rId50" xr:uid="{00000000-0004-0000-0200-000031000000}"/>
    <hyperlink ref="AF52" r:id="rId51" xr:uid="{00000000-0004-0000-0200-000032000000}"/>
    <hyperlink ref="AF53" r:id="rId52" xr:uid="{00000000-0004-0000-0200-000033000000}"/>
    <hyperlink ref="AF54" r:id="rId53" xr:uid="{00000000-0004-0000-0200-000034000000}"/>
    <hyperlink ref="AF55" r:id="rId54" xr:uid="{00000000-0004-0000-0200-000035000000}"/>
    <hyperlink ref="AF56" r:id="rId55" xr:uid="{00000000-0004-0000-0200-000036000000}"/>
    <hyperlink ref="AF57" r:id="rId56" xr:uid="{00000000-0004-0000-0200-000037000000}"/>
    <hyperlink ref="AF58" r:id="rId57" xr:uid="{00000000-0004-0000-0200-000038000000}"/>
    <hyperlink ref="AF59" r:id="rId58" xr:uid="{00000000-0004-0000-0200-000039000000}"/>
    <hyperlink ref="AF60" r:id="rId59" xr:uid="{00000000-0004-0000-0200-00003A000000}"/>
    <hyperlink ref="AF61" r:id="rId60" xr:uid="{00000000-0004-0000-0200-00003B000000}"/>
    <hyperlink ref="AF62" r:id="rId61" xr:uid="{00000000-0004-0000-0200-00003C000000}"/>
    <hyperlink ref="AF63" r:id="rId62" xr:uid="{00000000-0004-0000-0200-00003D000000}"/>
    <hyperlink ref="AF64" r:id="rId63" xr:uid="{00000000-0004-0000-0200-00003E000000}"/>
    <hyperlink ref="AF65" r:id="rId64" xr:uid="{00000000-0004-0000-0200-00003F000000}"/>
    <hyperlink ref="AF66" r:id="rId65" xr:uid="{00000000-0004-0000-0200-000040000000}"/>
    <hyperlink ref="AF67" r:id="rId66" xr:uid="{00000000-0004-0000-0200-000041000000}"/>
    <hyperlink ref="AF68" r:id="rId67" xr:uid="{00000000-0004-0000-0200-000042000000}"/>
    <hyperlink ref="AF69" r:id="rId68" xr:uid="{00000000-0004-0000-0200-000043000000}"/>
    <hyperlink ref="AF70" r:id="rId69" xr:uid="{00000000-0004-0000-0200-000044000000}"/>
    <hyperlink ref="AF71" r:id="rId70" xr:uid="{00000000-0004-0000-0200-000045000000}"/>
    <hyperlink ref="AF72" r:id="rId71" xr:uid="{00000000-0004-0000-0200-000046000000}"/>
    <hyperlink ref="AF73" r:id="rId72" xr:uid="{00000000-0004-0000-0200-000047000000}"/>
    <hyperlink ref="AF74" r:id="rId73" xr:uid="{00000000-0004-0000-0200-000048000000}"/>
    <hyperlink ref="AF75" r:id="rId74" xr:uid="{00000000-0004-0000-0200-000049000000}"/>
    <hyperlink ref="AF76" r:id="rId75" xr:uid="{00000000-0004-0000-0200-00004A000000}"/>
    <hyperlink ref="AF77" r:id="rId76" xr:uid="{00000000-0004-0000-0200-00004B000000}"/>
    <hyperlink ref="AF78" r:id="rId77" xr:uid="{00000000-0004-0000-0200-00004C000000}"/>
    <hyperlink ref="AF79" r:id="rId78" xr:uid="{00000000-0004-0000-0200-00004D000000}"/>
    <hyperlink ref="AF80" r:id="rId79" xr:uid="{00000000-0004-0000-0200-00004E000000}"/>
    <hyperlink ref="AF81" r:id="rId80" xr:uid="{00000000-0004-0000-0200-00004F000000}"/>
    <hyperlink ref="AF82" r:id="rId81" xr:uid="{00000000-0004-0000-0200-000050000000}"/>
    <hyperlink ref="AF83" r:id="rId82" xr:uid="{00000000-0004-0000-0200-000051000000}"/>
    <hyperlink ref="AF84" r:id="rId83" xr:uid="{00000000-0004-0000-0200-000052000000}"/>
    <hyperlink ref="AF85" r:id="rId84" xr:uid="{00000000-0004-0000-0200-000053000000}"/>
    <hyperlink ref="AF86" r:id="rId85" xr:uid="{00000000-0004-0000-0200-000054000000}"/>
    <hyperlink ref="AF87" r:id="rId86" xr:uid="{00000000-0004-0000-0200-000055000000}"/>
    <hyperlink ref="AF88" r:id="rId87" xr:uid="{00000000-0004-0000-0200-000056000000}"/>
    <hyperlink ref="AF89" r:id="rId88" xr:uid="{00000000-0004-0000-0200-000057000000}"/>
    <hyperlink ref="AF90" r:id="rId89" xr:uid="{00000000-0004-0000-0200-000058000000}"/>
    <hyperlink ref="AF91" r:id="rId90" xr:uid="{00000000-0004-0000-0200-000059000000}"/>
    <hyperlink ref="AF92" r:id="rId91" xr:uid="{00000000-0004-0000-0200-00005A000000}"/>
    <hyperlink ref="AF93" r:id="rId92" xr:uid="{00000000-0004-0000-0200-00005B000000}"/>
    <hyperlink ref="AF94" r:id="rId93" xr:uid="{00000000-0004-0000-0200-00005C000000}"/>
    <hyperlink ref="AF95" r:id="rId94" xr:uid="{00000000-0004-0000-0200-00005D000000}"/>
    <hyperlink ref="AF96" r:id="rId95" xr:uid="{00000000-0004-0000-0200-00005E000000}"/>
    <hyperlink ref="AF97" r:id="rId96" xr:uid="{00000000-0004-0000-0200-00005F000000}"/>
    <hyperlink ref="AF98" r:id="rId97" xr:uid="{00000000-0004-0000-0200-000060000000}"/>
    <hyperlink ref="AF99" r:id="rId98" xr:uid="{00000000-0004-0000-0200-000061000000}"/>
    <hyperlink ref="AF100" r:id="rId99" xr:uid="{00000000-0004-0000-0200-000062000000}"/>
    <hyperlink ref="AF101" r:id="rId100" xr:uid="{00000000-0004-0000-0200-000063000000}"/>
    <hyperlink ref="AF102" r:id="rId101" xr:uid="{00000000-0004-0000-0200-000064000000}"/>
    <hyperlink ref="AF103" r:id="rId102" xr:uid="{00000000-0004-0000-0200-000065000000}"/>
    <hyperlink ref="AF104" r:id="rId103" xr:uid="{00000000-0004-0000-0200-000066000000}"/>
    <hyperlink ref="AF105" r:id="rId104" xr:uid="{00000000-0004-0000-0200-000067000000}"/>
    <hyperlink ref="AF106" r:id="rId105" xr:uid="{00000000-0004-0000-0200-000068000000}"/>
    <hyperlink ref="AF107" r:id="rId106" xr:uid="{00000000-0004-0000-0200-000069000000}"/>
    <hyperlink ref="AF108" r:id="rId107" xr:uid="{00000000-0004-0000-0200-00006A000000}"/>
    <hyperlink ref="AF109" r:id="rId108" xr:uid="{00000000-0004-0000-0200-00006B000000}"/>
    <hyperlink ref="AF110" r:id="rId109" xr:uid="{00000000-0004-0000-0200-00006C000000}"/>
    <hyperlink ref="AF111" r:id="rId110" xr:uid="{00000000-0004-0000-0200-00006D000000}"/>
    <hyperlink ref="AF112" r:id="rId111" xr:uid="{00000000-0004-0000-0200-00006E000000}"/>
    <hyperlink ref="AF113" r:id="rId112" xr:uid="{00000000-0004-0000-0200-00006F000000}"/>
    <hyperlink ref="AF114" r:id="rId113" xr:uid="{00000000-0004-0000-0200-000070000000}"/>
    <hyperlink ref="AF115" r:id="rId114" xr:uid="{00000000-0004-0000-0200-000071000000}"/>
    <hyperlink ref="AF116" r:id="rId115" xr:uid="{00000000-0004-0000-0200-000072000000}"/>
    <hyperlink ref="AF117" r:id="rId116" xr:uid="{00000000-0004-0000-0200-000073000000}"/>
    <hyperlink ref="AF118" r:id="rId117" xr:uid="{00000000-0004-0000-0200-000074000000}"/>
    <hyperlink ref="AF119" r:id="rId118" xr:uid="{00000000-0004-0000-0200-000075000000}"/>
    <hyperlink ref="AF120" r:id="rId119" xr:uid="{00000000-0004-0000-0200-000076000000}"/>
    <hyperlink ref="AF121" r:id="rId120" xr:uid="{00000000-0004-0000-0200-000077000000}"/>
    <hyperlink ref="AF122" r:id="rId121" xr:uid="{00000000-0004-0000-0200-000078000000}"/>
    <hyperlink ref="AF123" r:id="rId122" xr:uid="{00000000-0004-0000-0200-000079000000}"/>
  </hyperlinks>
  <pageMargins left="0.75" right="0.75" top="1" bottom="1" header="0.511811023622047" footer="0.511811023622047"/>
  <pageSetup paperSize="9" orientation="portrait" horizontalDpi="300" verticalDpi="300"/>
  <legacyDrawing r:id="rId123"/>
  <extLst>
    <ext xmlns:x14="http://schemas.microsoft.com/office/spreadsheetml/2009/9/main" uri="{CCE6A557-97BC-4b89-ADB6-D9C93CAAB3DF}">
      <x14:dataValidations xmlns:xm="http://schemas.microsoft.com/office/excel/2006/main" count="6">
        <x14:dataValidation type="list" allowBlank="1" showInputMessage="1" prompt="À lire, En cours, Lu ou Écarté" xr:uid="{00000000-0002-0000-0200-000000000000}">
          <x14:formula1>
            <xm:f>Paramètres!$F$6:$F$9</xm:f>
          </x14:formula1>
          <x14:formula2>
            <xm:f>0</xm:f>
          </x14:formula2>
          <xm:sqref>J2:J201</xm:sqref>
        </x14:dataValidation>
        <x14:dataValidation type="list" allowBlank="1" xr:uid="{00000000-0002-0000-0200-000001000000}">
          <x14:formula1>
            <xm:f>Paramètres!$G$6:$G$7</xm:f>
          </x14:formula1>
          <x14:formula2>
            <xm:f>0</xm:f>
          </x14:formula2>
          <xm:sqref>F2:F201 O2:Q201 AQ2:AQ201</xm:sqref>
        </x14:dataValidation>
        <x14:dataValidation type="list" allowBlank="1" showInputMessage="1" prompt="1 (faible) à 5 (essentielle)" xr:uid="{00000000-0002-0000-0200-000002000000}">
          <x14:formula1>
            <xm:f>Paramètres!$L$6:$L$10</xm:f>
          </x14:formula1>
          <x14:formula2>
            <xm:f>0</xm:f>
          </x14:formula2>
          <xm:sqref>R2:R201</xm:sqref>
        </x14:dataValidation>
        <x14:dataValidation type="list" allowBlank="1" xr:uid="{00000000-0002-0000-0200-000003000000}">
          <x14:formula1>
            <xm:f>Paramètres!$H$6:$H$8</xm:f>
          </x14:formula1>
          <x14:formula2>
            <xm:f>0</xm:f>
          </x14:formula2>
          <xm:sqref>H2:H201</xm:sqref>
        </x14:dataValidation>
        <x14:dataValidation type="list" allowBlank="1" xr:uid="{00000000-0002-0000-0200-000004000000}">
          <x14:formula1>
            <xm:f>Paramètres!$I$6:$I$11</xm:f>
          </x14:formula1>
          <x14:formula2>
            <xm:f>0</xm:f>
          </x14:formula2>
          <xm:sqref>AJ2:AJ201</xm:sqref>
        </x14:dataValidation>
        <x14:dataValidation type="list" allowBlank="1" xr:uid="{00000000-0002-0000-0200-000005000000}">
          <x14:formula1>
            <xm:f>Paramètres!$J$6:$J$8</xm:f>
          </x14:formula1>
          <x14:formula2>
            <xm:f>0</xm:f>
          </x14:formula2>
          <xm:sqref>AL2:AL201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tabColor rgb="FF5B2C6F"/>
    <pageSetUpPr fitToPage="1"/>
  </sheetPr>
  <dimension ref="A1:X204"/>
  <sheetViews>
    <sheetView showGridLines="0" zoomScale="90" zoomScaleNormal="90" workbookViewId="0">
      <pane xSplit="2" ySplit="4" topLeftCell="C5" activePane="bottomRight" state="frozen"/>
      <selection pane="topRight" activeCell="C1" sqref="C1"/>
      <selection pane="bottomLeft" activeCell="A5" sqref="A5"/>
      <selection pane="bottomRight"/>
    </sheetView>
  </sheetViews>
  <sheetFormatPr baseColWidth="10" defaultColWidth="8.7109375" defaultRowHeight="15" x14ac:dyDescent="0.25"/>
  <cols>
    <col min="1" max="1" width="9" customWidth="1"/>
    <col min="2" max="2" width="20" customWidth="1"/>
    <col min="3" max="3" width="34" customWidth="1"/>
    <col min="4" max="4" width="5" customWidth="1"/>
    <col min="5" max="5" width="16" customWidth="1"/>
    <col min="6" max="7" width="6" customWidth="1"/>
    <col min="8" max="8" width="10" customWidth="1"/>
    <col min="9" max="10" width="9" customWidth="1"/>
    <col min="11" max="11" width="24" customWidth="1"/>
    <col min="12" max="12" width="34" customWidth="1"/>
    <col min="13" max="13" width="46" customWidth="1"/>
    <col min="14" max="14" width="50" customWidth="1"/>
    <col min="15" max="15" width="30" customWidth="1"/>
    <col min="16" max="16" width="46" customWidth="1"/>
    <col min="17" max="17" width="32" customWidth="1"/>
    <col min="18" max="18" width="14" customWidth="1"/>
    <col min="19" max="20" width="18" customWidth="1"/>
    <col min="21" max="21" width="20" customWidth="1"/>
    <col min="22" max="22" width="15" customWidth="1"/>
    <col min="23" max="23" width="20" customWidth="1"/>
    <col min="24" max="24" width="16" customWidth="1"/>
  </cols>
  <sheetData>
    <row r="1" spans="1:24" ht="20.25" x14ac:dyDescent="0.3">
      <c r="B1" s="6" t="s">
        <v>1659</v>
      </c>
    </row>
    <row r="2" spans="1:24" x14ac:dyDescent="0.25">
      <c r="B2" s="9" t="s">
        <v>1660</v>
      </c>
    </row>
    <row r="3" spans="1:24" x14ac:dyDescent="0.25">
      <c r="B3" s="9" t="s">
        <v>1661</v>
      </c>
    </row>
    <row r="4" spans="1:24" ht="30" customHeight="1" x14ac:dyDescent="0.25">
      <c r="A4" s="5" t="s">
        <v>51</v>
      </c>
      <c r="B4" s="5" t="s">
        <v>169</v>
      </c>
      <c r="C4" s="5" t="s">
        <v>173</v>
      </c>
      <c r="D4" s="5" t="s">
        <v>119</v>
      </c>
      <c r="E4" s="5" t="s">
        <v>170</v>
      </c>
      <c r="F4" s="5" t="s">
        <v>147</v>
      </c>
      <c r="G4" s="5" t="s">
        <v>190</v>
      </c>
      <c r="H4" s="5" t="s">
        <v>1662</v>
      </c>
      <c r="I4" s="5" t="s">
        <v>172</v>
      </c>
      <c r="J4" s="37" t="s">
        <v>1663</v>
      </c>
      <c r="K4" s="37" t="s">
        <v>1664</v>
      </c>
      <c r="L4" s="37" t="s">
        <v>1665</v>
      </c>
      <c r="M4" s="37" t="s">
        <v>1666</v>
      </c>
      <c r="N4" s="37" t="s">
        <v>1667</v>
      </c>
      <c r="O4" s="37" t="s">
        <v>1668</v>
      </c>
      <c r="P4" s="37" t="s">
        <v>1669</v>
      </c>
      <c r="Q4" s="37" t="s">
        <v>1670</v>
      </c>
      <c r="R4" s="5" t="s">
        <v>1671</v>
      </c>
      <c r="S4" s="5" t="s">
        <v>1672</v>
      </c>
      <c r="T4" s="5" t="s">
        <v>1673</v>
      </c>
      <c r="U4" s="5" t="s">
        <v>1674</v>
      </c>
      <c r="V4" s="5" t="s">
        <v>1675</v>
      </c>
      <c r="W4" s="5" t="s">
        <v>1676</v>
      </c>
      <c r="X4" s="5" t="s">
        <v>1677</v>
      </c>
    </row>
    <row r="5" spans="1:24" ht="107.25" customHeight="1" x14ac:dyDescent="0.25">
      <c r="A5" s="38" t="s">
        <v>230</v>
      </c>
      <c r="B5" s="39" t="str">
        <f>IF($A5="","",IFERROR(INDEX(Références!$C$2:$C$201,MATCH($A5,Références!$A$2:$A$201,0)),""))</f>
        <v>De Beer et al. (2012)</v>
      </c>
      <c r="C5" s="39" t="str">
        <f>IF($A5="","",IFERROR(INDEX(Références!$D$2:$D$201,MATCH($A5,Références!$A$2:$A$201,0)),""))</f>
        <v>Toward using tire-road contact stresses in pavement design and analysis</v>
      </c>
      <c r="D5" s="40">
        <f>IF($A5="","",IFERROR(INDEX(Références!$G$2:$G$201,MATCH($A5,Références!$A$2:$A$201,0)),""))</f>
        <v>1</v>
      </c>
      <c r="E5" s="40" t="str">
        <f>IF($A5="","",IFERROR(INDEX(Références!$H$2:$H$201,MATCH($A5,Références!$A$2:$A$201,0)),""))</f>
        <v>INCONTOURNABLE</v>
      </c>
      <c r="F5" s="40">
        <f>IF($A5="","",IFERROR(INDEX(Références!$I$2:$I$201,MATCH($A5,Références!$A$2:$A$201,0)),""))</f>
        <v>1</v>
      </c>
      <c r="G5" s="40" t="str">
        <f>IF($A5="","",IFERROR(INDEX(Références!$F$2:$F$201,MATCH($A5,Références!$A$2:$A$201,0)),""))</f>
        <v>Oui</v>
      </c>
      <c r="H5" s="40" t="str">
        <f>IF($A5="","",IFERROR(INDEX(Références!$J$2:$J$201,MATCH($A5,Références!$A$2:$A$201,0)),""))</f>
        <v>À lire</v>
      </c>
      <c r="I5" s="41" t="str">
        <f>IF($A5="","",IFERROR(IF(INDEX(Références!$AF$2:$AF$201,MATCH($A5,Références!$A$2:$A$201,0))="","",HYPERLINK(INDEX(Références!$AF$2:$AF$201,MATCH($A5,Références!$A$2:$A$201,0)),"Ouvrir")),""))</f>
        <v>Ouvrir</v>
      </c>
      <c r="J5" s="42" t="s">
        <v>517</v>
      </c>
      <c r="K5" s="3" t="s">
        <v>1678</v>
      </c>
      <c r="L5" s="3" t="s">
        <v>1679</v>
      </c>
      <c r="M5" s="3" t="s">
        <v>1680</v>
      </c>
      <c r="N5" s="3" t="s">
        <v>1681</v>
      </c>
      <c r="O5" s="3" t="s">
        <v>1682</v>
      </c>
      <c r="P5" s="43" t="s">
        <v>1683</v>
      </c>
      <c r="Q5" s="3" t="s">
        <v>1684</v>
      </c>
      <c r="R5" s="3" t="s">
        <v>1685</v>
      </c>
      <c r="S5" s="3" t="s">
        <v>1686</v>
      </c>
      <c r="T5" s="3" t="s">
        <v>1687</v>
      </c>
      <c r="U5" s="3" t="s">
        <v>1688</v>
      </c>
      <c r="V5" s="3" t="s">
        <v>1689</v>
      </c>
      <c r="W5" s="3" t="s">
        <v>1690</v>
      </c>
      <c r="X5" s="3" t="s">
        <v>1691</v>
      </c>
    </row>
    <row r="6" spans="1:24" ht="69" customHeight="1" x14ac:dyDescent="0.25">
      <c r="A6" s="38" t="s">
        <v>253</v>
      </c>
      <c r="B6" s="39" t="str">
        <f>IF($A6="","",IFERROR(INDEX(Références!$C$2:$C$201,MATCH($A6,Références!$A$2:$A$201,0)),""))</f>
        <v>De Beer &amp; Fisher (2013)</v>
      </c>
      <c r="C6" s="39" t="str">
        <f>IF($A6="","",IFERROR(INDEX(Références!$D$2:$D$201,MATCH($A6,Références!$A$2:$A$201,0)),""))</f>
        <v>Stress-In-Motion (SIM) system for capturing tri-axial tyre–road interaction in the contact patch</v>
      </c>
      <c r="D6" s="40">
        <f>IF($A6="","",IFERROR(INDEX(Références!$G$2:$G$201,MATCH($A6,Références!$A$2:$A$201,0)),""))</f>
        <v>1</v>
      </c>
      <c r="E6" s="40" t="str">
        <f>IF($A6="","",IFERROR(INDEX(Références!$H$2:$H$201,MATCH($A6,Références!$A$2:$A$201,0)),""))</f>
        <v>INCONTOURNABLE</v>
      </c>
      <c r="F6" s="40">
        <f>IF($A6="","",IFERROR(INDEX(Références!$I$2:$I$201,MATCH($A6,Références!$A$2:$A$201,0)),""))</f>
        <v>1</v>
      </c>
      <c r="G6" s="40" t="str">
        <f>IF($A6="","",IFERROR(INDEX(Références!$F$2:$F$201,MATCH($A6,Références!$A$2:$A$201,0)),""))</f>
        <v>Non</v>
      </c>
      <c r="H6" s="40" t="str">
        <f>IF($A6="","",IFERROR(INDEX(Références!$J$2:$J$201,MATCH($A6,Références!$A$2:$A$201,0)),""))</f>
        <v>À lire</v>
      </c>
      <c r="I6" s="41" t="str">
        <f>IF($A6="","",IFERROR(IF(INDEX(Références!$AF$2:$AF$201,MATCH($A6,Références!$A$2:$A$201,0))="","",HYPERLINK(INDEX(Références!$AF$2:$AF$201,MATCH($A6,Références!$A$2:$A$201,0)),"Ouvrir")),""))</f>
        <v>Ouvrir</v>
      </c>
      <c r="J6" s="42" t="s">
        <v>1692</v>
      </c>
      <c r="K6" s="3" t="s">
        <v>1693</v>
      </c>
      <c r="L6" s="3" t="s">
        <v>1694</v>
      </c>
      <c r="M6" s="3" t="s">
        <v>1695</v>
      </c>
      <c r="N6" s="3" t="s">
        <v>1696</v>
      </c>
      <c r="O6" s="3" t="s">
        <v>1697</v>
      </c>
      <c r="P6" s="43" t="s">
        <v>1698</v>
      </c>
      <c r="Q6" s="3" t="s">
        <v>1699</v>
      </c>
      <c r="R6" s="3" t="s">
        <v>1685</v>
      </c>
      <c r="S6" s="3" t="s">
        <v>1700</v>
      </c>
      <c r="T6" s="3" t="s">
        <v>1701</v>
      </c>
      <c r="U6" s="3" t="s">
        <v>1702</v>
      </c>
      <c r="V6" s="3" t="s">
        <v>1703</v>
      </c>
      <c r="W6" s="3" t="s">
        <v>1672</v>
      </c>
      <c r="X6" s="3" t="s">
        <v>1704</v>
      </c>
    </row>
    <row r="7" spans="1:24" ht="81.75" customHeight="1" x14ac:dyDescent="0.25">
      <c r="A7" s="38" t="s">
        <v>268</v>
      </c>
      <c r="B7" s="39" t="str">
        <f>IF($A7="","",IFERROR(INDEX(Références!$C$2:$C$201,MATCH($A7,Références!$A$2:$A$201,0)),""))</f>
        <v>Tielking (1989)</v>
      </c>
      <c r="C7" s="39" t="str">
        <f>IF($A7="","",IFERROR(INDEX(Références!$D$2:$D$201,MATCH($A7,Références!$A$2:$A$201,0)),""))</f>
        <v>Aircraft tire/pavement pressure distribution</v>
      </c>
      <c r="D7" s="40">
        <f>IF($A7="","",IFERROR(INDEX(Références!$G$2:$G$201,MATCH($A7,Références!$A$2:$A$201,0)),""))</f>
        <v>1</v>
      </c>
      <c r="E7" s="40" t="str">
        <f>IF($A7="","",IFERROR(INDEX(Références!$H$2:$H$201,MATCH($A7,Références!$A$2:$A$201,0)),""))</f>
        <v>INCONTOURNABLE</v>
      </c>
      <c r="F7" s="40">
        <f>IF($A7="","",IFERROR(INDEX(Références!$I$2:$I$201,MATCH($A7,Références!$A$2:$A$201,0)),""))</f>
        <v>1</v>
      </c>
      <c r="G7" s="40" t="str">
        <f>IF($A7="","",IFERROR(INDEX(Références!$F$2:$F$201,MATCH($A7,Références!$A$2:$A$201,0)),""))</f>
        <v>Non</v>
      </c>
      <c r="H7" s="40" t="str">
        <f>IF($A7="","",IFERROR(INDEX(Références!$J$2:$J$201,MATCH($A7,Références!$A$2:$A$201,0)),""))</f>
        <v>À lire</v>
      </c>
      <c r="I7" s="41" t="str">
        <f>IF($A7="","",IFERROR(IF(INDEX(Références!$AF$2:$AF$201,MATCH($A7,Références!$A$2:$A$201,0))="","",HYPERLINK(INDEX(Références!$AF$2:$AF$201,MATCH($A7,Références!$A$2:$A$201,0)),"Ouvrir")),""))</f>
        <v>Ouvrir</v>
      </c>
      <c r="J7" s="42" t="s">
        <v>1692</v>
      </c>
      <c r="K7" s="3" t="s">
        <v>1705</v>
      </c>
      <c r="L7" s="3" t="s">
        <v>1706</v>
      </c>
      <c r="M7" s="3" t="s">
        <v>1707</v>
      </c>
      <c r="N7" s="3" t="s">
        <v>1708</v>
      </c>
      <c r="O7" s="3" t="s">
        <v>1709</v>
      </c>
      <c r="P7" s="43" t="s">
        <v>1710</v>
      </c>
      <c r="Q7" s="3" t="s">
        <v>1711</v>
      </c>
      <c r="R7" s="3" t="s">
        <v>1712</v>
      </c>
      <c r="S7" s="3" t="s">
        <v>1713</v>
      </c>
      <c r="T7" s="3" t="s">
        <v>1701</v>
      </c>
      <c r="U7" s="3" t="s">
        <v>1714</v>
      </c>
      <c r="V7" s="3" t="s">
        <v>1715</v>
      </c>
      <c r="W7" s="3" t="s">
        <v>1672</v>
      </c>
      <c r="X7" s="3" t="s">
        <v>1701</v>
      </c>
    </row>
    <row r="8" spans="1:24" ht="69" customHeight="1" x14ac:dyDescent="0.25">
      <c r="A8" s="38" t="s">
        <v>335</v>
      </c>
      <c r="B8" s="39" t="str">
        <f>IF($A8="","",IFERROR(INDEX(Références!$C$2:$C$201,MATCH($A8,Références!$A$2:$A$201,0)),""))</f>
        <v>De Beer &amp; Fisher (2000)</v>
      </c>
      <c r="C8" s="39" t="str">
        <f>IF($A8="","",IFERROR(INDEX(Références!$D$2:$D$201,MATCH($A8,Références!$A$2:$A$201,0)),""))</f>
        <v>Contact stresses of the 11.00-R22.5 pneumatic radial tyres on the Gautrans Heavy Vehicle Simulator (HVS) measured with the Vehicle-Road Pressure Transducer Array (VRSPTA) system</v>
      </c>
      <c r="D8" s="40">
        <f>IF($A8="","",IFERROR(INDEX(Références!$G$2:$G$201,MATCH($A8,Références!$A$2:$A$201,0)),""))</f>
        <v>1</v>
      </c>
      <c r="E8" s="40" t="str">
        <f>IF($A8="","",IFERROR(INDEX(Références!$H$2:$H$201,MATCH($A8,Références!$A$2:$A$201,0)),""))</f>
        <v>Important</v>
      </c>
      <c r="F8" s="40">
        <f>IF($A8="","",IFERROR(INDEX(Références!$I$2:$I$201,MATCH($A8,Références!$A$2:$A$201,0)),""))</f>
        <v>1</v>
      </c>
      <c r="G8" s="40" t="str">
        <f>IF($A8="","",IFERROR(INDEX(Références!$F$2:$F$201,MATCH($A8,Références!$A$2:$A$201,0)),""))</f>
        <v>Oui</v>
      </c>
      <c r="H8" s="40" t="str">
        <f>IF($A8="","",IFERROR(INDEX(Références!$J$2:$J$201,MATCH($A8,Références!$A$2:$A$201,0)),""))</f>
        <v>À lire</v>
      </c>
      <c r="I8" s="41" t="str">
        <f>IF($A8="","",IFERROR(IF(INDEX(Références!$AF$2:$AF$201,MATCH($A8,Références!$A$2:$A$201,0))="","",HYPERLINK(INDEX(Références!$AF$2:$AF$201,MATCH($A8,Références!$A$2:$A$201,0)),"Ouvrir")),""))</f>
        <v>Ouvrir</v>
      </c>
      <c r="J8" s="42" t="s">
        <v>1716</v>
      </c>
      <c r="K8" s="3" t="s">
        <v>1717</v>
      </c>
      <c r="L8" s="3" t="s">
        <v>1718</v>
      </c>
      <c r="M8" s="3" t="s">
        <v>1719</v>
      </c>
      <c r="N8" s="3" t="s">
        <v>1701</v>
      </c>
      <c r="O8" s="3" t="s">
        <v>1720</v>
      </c>
      <c r="P8" s="43" t="s">
        <v>1721</v>
      </c>
      <c r="Q8" s="3" t="s">
        <v>1722</v>
      </c>
      <c r="R8" s="3" t="s">
        <v>1723</v>
      </c>
      <c r="S8" s="3" t="s">
        <v>1700</v>
      </c>
      <c r="T8" s="3" t="s">
        <v>1701</v>
      </c>
      <c r="U8" s="3" t="s">
        <v>1702</v>
      </c>
      <c r="V8" s="3" t="s">
        <v>1724</v>
      </c>
      <c r="W8" s="3" t="s">
        <v>1672</v>
      </c>
      <c r="X8" s="3" t="s">
        <v>1701</v>
      </c>
    </row>
    <row r="9" spans="1:24" ht="120" customHeight="1" x14ac:dyDescent="0.25">
      <c r="A9" s="38" t="s">
        <v>349</v>
      </c>
      <c r="B9" s="39" t="str">
        <f>IF($A9="","",IFERROR(INDEX(Références!$C$2:$C$201,MATCH($A9,Références!$A$2:$A$201,0)),""))</f>
        <v>De Beer et al. (2004)</v>
      </c>
      <c r="C9" s="39" t="str">
        <f>IF($A9="","",IFERROR(INDEX(Références!$D$2:$D$201,MATCH($A9,Références!$A$2:$A$201,0)),""))</f>
        <v>Towards the application of Stress-In-Motion (SIM) results in pavement design and infrastructure protection</v>
      </c>
      <c r="D9" s="40">
        <f>IF($A9="","",IFERROR(INDEX(Références!$G$2:$G$201,MATCH($A9,Références!$A$2:$A$201,0)),""))</f>
        <v>1</v>
      </c>
      <c r="E9" s="40" t="str">
        <f>IF($A9="","",IFERROR(INDEX(Références!$H$2:$H$201,MATCH($A9,Références!$A$2:$A$201,0)),""))</f>
        <v>Important</v>
      </c>
      <c r="F9" s="40">
        <f>IF($A9="","",IFERROR(INDEX(Références!$I$2:$I$201,MATCH($A9,Références!$A$2:$A$201,0)),""))</f>
        <v>1</v>
      </c>
      <c r="G9" s="40" t="str">
        <f>IF($A9="","",IFERROR(INDEX(Références!$F$2:$F$201,MATCH($A9,Références!$A$2:$A$201,0)),""))</f>
        <v>Non</v>
      </c>
      <c r="H9" s="40" t="str">
        <f>IF($A9="","",IFERROR(INDEX(Références!$J$2:$J$201,MATCH($A9,Références!$A$2:$A$201,0)),""))</f>
        <v>À lire</v>
      </c>
      <c r="I9" s="41" t="str">
        <f>IF($A9="","",IFERROR(IF(INDEX(Références!$AF$2:$AF$201,MATCH($A9,Références!$A$2:$A$201,0))="","",HYPERLINK(INDEX(Références!$AF$2:$AF$201,MATCH($A9,Références!$A$2:$A$201,0)),"Ouvrir")),""))</f>
        <v>Ouvrir</v>
      </c>
      <c r="J9" s="42" t="s">
        <v>1692</v>
      </c>
      <c r="K9" s="3" t="s">
        <v>1725</v>
      </c>
      <c r="L9" s="3" t="s">
        <v>1726</v>
      </c>
      <c r="M9" s="3" t="s">
        <v>1727</v>
      </c>
      <c r="N9" s="3" t="s">
        <v>1728</v>
      </c>
      <c r="O9" s="3" t="s">
        <v>1729</v>
      </c>
      <c r="P9" s="43" t="s">
        <v>1730</v>
      </c>
      <c r="Q9" s="3" t="s">
        <v>1731</v>
      </c>
      <c r="R9" s="3" t="s">
        <v>1685</v>
      </c>
      <c r="S9" s="3" t="s">
        <v>1700</v>
      </c>
      <c r="T9" s="3" t="s">
        <v>1687</v>
      </c>
      <c r="U9" s="3" t="s">
        <v>1732</v>
      </c>
      <c r="V9" s="3" t="s">
        <v>1689</v>
      </c>
      <c r="W9" s="3" t="s">
        <v>1733</v>
      </c>
      <c r="X9" s="3" t="s">
        <v>1734</v>
      </c>
    </row>
    <row r="10" spans="1:24" ht="69" customHeight="1" x14ac:dyDescent="0.25">
      <c r="A10" s="38" t="s">
        <v>362</v>
      </c>
      <c r="B10" s="39" t="str">
        <f>IF($A10="","",IFERROR(INDEX(Références!$C$2:$C$201,MATCH($A10,Références!$A$2:$A$201,0)),""))</f>
        <v>Gong et al. (2024)</v>
      </c>
      <c r="C10" s="39" t="str">
        <f>IF($A10="","",IFERROR(INDEX(Références!$D$2:$D$201,MATCH($A10,Références!$A$2:$A$201,0)),""))</f>
        <v>Review of research on tire–pavement contact behavior</v>
      </c>
      <c r="D10" s="40">
        <f>IF($A10="","",IFERROR(INDEX(Références!$G$2:$G$201,MATCH($A10,Références!$A$2:$A$201,0)),""))</f>
        <v>1</v>
      </c>
      <c r="E10" s="40" t="str">
        <f>IF($A10="","",IFERROR(INDEX(Références!$H$2:$H$201,MATCH($A10,Références!$A$2:$A$201,0)),""))</f>
        <v>Important</v>
      </c>
      <c r="F10" s="40">
        <f>IF($A10="","",IFERROR(INDEX(Références!$I$2:$I$201,MATCH($A10,Références!$A$2:$A$201,0)),""))</f>
        <v>1</v>
      </c>
      <c r="G10" s="40" t="str">
        <f>IF($A10="","",IFERROR(INDEX(Références!$F$2:$F$201,MATCH($A10,Références!$A$2:$A$201,0)),""))</f>
        <v>Oui</v>
      </c>
      <c r="H10" s="40" t="str">
        <f>IF($A10="","",IFERROR(INDEX(Références!$J$2:$J$201,MATCH($A10,Références!$A$2:$A$201,0)),""))</f>
        <v>À lire</v>
      </c>
      <c r="I10" s="41" t="str">
        <f>IF($A10="","",IFERROR(IF(INDEX(Références!$AF$2:$AF$201,MATCH($A10,Références!$A$2:$A$201,0))="","",HYPERLINK(INDEX(Références!$AF$2:$AF$201,MATCH($A10,Références!$A$2:$A$201,0)),"Ouvrir")),""))</f>
        <v>Ouvrir</v>
      </c>
      <c r="J10" s="42" t="s">
        <v>1692</v>
      </c>
      <c r="K10" s="3" t="s">
        <v>1735</v>
      </c>
      <c r="L10" s="3" t="s">
        <v>1736</v>
      </c>
      <c r="M10" s="3" t="s">
        <v>1737</v>
      </c>
      <c r="N10" s="3" t="s">
        <v>1738</v>
      </c>
      <c r="O10" s="3" t="s">
        <v>1739</v>
      </c>
      <c r="P10" s="43" t="s">
        <v>1740</v>
      </c>
      <c r="Q10" s="3" t="s">
        <v>1741</v>
      </c>
      <c r="R10" s="3" t="s">
        <v>1701</v>
      </c>
      <c r="S10" s="3" t="s">
        <v>1701</v>
      </c>
      <c r="T10" s="3" t="s">
        <v>1701</v>
      </c>
      <c r="U10" s="3" t="s">
        <v>1742</v>
      </c>
      <c r="V10" s="3" t="s">
        <v>1701</v>
      </c>
      <c r="W10" s="3" t="s">
        <v>1672</v>
      </c>
      <c r="X10" s="3" t="s">
        <v>1701</v>
      </c>
    </row>
    <row r="11" spans="1:24" ht="69" customHeight="1" x14ac:dyDescent="0.25">
      <c r="A11" s="38" t="s">
        <v>376</v>
      </c>
      <c r="B11" s="39" t="str">
        <f>IF($A11="","",IFERROR(INDEX(Références!$C$2:$C$201,MATCH($A11,Références!$A$2:$A$201,0)),""))</f>
        <v>Hansen et al. (1989)</v>
      </c>
      <c r="C11" s="39" t="str">
        <f>IF($A11="","",IFERROR(INDEX(Références!$D$2:$D$201,MATCH($A11,Références!$A$2:$A$201,0)),""))</f>
        <v>Truck tire pavement contact pressure distribution characteristics for super single 18-22.5 and smooth 11R24.5 tires</v>
      </c>
      <c r="D11" s="40">
        <f>IF($A11="","",IFERROR(INDEX(Références!$G$2:$G$201,MATCH($A11,Références!$A$2:$A$201,0)),""))</f>
        <v>1</v>
      </c>
      <c r="E11" s="40" t="str">
        <f>IF($A11="","",IFERROR(INDEX(Références!$H$2:$H$201,MATCH($A11,Références!$A$2:$A$201,0)),""))</f>
        <v>Important</v>
      </c>
      <c r="F11" s="40">
        <f>IF($A11="","",IFERROR(INDEX(Références!$I$2:$I$201,MATCH($A11,Références!$A$2:$A$201,0)),""))</f>
        <v>1</v>
      </c>
      <c r="G11" s="40" t="str">
        <f>IF($A11="","",IFERROR(INDEX(Références!$F$2:$F$201,MATCH($A11,Références!$A$2:$A$201,0)),""))</f>
        <v>Oui</v>
      </c>
      <c r="H11" s="40" t="str">
        <f>IF($A11="","",IFERROR(INDEX(Références!$J$2:$J$201,MATCH($A11,Références!$A$2:$A$201,0)),""))</f>
        <v>À lire</v>
      </c>
      <c r="I11" s="41" t="str">
        <f>IF($A11="","",IFERROR(IF(INDEX(Références!$AF$2:$AF$201,MATCH($A11,Références!$A$2:$A$201,0))="","",HYPERLINK(INDEX(Références!$AF$2:$AF$201,MATCH($A11,Références!$A$2:$A$201,0)),"Ouvrir")),""))</f>
        <v>Ouvrir</v>
      </c>
      <c r="J11" s="42" t="s">
        <v>517</v>
      </c>
      <c r="K11" s="3" t="s">
        <v>1743</v>
      </c>
      <c r="L11" s="3" t="s">
        <v>1744</v>
      </c>
      <c r="M11" s="3" t="s">
        <v>1745</v>
      </c>
      <c r="N11" s="3" t="s">
        <v>1746</v>
      </c>
      <c r="O11" s="3" t="s">
        <v>1747</v>
      </c>
      <c r="P11" s="43" t="s">
        <v>1748</v>
      </c>
      <c r="Q11" s="3" t="s">
        <v>1749</v>
      </c>
      <c r="R11" s="3" t="s">
        <v>1685</v>
      </c>
      <c r="S11" s="3" t="s">
        <v>1686</v>
      </c>
      <c r="T11" s="3" t="s">
        <v>1701</v>
      </c>
      <c r="U11" s="3" t="s">
        <v>1750</v>
      </c>
      <c r="V11" s="3" t="s">
        <v>1715</v>
      </c>
      <c r="W11" s="3" t="s">
        <v>1672</v>
      </c>
      <c r="X11" s="3" t="s">
        <v>1701</v>
      </c>
    </row>
    <row r="12" spans="1:24" ht="81.75" customHeight="1" x14ac:dyDescent="0.25">
      <c r="A12" s="38" t="s">
        <v>388</v>
      </c>
      <c r="B12" s="39" t="str">
        <f>IF($A12="","",IFERROR(INDEX(Références!$C$2:$C$201,MATCH($A12,Références!$A$2:$A$201,0)),""))</f>
        <v>Tielking &amp; Roberts (1987)</v>
      </c>
      <c r="C12" s="39" t="str">
        <f>IF($A12="","",IFERROR(INDEX(Références!$D$2:$D$201,MATCH($A12,Références!$A$2:$A$201,0)),""))</f>
        <v>Tire contact pressure and its effect on pavement strain</v>
      </c>
      <c r="D12" s="40">
        <f>IF($A12="","",IFERROR(INDEX(Références!$G$2:$G$201,MATCH($A12,Références!$A$2:$A$201,0)),""))</f>
        <v>1</v>
      </c>
      <c r="E12" s="40" t="str">
        <f>IF($A12="","",IFERROR(INDEX(Références!$H$2:$H$201,MATCH($A12,Références!$A$2:$A$201,0)),""))</f>
        <v>Important</v>
      </c>
      <c r="F12" s="40">
        <f>IF($A12="","",IFERROR(INDEX(Références!$I$2:$I$201,MATCH($A12,Références!$A$2:$A$201,0)),""))</f>
        <v>1</v>
      </c>
      <c r="G12" s="40" t="str">
        <f>IF($A12="","",IFERROR(INDEX(Références!$F$2:$F$201,MATCH($A12,Références!$A$2:$A$201,0)),""))</f>
        <v>Non</v>
      </c>
      <c r="H12" s="40" t="str">
        <f>IF($A12="","",IFERROR(INDEX(Références!$J$2:$J$201,MATCH($A12,Références!$A$2:$A$201,0)),""))</f>
        <v>À lire</v>
      </c>
      <c r="I12" s="41" t="str">
        <f>IF($A12="","",IFERROR(IF(INDEX(Références!$AF$2:$AF$201,MATCH($A12,Références!$A$2:$A$201,0))="","",HYPERLINK(INDEX(Références!$AF$2:$AF$201,MATCH($A12,Références!$A$2:$A$201,0)),"Ouvrir")),""))</f>
        <v>Ouvrir</v>
      </c>
      <c r="J12" s="42" t="s">
        <v>1692</v>
      </c>
      <c r="K12" s="3" t="s">
        <v>1751</v>
      </c>
      <c r="L12" s="3" t="s">
        <v>1752</v>
      </c>
      <c r="M12" s="3" t="s">
        <v>1753</v>
      </c>
      <c r="N12" s="3" t="s">
        <v>1754</v>
      </c>
      <c r="O12" s="3" t="s">
        <v>1755</v>
      </c>
      <c r="P12" s="43" t="s">
        <v>1756</v>
      </c>
      <c r="Q12" s="3" t="s">
        <v>1757</v>
      </c>
      <c r="R12" s="3" t="s">
        <v>1758</v>
      </c>
      <c r="S12" s="3" t="s">
        <v>1713</v>
      </c>
      <c r="T12" s="3" t="s">
        <v>1759</v>
      </c>
      <c r="U12" s="3" t="s">
        <v>1760</v>
      </c>
      <c r="V12" s="3" t="s">
        <v>1715</v>
      </c>
      <c r="W12" s="3" t="s">
        <v>1761</v>
      </c>
      <c r="X12" s="3" t="s">
        <v>1701</v>
      </c>
    </row>
    <row r="13" spans="1:24" ht="55.5" customHeight="1" x14ac:dyDescent="0.25">
      <c r="A13" s="38" t="s">
        <v>402</v>
      </c>
      <c r="B13" s="39" t="str">
        <f>IF($A13="","",IFERROR(INDEX(Références!$C$2:$C$201,MATCH($A13,Références!$A$2:$A$201,0)),""))</f>
        <v>Guan et al. (2023)</v>
      </c>
      <c r="C13" s="39" t="str">
        <f>IF($A13="","",IFERROR(INDEX(Références!$D$2:$D$201,MATCH($A13,Références!$A$2:$A$201,0)),""))</f>
        <v>Measurement of tire-pavement contact tri-axial stress distribution based on sensor array</v>
      </c>
      <c r="D13" s="40">
        <f>IF($A13="","",IFERROR(INDEX(Références!$G$2:$G$201,MATCH($A13,Références!$A$2:$A$201,0)),""))</f>
        <v>1</v>
      </c>
      <c r="E13" s="40" t="str">
        <f>IF($A13="","",IFERROR(INDEX(Références!$H$2:$H$201,MATCH($A13,Références!$A$2:$A$201,0)),""))</f>
        <v>A consulter</v>
      </c>
      <c r="F13" s="40">
        <f>IF($A13="","",IFERROR(INDEX(Références!$I$2:$I$201,MATCH($A13,Références!$A$2:$A$201,0)),""))</f>
        <v>1</v>
      </c>
      <c r="G13" s="40" t="str">
        <f>IF($A13="","",IFERROR(INDEX(Références!$F$2:$F$201,MATCH($A13,Références!$A$2:$A$201,0)),""))</f>
        <v>Non</v>
      </c>
      <c r="H13" s="40" t="str">
        <f>IF($A13="","",IFERROR(INDEX(Références!$J$2:$J$201,MATCH($A13,Références!$A$2:$A$201,0)),""))</f>
        <v>À lire</v>
      </c>
      <c r="I13" s="41" t="str">
        <f>IF($A13="","",IFERROR(IF(INDEX(Références!$AF$2:$AF$201,MATCH($A13,Références!$A$2:$A$201,0))="","",HYPERLINK(INDEX(Références!$AF$2:$AF$201,MATCH($A13,Références!$A$2:$A$201,0)),"Ouvrir")),""))</f>
        <v>Ouvrir</v>
      </c>
      <c r="J13" s="42" t="s">
        <v>1692</v>
      </c>
      <c r="K13" s="3" t="s">
        <v>1735</v>
      </c>
      <c r="L13" s="3" t="s">
        <v>1762</v>
      </c>
      <c r="M13" s="3" t="s">
        <v>1763</v>
      </c>
      <c r="N13" s="3" t="s">
        <v>1764</v>
      </c>
      <c r="O13" s="3" t="s">
        <v>1765</v>
      </c>
      <c r="P13" s="43" t="s">
        <v>1766</v>
      </c>
      <c r="Q13" s="3" t="s">
        <v>1767</v>
      </c>
      <c r="R13" s="3" t="s">
        <v>1701</v>
      </c>
      <c r="S13" s="3" t="s">
        <v>1700</v>
      </c>
      <c r="T13" s="3" t="s">
        <v>1701</v>
      </c>
      <c r="U13" s="3" t="s">
        <v>1702</v>
      </c>
      <c r="V13" s="3" t="s">
        <v>1703</v>
      </c>
      <c r="W13" s="3" t="s">
        <v>1672</v>
      </c>
      <c r="X13" s="3" t="s">
        <v>1701</v>
      </c>
    </row>
    <row r="14" spans="1:24" ht="69" customHeight="1" x14ac:dyDescent="0.25">
      <c r="A14" s="38" t="s">
        <v>415</v>
      </c>
      <c r="B14" s="39" t="str">
        <f>IF($A14="","",IFERROR(INDEX(Références!$C$2:$C$201,MATCH($A14,Références!$A$2:$A$201,0)),""))</f>
        <v>Luo et al. (2025)</v>
      </c>
      <c r="C14" s="39" t="str">
        <f>IF($A14="","",IFERROR(INDEX(Références!$D$2:$D$201,MATCH($A14,Références!$A$2:$A$201,0)),""))</f>
        <v>Tire-pavement contact behavior: A simplified model for predictive surface contact analysis</v>
      </c>
      <c r="D14" s="40">
        <f>IF($A14="","",IFERROR(INDEX(Références!$G$2:$G$201,MATCH($A14,Références!$A$2:$A$201,0)),""))</f>
        <v>1</v>
      </c>
      <c r="E14" s="40" t="str">
        <f>IF($A14="","",IFERROR(INDEX(Références!$H$2:$H$201,MATCH($A14,Références!$A$2:$A$201,0)),""))</f>
        <v>A consulter</v>
      </c>
      <c r="F14" s="40">
        <f>IF($A14="","",IFERROR(INDEX(Références!$I$2:$I$201,MATCH($A14,Références!$A$2:$A$201,0)),""))</f>
        <v>1</v>
      </c>
      <c r="G14" s="40" t="str">
        <f>IF($A14="","",IFERROR(INDEX(Références!$F$2:$F$201,MATCH($A14,Références!$A$2:$A$201,0)),""))</f>
        <v>Oui</v>
      </c>
      <c r="H14" s="40" t="str">
        <f>IF($A14="","",IFERROR(INDEX(Références!$J$2:$J$201,MATCH($A14,Références!$A$2:$A$201,0)),""))</f>
        <v>À lire</v>
      </c>
      <c r="I14" s="41" t="str">
        <f>IF($A14="","",IFERROR(IF(INDEX(Références!$AF$2:$AF$201,MATCH($A14,Références!$A$2:$A$201,0))="","",HYPERLINK(INDEX(Références!$AF$2:$AF$201,MATCH($A14,Références!$A$2:$A$201,0)),"Ouvrir")),""))</f>
        <v>Ouvrir</v>
      </c>
      <c r="J14" s="42" t="s">
        <v>1692</v>
      </c>
      <c r="K14" s="3" t="s">
        <v>1693</v>
      </c>
      <c r="L14" s="3" t="s">
        <v>1768</v>
      </c>
      <c r="M14" s="3" t="s">
        <v>1769</v>
      </c>
      <c r="N14" s="3" t="s">
        <v>1770</v>
      </c>
      <c r="O14" s="3" t="s">
        <v>1771</v>
      </c>
      <c r="P14" s="43" t="s">
        <v>1772</v>
      </c>
      <c r="Q14" s="3" t="s">
        <v>1773</v>
      </c>
      <c r="R14" s="3" t="s">
        <v>1701</v>
      </c>
      <c r="S14" s="3" t="s">
        <v>1774</v>
      </c>
      <c r="T14" s="3" t="s">
        <v>1687</v>
      </c>
      <c r="U14" s="3" t="s">
        <v>1775</v>
      </c>
      <c r="V14" s="3" t="s">
        <v>1715</v>
      </c>
      <c r="W14" s="3" t="s">
        <v>1776</v>
      </c>
      <c r="X14" s="3" t="s">
        <v>1777</v>
      </c>
    </row>
    <row r="15" spans="1:24" ht="81.75" customHeight="1" x14ac:dyDescent="0.25">
      <c r="A15" s="38" t="s">
        <v>427</v>
      </c>
      <c r="B15" s="39" t="str">
        <f>IF($A15="","",IFERROR(INDEX(Références!$C$2:$C$201,MATCH($A15,Références!$A$2:$A$201,0)),""))</f>
        <v>Song et al. (2025)</v>
      </c>
      <c r="C15" s="39" t="str">
        <f>IF($A15="","",IFERROR(INDEX(Références!$D$2:$D$201,MATCH($A15,Références!$A$2:$A$201,0)),""))</f>
        <v>High-precision normal stress measurement methods for tire–road contact and its spatial and frequency domain distribution characteristics</v>
      </c>
      <c r="D15" s="40">
        <f>IF($A15="","",IFERROR(INDEX(Références!$G$2:$G$201,MATCH($A15,Références!$A$2:$A$201,0)),""))</f>
        <v>1</v>
      </c>
      <c r="E15" s="40" t="str">
        <f>IF($A15="","",IFERROR(INDEX(Références!$H$2:$H$201,MATCH($A15,Références!$A$2:$A$201,0)),""))</f>
        <v>A consulter</v>
      </c>
      <c r="F15" s="40">
        <f>IF($A15="","",IFERROR(INDEX(Références!$I$2:$I$201,MATCH($A15,Références!$A$2:$A$201,0)),""))</f>
        <v>1</v>
      </c>
      <c r="G15" s="40" t="str">
        <f>IF($A15="","",IFERROR(INDEX(Références!$F$2:$F$201,MATCH($A15,Références!$A$2:$A$201,0)),""))</f>
        <v>Oui</v>
      </c>
      <c r="H15" s="40" t="str">
        <f>IF($A15="","",IFERROR(INDEX(Références!$J$2:$J$201,MATCH($A15,Références!$A$2:$A$201,0)),""))</f>
        <v>À lire</v>
      </c>
      <c r="I15" s="41" t="str">
        <f>IF($A15="","",IFERROR(IF(INDEX(Références!$AF$2:$AF$201,MATCH($A15,Références!$A$2:$A$201,0))="","",HYPERLINK(INDEX(Références!$AF$2:$AF$201,MATCH($A15,Références!$A$2:$A$201,0)),"Ouvrir")),""))</f>
        <v>Ouvrir</v>
      </c>
      <c r="J15" s="42" t="s">
        <v>1692</v>
      </c>
      <c r="K15" s="3" t="s">
        <v>1735</v>
      </c>
      <c r="L15" s="3" t="s">
        <v>1778</v>
      </c>
      <c r="M15" s="3" t="s">
        <v>1779</v>
      </c>
      <c r="N15" s="3" t="s">
        <v>1780</v>
      </c>
      <c r="O15" s="3" t="s">
        <v>1781</v>
      </c>
      <c r="P15" s="43" t="s">
        <v>1782</v>
      </c>
      <c r="Q15" s="3" t="s">
        <v>1783</v>
      </c>
      <c r="R15" s="3" t="s">
        <v>1701</v>
      </c>
      <c r="S15" s="3" t="s">
        <v>1784</v>
      </c>
      <c r="T15" s="3" t="s">
        <v>1701</v>
      </c>
      <c r="U15" s="3" t="s">
        <v>1785</v>
      </c>
      <c r="V15" s="3" t="s">
        <v>1715</v>
      </c>
      <c r="W15" s="3" t="s">
        <v>1776</v>
      </c>
      <c r="X15" s="3" t="s">
        <v>1701</v>
      </c>
    </row>
    <row r="16" spans="1:24" ht="42.75" customHeight="1" x14ac:dyDescent="0.25">
      <c r="A16" s="38" t="s">
        <v>437</v>
      </c>
      <c r="B16" s="39" t="str">
        <f>IF($A16="","",IFERROR(INDEX(Références!$C$2:$C$201,MATCH($A16,Références!$A$2:$A$201,0)),""))</f>
        <v>Tielking (1989)</v>
      </c>
      <c r="C16" s="39" t="str">
        <f>IF($A16="","",IFERROR(INDEX(Références!$D$2:$D$201,MATCH($A16,Références!$A$2:$A$201,0)),""))</f>
        <v>Aircraft tire/pavement pressure distributions</v>
      </c>
      <c r="D16" s="40">
        <f>IF($A16="","",IFERROR(INDEX(Références!$G$2:$G$201,MATCH($A16,Références!$A$2:$A$201,0)),""))</f>
        <v>1</v>
      </c>
      <c r="E16" s="40" t="str">
        <f>IF($A16="","",IFERROR(INDEX(Références!$H$2:$H$201,MATCH($A16,Références!$A$2:$A$201,0)),""))</f>
        <v>A consulter</v>
      </c>
      <c r="F16" s="40">
        <f>IF($A16="","",IFERROR(INDEX(Références!$I$2:$I$201,MATCH($A16,Références!$A$2:$A$201,0)),""))</f>
        <v>1</v>
      </c>
      <c r="G16" s="40" t="str">
        <f>IF($A16="","",IFERROR(INDEX(Références!$F$2:$F$201,MATCH($A16,Références!$A$2:$A$201,0)),""))</f>
        <v>Non</v>
      </c>
      <c r="H16" s="40" t="str">
        <f>IF($A16="","",IFERROR(INDEX(Références!$J$2:$J$201,MATCH($A16,Références!$A$2:$A$201,0)),""))</f>
        <v>À lire</v>
      </c>
      <c r="I16" s="41" t="str">
        <f>IF($A16="","",IFERROR(IF(INDEX(Références!$AF$2:$AF$201,MATCH($A16,Références!$A$2:$A$201,0))="","",HYPERLINK(INDEX(Références!$AF$2:$AF$201,MATCH($A16,Références!$A$2:$A$201,0)),"Ouvrir")),""))</f>
        <v>Ouvrir</v>
      </c>
      <c r="J16" s="42" t="s">
        <v>1692</v>
      </c>
      <c r="K16" s="3" t="s">
        <v>1786</v>
      </c>
      <c r="L16" s="3" t="s">
        <v>1787</v>
      </c>
      <c r="M16" s="3" t="s">
        <v>1788</v>
      </c>
      <c r="N16" s="3" t="s">
        <v>1789</v>
      </c>
      <c r="O16" s="3" t="s">
        <v>1790</v>
      </c>
      <c r="P16" s="43" t="s">
        <v>1791</v>
      </c>
      <c r="Q16" s="3" t="s">
        <v>1792</v>
      </c>
      <c r="R16" s="3" t="s">
        <v>1793</v>
      </c>
      <c r="S16" s="3" t="s">
        <v>1713</v>
      </c>
      <c r="T16" s="3" t="s">
        <v>1701</v>
      </c>
      <c r="U16" s="3" t="s">
        <v>1714</v>
      </c>
      <c r="V16" s="3" t="s">
        <v>1715</v>
      </c>
      <c r="W16" s="3" t="s">
        <v>1672</v>
      </c>
      <c r="X16" s="3" t="s">
        <v>1691</v>
      </c>
    </row>
    <row r="17" spans="1:24" ht="69" customHeight="1" x14ac:dyDescent="0.25">
      <c r="A17" s="38" t="s">
        <v>449</v>
      </c>
      <c r="B17" s="39" t="str">
        <f>IF($A17="","",IFERROR(INDEX(Références!$C$2:$C$201,MATCH($A17,Références!$A$2:$A$201,0)),""))</f>
        <v>Wang et al. (2021)</v>
      </c>
      <c r="C17" s="39" t="str">
        <f>IF($A17="","",IFERROR(INDEX(Références!$D$2:$D$201,MATCH($A17,Références!$A$2:$A$201,0)),""))</f>
        <v>Characterization of dynamic response of asphalt pavement in dry and saturated conditions using the full-scale accelerated loading test</v>
      </c>
      <c r="D17" s="40">
        <f>IF($A17="","",IFERROR(INDEX(Références!$G$2:$G$201,MATCH($A17,Références!$A$2:$A$201,0)),""))</f>
        <v>1</v>
      </c>
      <c r="E17" s="40" t="str">
        <f>IF($A17="","",IFERROR(INDEX(Références!$H$2:$H$201,MATCH($A17,Références!$A$2:$A$201,0)),""))</f>
        <v>A consulter</v>
      </c>
      <c r="F17" s="40">
        <f>IF($A17="","",IFERROR(INDEX(Références!$I$2:$I$201,MATCH($A17,Références!$A$2:$A$201,0)),""))</f>
        <v>1</v>
      </c>
      <c r="G17" s="40" t="str">
        <f>IF($A17="","",IFERROR(INDEX(Références!$F$2:$F$201,MATCH($A17,Références!$A$2:$A$201,0)),""))</f>
        <v>Oui</v>
      </c>
      <c r="H17" s="40" t="str">
        <f>IF($A17="","",IFERROR(INDEX(Références!$J$2:$J$201,MATCH($A17,Références!$A$2:$A$201,0)),""))</f>
        <v>À lire</v>
      </c>
      <c r="I17" s="41" t="str">
        <f>IF($A17="","",IFERROR(IF(INDEX(Références!$AF$2:$AF$201,MATCH($A17,Références!$A$2:$A$201,0))="","",HYPERLINK(INDEX(Références!$AF$2:$AF$201,MATCH($A17,Références!$A$2:$A$201,0)),"Ouvrir")),""))</f>
        <v>Ouvrir</v>
      </c>
      <c r="J17" s="42" t="s">
        <v>1692</v>
      </c>
      <c r="K17" s="3" t="s">
        <v>1693</v>
      </c>
      <c r="L17" s="3" t="s">
        <v>1794</v>
      </c>
      <c r="M17" s="3" t="s">
        <v>1795</v>
      </c>
      <c r="N17" s="3" t="s">
        <v>1796</v>
      </c>
      <c r="O17" s="3" t="s">
        <v>1797</v>
      </c>
      <c r="P17" s="43" t="s">
        <v>1798</v>
      </c>
      <c r="Q17" s="3" t="s">
        <v>1701</v>
      </c>
      <c r="R17" s="3" t="s">
        <v>1799</v>
      </c>
      <c r="S17" s="3" t="s">
        <v>1701</v>
      </c>
      <c r="T17" s="3" t="s">
        <v>1701</v>
      </c>
      <c r="U17" s="3" t="s">
        <v>1800</v>
      </c>
      <c r="V17" s="3" t="s">
        <v>1703</v>
      </c>
      <c r="W17" s="3" t="s">
        <v>1801</v>
      </c>
      <c r="X17" s="3" t="s">
        <v>1734</v>
      </c>
    </row>
    <row r="18" spans="1:24" ht="55.5" customHeight="1" x14ac:dyDescent="0.25">
      <c r="A18" s="38" t="s">
        <v>459</v>
      </c>
      <c r="B18" s="39" t="str">
        <f>IF($A18="","",IFERROR(INDEX(Références!$C$2:$C$201,MATCH($A18,Références!$A$2:$A$201,0)),""))</f>
        <v>Wesołowski et al. (2020)</v>
      </c>
      <c r="C18" s="39" t="str">
        <f>IF($A18="","",IFERROR(INDEX(Références!$D$2:$D$201,MATCH($A18,Références!$A$2:$A$201,0)),""))</f>
        <v>Analysis of the actual contact surface of selected aircraft tires with the airport pavement as a function of pressure and vertical load</v>
      </c>
      <c r="D18" s="40">
        <f>IF($A18="","",IFERROR(INDEX(Références!$G$2:$G$201,MATCH($A18,Références!$A$2:$A$201,0)),""))</f>
        <v>1</v>
      </c>
      <c r="E18" s="40" t="str">
        <f>IF($A18="","",IFERROR(INDEX(Références!$H$2:$H$201,MATCH($A18,Références!$A$2:$A$201,0)),""))</f>
        <v>A consulter</v>
      </c>
      <c r="F18" s="40">
        <f>IF($A18="","",IFERROR(INDEX(Références!$I$2:$I$201,MATCH($A18,Références!$A$2:$A$201,0)),""))</f>
        <v>1</v>
      </c>
      <c r="G18" s="40" t="str">
        <f>IF($A18="","",IFERROR(INDEX(Références!$F$2:$F$201,MATCH($A18,Références!$A$2:$A$201,0)),""))</f>
        <v>Non</v>
      </c>
      <c r="H18" s="40" t="str">
        <f>IF($A18="","",IFERROR(INDEX(Références!$J$2:$J$201,MATCH($A18,Références!$A$2:$A$201,0)),""))</f>
        <v>À lire</v>
      </c>
      <c r="I18" s="41" t="str">
        <f>IF($A18="","",IFERROR(IF(INDEX(Références!$AF$2:$AF$201,MATCH($A18,Références!$A$2:$A$201,0))="","",HYPERLINK(INDEX(Références!$AF$2:$AF$201,MATCH($A18,Références!$A$2:$A$201,0)),"Ouvrir")),""))</f>
        <v>Ouvrir</v>
      </c>
      <c r="J18" s="42" t="s">
        <v>1692</v>
      </c>
      <c r="K18" s="3" t="s">
        <v>1735</v>
      </c>
      <c r="L18" s="3" t="s">
        <v>1802</v>
      </c>
      <c r="M18" s="3" t="s">
        <v>1803</v>
      </c>
      <c r="N18" s="3" t="s">
        <v>1804</v>
      </c>
      <c r="O18" s="3" t="s">
        <v>1805</v>
      </c>
      <c r="P18" s="43" t="s">
        <v>1806</v>
      </c>
      <c r="Q18" s="3" t="s">
        <v>1807</v>
      </c>
      <c r="R18" s="3" t="s">
        <v>1808</v>
      </c>
      <c r="S18" s="3" t="s">
        <v>1809</v>
      </c>
      <c r="T18" s="3" t="s">
        <v>1701</v>
      </c>
      <c r="U18" s="3" t="s">
        <v>1702</v>
      </c>
      <c r="V18" s="3" t="s">
        <v>1715</v>
      </c>
      <c r="W18" s="3" t="s">
        <v>1672</v>
      </c>
      <c r="X18" s="3" t="s">
        <v>1701</v>
      </c>
    </row>
    <row r="19" spans="1:24" ht="69" customHeight="1" x14ac:dyDescent="0.25">
      <c r="A19" s="38" t="s">
        <v>507</v>
      </c>
      <c r="B19" s="39" t="str">
        <f>IF($A19="","",IFERROR(INDEX(Références!$C$2:$C$201,MATCH($A19,Références!$A$2:$A$201,0)),""))</f>
        <v>De Beer et al. (1997)</v>
      </c>
      <c r="C19" s="39" t="str">
        <f>IF($A19="","",IFERROR(INDEX(Références!$D$2:$D$201,MATCH($A19,Références!$A$2:$A$201,0)),""))</f>
        <v>Determination of pneumatic tyre/pavement interface contact stresses under moving loads and some effects on pavements with thin asphalt surfacing layers</v>
      </c>
      <c r="D19" s="40">
        <f>IF($A19="","",IFERROR(INDEX(Références!$G$2:$G$201,MATCH($A19,Références!$A$2:$A$201,0)),""))</f>
        <v>1</v>
      </c>
      <c r="E19" s="40" t="str">
        <f>IF($A19="","",IFERROR(INDEX(Références!$H$2:$H$201,MATCH($A19,Références!$A$2:$A$201,0)),""))</f>
        <v>Important</v>
      </c>
      <c r="F19" s="40">
        <f>IF($A19="","",IFERROR(INDEX(Références!$I$2:$I$201,MATCH($A19,Références!$A$2:$A$201,0)),""))</f>
        <v>2</v>
      </c>
      <c r="G19" s="40" t="str">
        <f>IF($A19="","",IFERROR(INDEX(Références!$F$2:$F$201,MATCH($A19,Références!$A$2:$A$201,0)),""))</f>
        <v>Oui</v>
      </c>
      <c r="H19" s="40" t="str">
        <f>IF($A19="","",IFERROR(INDEX(Références!$J$2:$J$201,MATCH($A19,Références!$A$2:$A$201,0)),""))</f>
        <v>À lire</v>
      </c>
      <c r="I19" s="41" t="str">
        <f>IF($A19="","",IFERROR(IF(INDEX(Références!$AF$2:$AF$201,MATCH($A19,Références!$A$2:$A$201,0))="","",HYPERLINK(INDEX(Références!$AF$2:$AF$201,MATCH($A19,Références!$A$2:$A$201,0)),"Ouvrir")),""))</f>
        <v>Ouvrir</v>
      </c>
      <c r="J19" s="42" t="s">
        <v>1716</v>
      </c>
      <c r="K19" s="3" t="s">
        <v>1810</v>
      </c>
      <c r="L19" s="3" t="s">
        <v>1811</v>
      </c>
      <c r="M19" s="3" t="s">
        <v>1701</v>
      </c>
      <c r="N19" s="3" t="s">
        <v>1701</v>
      </c>
      <c r="O19" s="3" t="s">
        <v>1720</v>
      </c>
      <c r="P19" s="43" t="s">
        <v>1812</v>
      </c>
      <c r="Q19" s="3" t="s">
        <v>1813</v>
      </c>
      <c r="R19" s="3" t="s">
        <v>1685</v>
      </c>
      <c r="S19" s="3" t="s">
        <v>1700</v>
      </c>
      <c r="T19" s="3" t="s">
        <v>1701</v>
      </c>
      <c r="U19" s="3" t="s">
        <v>1702</v>
      </c>
      <c r="V19" s="3" t="s">
        <v>1814</v>
      </c>
      <c r="W19" s="3" t="s">
        <v>1815</v>
      </c>
      <c r="X19" s="3" t="s">
        <v>1701</v>
      </c>
    </row>
    <row r="20" spans="1:24" ht="69" customHeight="1" x14ac:dyDescent="0.25">
      <c r="A20" s="38" t="s">
        <v>521</v>
      </c>
      <c r="B20" s="39" t="str">
        <f>IF($A20="","",IFERROR(INDEX(Références!$C$2:$C$201,MATCH($A20,Références!$A$2:$A$201,0)),""))</f>
        <v>De Beer et al. (2002)</v>
      </c>
      <c r="C20" s="39" t="str">
        <f>IF($A20="","",IFERROR(INDEX(Références!$D$2:$D$201,MATCH($A20,Références!$A$2:$A$201,0)),""))</f>
        <v>Evaluation of non-uniform tyre contact stresses on thin asphalt pavements</v>
      </c>
      <c r="D20" s="40">
        <f>IF($A20="","",IFERROR(INDEX(Références!$G$2:$G$201,MATCH($A20,Références!$A$2:$A$201,0)),""))</f>
        <v>1</v>
      </c>
      <c r="E20" s="40" t="str">
        <f>IF($A20="","",IFERROR(INDEX(Références!$H$2:$H$201,MATCH($A20,Références!$A$2:$A$201,0)),""))</f>
        <v>Important</v>
      </c>
      <c r="F20" s="40">
        <f>IF($A20="","",IFERROR(INDEX(Références!$I$2:$I$201,MATCH($A20,Références!$A$2:$A$201,0)),""))</f>
        <v>2</v>
      </c>
      <c r="G20" s="40" t="str">
        <f>IF($A20="","",IFERROR(INDEX(Références!$F$2:$F$201,MATCH($A20,Références!$A$2:$A$201,0)),""))</f>
        <v>Oui</v>
      </c>
      <c r="H20" s="40" t="str">
        <f>IF($A20="","",IFERROR(INDEX(Références!$J$2:$J$201,MATCH($A20,Références!$A$2:$A$201,0)),""))</f>
        <v>À lire</v>
      </c>
      <c r="I20" s="41" t="str">
        <f>IF($A20="","",IFERROR(IF(INDEX(Références!$AF$2:$AF$201,MATCH($A20,Références!$A$2:$A$201,0))="","",HYPERLINK(INDEX(Références!$AF$2:$AF$201,MATCH($A20,Références!$A$2:$A$201,0)),"Ouvrir")),""))</f>
        <v>Ouvrir</v>
      </c>
      <c r="J20" s="42" t="s">
        <v>1692</v>
      </c>
      <c r="K20" s="3" t="s">
        <v>1816</v>
      </c>
      <c r="L20" s="3" t="s">
        <v>1817</v>
      </c>
      <c r="M20" s="3" t="s">
        <v>1818</v>
      </c>
      <c r="N20" s="3" t="s">
        <v>1819</v>
      </c>
      <c r="O20" s="3" t="s">
        <v>1820</v>
      </c>
      <c r="P20" s="43" t="s">
        <v>1821</v>
      </c>
      <c r="Q20" s="3" t="s">
        <v>1822</v>
      </c>
      <c r="R20" s="3" t="s">
        <v>1685</v>
      </c>
      <c r="S20" s="3" t="s">
        <v>1686</v>
      </c>
      <c r="T20" s="3" t="s">
        <v>1687</v>
      </c>
      <c r="U20" s="3" t="s">
        <v>1823</v>
      </c>
      <c r="V20" s="3" t="s">
        <v>1715</v>
      </c>
      <c r="W20" s="3" t="s">
        <v>1824</v>
      </c>
      <c r="X20" s="3" t="s">
        <v>1825</v>
      </c>
    </row>
    <row r="21" spans="1:24" ht="69" customHeight="1" x14ac:dyDescent="0.25">
      <c r="A21" s="38" t="s">
        <v>534</v>
      </c>
      <c r="B21" s="39" t="str">
        <f>IF($A21="","",IFERROR(INDEX(Références!$C$2:$C$201,MATCH($A21,Références!$A$2:$A$201,0)),""))</f>
        <v>Daugherty (2003)</v>
      </c>
      <c r="C21" s="39" t="str">
        <f>IF($A21="","",IFERROR(INDEX(Références!$D$2:$D$201,MATCH($A21,Références!$A$2:$A$201,0)),""))</f>
        <v>A study of the mechanical properties of modern radial aircraft tires</v>
      </c>
      <c r="D21" s="40">
        <f>IF($A21="","",IFERROR(INDEX(Références!$G$2:$G$201,MATCH($A21,Références!$A$2:$A$201,0)),""))</f>
        <v>2</v>
      </c>
      <c r="E21" s="40" t="str">
        <f>IF($A21="","",IFERROR(INDEX(Références!$H$2:$H$201,MATCH($A21,Références!$A$2:$A$201,0)),""))</f>
        <v>Important</v>
      </c>
      <c r="F21" s="40">
        <f>IF($A21="","",IFERROR(INDEX(Références!$I$2:$I$201,MATCH($A21,Références!$A$2:$A$201,0)),""))</f>
        <v>2</v>
      </c>
      <c r="G21" s="40" t="str">
        <f>IF($A21="","",IFERROR(INDEX(Références!$F$2:$F$201,MATCH($A21,Références!$A$2:$A$201,0)),""))</f>
        <v>Non</v>
      </c>
      <c r="H21" s="40" t="str">
        <f>IF($A21="","",IFERROR(INDEX(Références!$J$2:$J$201,MATCH($A21,Références!$A$2:$A$201,0)),""))</f>
        <v>À lire</v>
      </c>
      <c r="I21" s="41" t="str">
        <f>IF($A21="","",IFERROR(IF(INDEX(Références!$AF$2:$AF$201,MATCH($A21,Références!$A$2:$A$201,0))="","",HYPERLINK(INDEX(Références!$AF$2:$AF$201,MATCH($A21,Références!$A$2:$A$201,0)),"Ouvrir")),""))</f>
        <v>Ouvrir</v>
      </c>
      <c r="J21" s="42" t="s">
        <v>1692</v>
      </c>
      <c r="K21" s="3" t="s">
        <v>1826</v>
      </c>
      <c r="L21" s="3" t="s">
        <v>1827</v>
      </c>
      <c r="M21" s="3" t="s">
        <v>1828</v>
      </c>
      <c r="N21" s="3" t="s">
        <v>1829</v>
      </c>
      <c r="O21" s="3" t="s">
        <v>1830</v>
      </c>
      <c r="P21" s="43" t="s">
        <v>1831</v>
      </c>
      <c r="Q21" s="3" t="s">
        <v>1832</v>
      </c>
      <c r="R21" s="3" t="s">
        <v>1833</v>
      </c>
      <c r="S21" s="3" t="s">
        <v>1834</v>
      </c>
      <c r="T21" s="3" t="s">
        <v>1701</v>
      </c>
      <c r="U21" s="3" t="s">
        <v>1835</v>
      </c>
      <c r="V21" s="3" t="s">
        <v>1836</v>
      </c>
      <c r="W21" s="3" t="s">
        <v>1837</v>
      </c>
      <c r="X21" s="3" t="s">
        <v>1838</v>
      </c>
    </row>
    <row r="22" spans="1:24" ht="55.5" customHeight="1" x14ac:dyDescent="0.25">
      <c r="A22" s="38" t="s">
        <v>545</v>
      </c>
      <c r="B22" s="39" t="str">
        <f>IF($A22="","",IFERROR(INDEX(Références!$C$2:$C$201,MATCH($A22,Références!$A$2:$A$201,0)),""))</f>
        <v>He et al. (2021)</v>
      </c>
      <c r="C22" s="39" t="str">
        <f>IF($A22="","",IFERROR(INDEX(Références!$D$2:$D$201,MATCH($A22,Références!$A$2:$A$201,0)),""))</f>
        <v>Analysis of the tire-pavement contact stress characteristics during vehicle maneuvering</v>
      </c>
      <c r="D22" s="40">
        <f>IF($A22="","",IFERROR(INDEX(Références!$G$2:$G$201,MATCH($A22,Références!$A$2:$A$201,0)),""))</f>
        <v>2</v>
      </c>
      <c r="E22" s="40" t="str">
        <f>IF($A22="","",IFERROR(INDEX(Références!$H$2:$H$201,MATCH($A22,Références!$A$2:$A$201,0)),""))</f>
        <v>Important</v>
      </c>
      <c r="F22" s="40">
        <f>IF($A22="","",IFERROR(INDEX(Références!$I$2:$I$201,MATCH($A22,Références!$A$2:$A$201,0)),""))</f>
        <v>2</v>
      </c>
      <c r="G22" s="40" t="str">
        <f>IF($A22="","",IFERROR(INDEX(Références!$F$2:$F$201,MATCH($A22,Références!$A$2:$A$201,0)),""))</f>
        <v>Oui</v>
      </c>
      <c r="H22" s="40" t="str">
        <f>IF($A22="","",IFERROR(INDEX(Références!$J$2:$J$201,MATCH($A22,Références!$A$2:$A$201,0)),""))</f>
        <v>À lire</v>
      </c>
      <c r="I22" s="41" t="str">
        <f>IF($A22="","",IFERROR(IF(INDEX(Références!$AF$2:$AF$201,MATCH($A22,Références!$A$2:$A$201,0))="","",HYPERLINK(INDEX(Références!$AF$2:$AF$201,MATCH($A22,Références!$A$2:$A$201,0)),"Ouvrir")),""))</f>
        <v>Ouvrir</v>
      </c>
      <c r="J22" s="42" t="s">
        <v>1692</v>
      </c>
      <c r="K22" s="3" t="s">
        <v>1839</v>
      </c>
      <c r="L22" s="3" t="s">
        <v>1840</v>
      </c>
      <c r="M22" s="3" t="s">
        <v>1841</v>
      </c>
      <c r="N22" s="3" t="s">
        <v>1842</v>
      </c>
      <c r="O22" s="3" t="s">
        <v>1843</v>
      </c>
      <c r="P22" s="43" t="s">
        <v>1844</v>
      </c>
      <c r="Q22" s="3" t="s">
        <v>1845</v>
      </c>
      <c r="R22" s="3" t="s">
        <v>1846</v>
      </c>
      <c r="S22" s="3" t="s">
        <v>1847</v>
      </c>
      <c r="T22" s="3" t="s">
        <v>1848</v>
      </c>
      <c r="U22" s="3" t="s">
        <v>1849</v>
      </c>
      <c r="V22" s="3" t="s">
        <v>1703</v>
      </c>
      <c r="W22" s="3" t="s">
        <v>1672</v>
      </c>
      <c r="X22" s="3" t="s">
        <v>1701</v>
      </c>
    </row>
    <row r="23" spans="1:24" ht="55.5" customHeight="1" x14ac:dyDescent="0.25">
      <c r="A23" s="38" t="s">
        <v>557</v>
      </c>
      <c r="B23" s="39" t="str">
        <f>IF($A23="","",IFERROR(INDEX(Références!$C$2:$C$201,MATCH($A23,Références!$A$2:$A$201,0)),""))</f>
        <v>Kongo Kondé et al. (2013)</v>
      </c>
      <c r="C23" s="39" t="str">
        <f>IF($A23="","",IFERROR(INDEX(Références!$D$2:$D$201,MATCH($A23,Références!$A$2:$A$201,0)),""))</f>
        <v>On the modeling of aircraft tire</v>
      </c>
      <c r="D23" s="40">
        <f>IF($A23="","",IFERROR(INDEX(Références!$G$2:$G$201,MATCH($A23,Références!$A$2:$A$201,0)),""))</f>
        <v>2</v>
      </c>
      <c r="E23" s="40" t="str">
        <f>IF($A23="","",IFERROR(INDEX(Références!$H$2:$H$201,MATCH($A23,Références!$A$2:$A$201,0)),""))</f>
        <v>Important</v>
      </c>
      <c r="F23" s="40">
        <f>IF($A23="","",IFERROR(INDEX(Références!$I$2:$I$201,MATCH($A23,Références!$A$2:$A$201,0)),""))</f>
        <v>2</v>
      </c>
      <c r="G23" s="40" t="str">
        <f>IF($A23="","",IFERROR(INDEX(Références!$F$2:$F$201,MATCH($A23,Références!$A$2:$A$201,0)),""))</f>
        <v>Non</v>
      </c>
      <c r="H23" s="40" t="str">
        <f>IF($A23="","",IFERROR(INDEX(Références!$J$2:$J$201,MATCH($A23,Références!$A$2:$A$201,0)),""))</f>
        <v>À lire</v>
      </c>
      <c r="I23" s="41" t="str">
        <f>IF($A23="","",IFERROR(IF(INDEX(Références!$AF$2:$AF$201,MATCH($A23,Références!$A$2:$A$201,0))="","",HYPERLINK(INDEX(Références!$AF$2:$AF$201,MATCH($A23,Références!$A$2:$A$201,0)),"Ouvrir")),""))</f>
        <v>Ouvrir</v>
      </c>
      <c r="J23" s="42" t="s">
        <v>1692</v>
      </c>
      <c r="K23" s="3" t="s">
        <v>1693</v>
      </c>
      <c r="L23" s="3" t="s">
        <v>1850</v>
      </c>
      <c r="M23" s="3" t="s">
        <v>1851</v>
      </c>
      <c r="N23" s="3" t="s">
        <v>1852</v>
      </c>
      <c r="O23" s="3" t="s">
        <v>1853</v>
      </c>
      <c r="P23" s="43" t="s">
        <v>1854</v>
      </c>
      <c r="Q23" s="3" t="s">
        <v>1855</v>
      </c>
      <c r="R23" s="3" t="s">
        <v>1793</v>
      </c>
      <c r="S23" s="3" t="s">
        <v>1856</v>
      </c>
      <c r="T23" s="3" t="s">
        <v>1857</v>
      </c>
      <c r="U23" s="3" t="s">
        <v>1849</v>
      </c>
      <c r="V23" s="3" t="s">
        <v>1858</v>
      </c>
      <c r="W23" s="3" t="s">
        <v>1671</v>
      </c>
      <c r="X23" s="3" t="s">
        <v>1859</v>
      </c>
    </row>
    <row r="24" spans="1:24" ht="81.75" customHeight="1" x14ac:dyDescent="0.25">
      <c r="A24" s="38" t="s">
        <v>569</v>
      </c>
      <c r="B24" s="39" t="str">
        <f>IF($A24="","",IFERROR(INDEX(Références!$C$2:$C$201,MATCH($A24,Références!$A$2:$A$201,0)),""))</f>
        <v>Wang et al. (2012)</v>
      </c>
      <c r="C24" s="39" t="str">
        <f>IF($A24="","",IFERROR(INDEX(Références!$D$2:$D$201,MATCH($A24,Références!$A$2:$A$201,0)),""))</f>
        <v>Simulation of tyre–pavement interaction for predicting contact stresses at static and various rolling conditions</v>
      </c>
      <c r="D24" s="40">
        <f>IF($A24="","",IFERROR(INDEX(Références!$G$2:$G$201,MATCH($A24,Références!$A$2:$A$201,0)),""))</f>
        <v>2</v>
      </c>
      <c r="E24" s="40" t="str">
        <f>IF($A24="","",IFERROR(INDEX(Références!$H$2:$H$201,MATCH($A24,Références!$A$2:$A$201,0)),""))</f>
        <v>Important</v>
      </c>
      <c r="F24" s="40">
        <f>IF($A24="","",IFERROR(INDEX(Références!$I$2:$I$201,MATCH($A24,Références!$A$2:$A$201,0)),""))</f>
        <v>2</v>
      </c>
      <c r="G24" s="40" t="str">
        <f>IF($A24="","",IFERROR(INDEX(Références!$F$2:$F$201,MATCH($A24,Références!$A$2:$A$201,0)),""))</f>
        <v>Non</v>
      </c>
      <c r="H24" s="40" t="str">
        <f>IF($A24="","",IFERROR(INDEX(Références!$J$2:$J$201,MATCH($A24,Références!$A$2:$A$201,0)),""))</f>
        <v>À lire</v>
      </c>
      <c r="I24" s="41" t="str">
        <f>IF($A24="","",IFERROR(IF(INDEX(Références!$AF$2:$AF$201,MATCH($A24,Références!$A$2:$A$201,0))="","",HYPERLINK(INDEX(Références!$AF$2:$AF$201,MATCH($A24,Références!$A$2:$A$201,0)),"Ouvrir")),""))</f>
        <v>Ouvrir</v>
      </c>
      <c r="J24" s="42" t="s">
        <v>1692</v>
      </c>
      <c r="K24" s="3" t="s">
        <v>1751</v>
      </c>
      <c r="L24" s="3" t="s">
        <v>1860</v>
      </c>
      <c r="M24" s="3" t="s">
        <v>1861</v>
      </c>
      <c r="N24" s="3" t="s">
        <v>1862</v>
      </c>
      <c r="O24" s="3" t="s">
        <v>1863</v>
      </c>
      <c r="P24" s="43" t="s">
        <v>1864</v>
      </c>
      <c r="Q24" s="3" t="s">
        <v>1865</v>
      </c>
      <c r="R24" s="3" t="s">
        <v>1866</v>
      </c>
      <c r="S24" s="3" t="s">
        <v>1847</v>
      </c>
      <c r="T24" s="3" t="s">
        <v>1867</v>
      </c>
      <c r="U24" s="3" t="s">
        <v>1849</v>
      </c>
      <c r="V24" s="3" t="s">
        <v>1703</v>
      </c>
      <c r="W24" s="3" t="s">
        <v>1672</v>
      </c>
      <c r="X24" s="3" t="s">
        <v>1868</v>
      </c>
    </row>
    <row r="25" spans="1:24" ht="107.25" customHeight="1" x14ac:dyDescent="0.25">
      <c r="A25" s="38" t="s">
        <v>580</v>
      </c>
      <c r="B25" s="39" t="str">
        <f>IF($A25="","",IFERROR(INDEX(Références!$C$2:$C$201,MATCH($A25,Références!$A$2:$A$201,0)),""))</f>
        <v>Xie &amp; Yang (2019)</v>
      </c>
      <c r="C25" s="39" t="str">
        <f>IF($A25="","",IFERROR(INDEX(Références!$D$2:$D$201,MATCH($A25,Références!$A$2:$A$201,0)),""))</f>
        <v>Tyre–pavement contact stress distribution considering tyre types</v>
      </c>
      <c r="D25" s="40">
        <f>IF($A25="","",IFERROR(INDEX(Références!$G$2:$G$201,MATCH($A25,Références!$A$2:$A$201,0)),""))</f>
        <v>2</v>
      </c>
      <c r="E25" s="40" t="str">
        <f>IF($A25="","",IFERROR(INDEX(Références!$H$2:$H$201,MATCH($A25,Références!$A$2:$A$201,0)),""))</f>
        <v>Important</v>
      </c>
      <c r="F25" s="40">
        <f>IF($A25="","",IFERROR(INDEX(Références!$I$2:$I$201,MATCH($A25,Références!$A$2:$A$201,0)),""))</f>
        <v>2</v>
      </c>
      <c r="G25" s="40" t="str">
        <f>IF($A25="","",IFERROR(INDEX(Références!$F$2:$F$201,MATCH($A25,Références!$A$2:$A$201,0)),""))</f>
        <v>Oui</v>
      </c>
      <c r="H25" s="40" t="str">
        <f>IF($A25="","",IFERROR(INDEX(Références!$J$2:$J$201,MATCH($A25,Références!$A$2:$A$201,0)),""))</f>
        <v>À lire</v>
      </c>
      <c r="I25" s="41" t="str">
        <f>IF($A25="","",IFERROR(IF(INDEX(Références!$AF$2:$AF$201,MATCH($A25,Références!$A$2:$A$201,0))="","",HYPERLINK(INDEX(Références!$AF$2:$AF$201,MATCH($A25,Références!$A$2:$A$201,0)),"Ouvrir")),""))</f>
        <v>Ouvrir</v>
      </c>
      <c r="J25" s="42" t="s">
        <v>517</v>
      </c>
      <c r="K25" s="3" t="s">
        <v>1869</v>
      </c>
      <c r="L25" s="3" t="s">
        <v>1870</v>
      </c>
      <c r="M25" s="3" t="s">
        <v>1871</v>
      </c>
      <c r="N25" s="3" t="s">
        <v>1872</v>
      </c>
      <c r="O25" s="3" t="s">
        <v>1873</v>
      </c>
      <c r="P25" s="43" t="s">
        <v>1874</v>
      </c>
      <c r="Q25" s="3" t="s">
        <v>1875</v>
      </c>
      <c r="R25" s="3" t="s">
        <v>1876</v>
      </c>
      <c r="S25" s="3" t="s">
        <v>1713</v>
      </c>
      <c r="T25" s="3" t="s">
        <v>1877</v>
      </c>
      <c r="U25" s="3" t="s">
        <v>1849</v>
      </c>
      <c r="V25" s="3" t="s">
        <v>1715</v>
      </c>
      <c r="W25" s="3" t="s">
        <v>1672</v>
      </c>
      <c r="X25" s="3" t="s">
        <v>1691</v>
      </c>
    </row>
    <row r="26" spans="1:24" ht="55.5" customHeight="1" x14ac:dyDescent="0.25">
      <c r="A26" s="38" t="s">
        <v>624</v>
      </c>
      <c r="B26" s="39" t="str">
        <f>IF($A26="","",IFERROR(INDEX(Références!$C$2:$C$201,MATCH($A26,Références!$A$2:$A$201,0)),""))</f>
        <v>Behroozi et al. (2012)</v>
      </c>
      <c r="C26" s="39" t="str">
        <f>IF($A26="","",IFERROR(INDEX(Références!$D$2:$D$201,MATCH($A26,Références!$A$2:$A$201,0)),""))</f>
        <v>Finite element analysis of aircraft tyre – Effect of model complexity on tyre performance characteristics</v>
      </c>
      <c r="D26" s="40">
        <f>IF($A26="","",IFERROR(INDEX(Références!$G$2:$G$201,MATCH($A26,Références!$A$2:$A$201,0)),""))</f>
        <v>2</v>
      </c>
      <c r="E26" s="40" t="str">
        <f>IF($A26="","",IFERROR(INDEX(Références!$H$2:$H$201,MATCH($A26,Références!$A$2:$A$201,0)),""))</f>
        <v>A consulter</v>
      </c>
      <c r="F26" s="40">
        <f>IF($A26="","",IFERROR(INDEX(Références!$I$2:$I$201,MATCH($A26,Références!$A$2:$A$201,0)),""))</f>
        <v>2</v>
      </c>
      <c r="G26" s="40" t="str">
        <f>IF($A26="","",IFERROR(INDEX(Références!$F$2:$F$201,MATCH($A26,Références!$A$2:$A$201,0)),""))</f>
        <v>Non</v>
      </c>
      <c r="H26" s="40" t="str">
        <f>IF($A26="","",IFERROR(INDEX(Références!$J$2:$J$201,MATCH($A26,Références!$A$2:$A$201,0)),""))</f>
        <v>À lire</v>
      </c>
      <c r="I26" s="41" t="str">
        <f>IF($A26="","",IFERROR(IF(INDEX(Références!$AF$2:$AF$201,MATCH($A26,Références!$A$2:$A$201,0))="","",HYPERLINK(INDEX(Références!$AF$2:$AF$201,MATCH($A26,Références!$A$2:$A$201,0)),"Ouvrir")),""))</f>
        <v>Ouvrir</v>
      </c>
      <c r="J26" s="42" t="s">
        <v>1692</v>
      </c>
      <c r="K26" s="3" t="s">
        <v>1693</v>
      </c>
      <c r="L26" s="3" t="s">
        <v>1878</v>
      </c>
      <c r="M26" s="3" t="s">
        <v>1879</v>
      </c>
      <c r="N26" s="3" t="s">
        <v>1880</v>
      </c>
      <c r="O26" s="3" t="s">
        <v>1881</v>
      </c>
      <c r="P26" s="43" t="s">
        <v>1882</v>
      </c>
      <c r="Q26" s="3" t="s">
        <v>1701</v>
      </c>
      <c r="R26" s="3" t="s">
        <v>1793</v>
      </c>
      <c r="S26" s="3" t="s">
        <v>1701</v>
      </c>
      <c r="T26" s="3" t="s">
        <v>1857</v>
      </c>
      <c r="U26" s="3" t="s">
        <v>1883</v>
      </c>
      <c r="V26" s="3" t="s">
        <v>1884</v>
      </c>
      <c r="W26" s="3" t="s">
        <v>1671</v>
      </c>
      <c r="X26" s="3" t="s">
        <v>1885</v>
      </c>
    </row>
    <row r="27" spans="1:24" ht="55.5" customHeight="1" x14ac:dyDescent="0.25">
      <c r="A27" s="38" t="s">
        <v>635</v>
      </c>
      <c r="B27" s="39" t="str">
        <f>IF($A27="","",IFERROR(INDEX(Références!$C$2:$C$201,MATCH($A27,Références!$A$2:$A$201,0)),""))</f>
        <v>El Fahham et al. (2023)</v>
      </c>
      <c r="C27" s="39" t="str">
        <f>IF($A27="","",IFERROR(INDEX(Références!$D$2:$D$201,MATCH($A27,Références!$A$2:$A$201,0)),""))</f>
        <v>Analysis of vehicle tire strength test</v>
      </c>
      <c r="D27" s="40">
        <f>IF($A27="","",IFERROR(INDEX(Références!$G$2:$G$201,MATCH($A27,Références!$A$2:$A$201,0)),""))</f>
        <v>2</v>
      </c>
      <c r="E27" s="40" t="str">
        <f>IF($A27="","",IFERROR(INDEX(Références!$H$2:$H$201,MATCH($A27,Références!$A$2:$A$201,0)),""))</f>
        <v>A consulter</v>
      </c>
      <c r="F27" s="40">
        <f>IF($A27="","",IFERROR(INDEX(Références!$I$2:$I$201,MATCH($A27,Références!$A$2:$A$201,0)),""))</f>
        <v>2</v>
      </c>
      <c r="G27" s="40" t="str">
        <f>IF($A27="","",IFERROR(INDEX(Références!$F$2:$F$201,MATCH($A27,Références!$A$2:$A$201,0)),""))</f>
        <v>Oui</v>
      </c>
      <c r="H27" s="40" t="str">
        <f>IF($A27="","",IFERROR(INDEX(Références!$J$2:$J$201,MATCH($A27,Références!$A$2:$A$201,0)),""))</f>
        <v>À lire</v>
      </c>
      <c r="I27" s="41" t="str">
        <f>IF($A27="","",IFERROR(IF(INDEX(Références!$AF$2:$AF$201,MATCH($A27,Références!$A$2:$A$201,0))="","",HYPERLINK(INDEX(Références!$AF$2:$AF$201,MATCH($A27,Références!$A$2:$A$201,0)),"Ouvrir")),""))</f>
        <v>Ouvrir</v>
      </c>
      <c r="J27" s="42" t="s">
        <v>1692</v>
      </c>
      <c r="K27" s="3" t="s">
        <v>1693</v>
      </c>
      <c r="L27" s="3" t="s">
        <v>1886</v>
      </c>
      <c r="M27" s="3" t="s">
        <v>1887</v>
      </c>
      <c r="N27" s="3" t="s">
        <v>1888</v>
      </c>
      <c r="O27" s="3" t="s">
        <v>1889</v>
      </c>
      <c r="P27" s="43" t="s">
        <v>1890</v>
      </c>
      <c r="Q27" s="3" t="s">
        <v>1701</v>
      </c>
      <c r="R27" s="3" t="s">
        <v>1891</v>
      </c>
      <c r="S27" s="3" t="s">
        <v>1701</v>
      </c>
      <c r="T27" s="3" t="s">
        <v>1701</v>
      </c>
      <c r="U27" s="3" t="s">
        <v>1777</v>
      </c>
      <c r="V27" s="3" t="s">
        <v>1715</v>
      </c>
      <c r="W27" s="3" t="s">
        <v>1671</v>
      </c>
      <c r="X27" s="3" t="s">
        <v>1777</v>
      </c>
    </row>
    <row r="28" spans="1:24" ht="42.75" customHeight="1" x14ac:dyDescent="0.25">
      <c r="A28" s="38" t="s">
        <v>646</v>
      </c>
      <c r="B28" s="39" t="str">
        <f>IF($A28="","",IFERROR(INDEX(Références!$C$2:$C$201,MATCH($A28,Références!$A$2:$A$201,0)),""))</f>
        <v>Ford &amp; Charles (1988)</v>
      </c>
      <c r="C28" s="39" t="str">
        <f>IF($A28="","",IFERROR(INDEX(Références!$D$2:$D$201,MATCH($A28,Références!$A$2:$A$201,0)),""))</f>
        <v>Heavy duty truck tire engineering</v>
      </c>
      <c r="D28" s="40">
        <f>IF($A28="","",IFERROR(INDEX(Références!$G$2:$G$201,MATCH($A28,Références!$A$2:$A$201,0)),""))</f>
        <v>2</v>
      </c>
      <c r="E28" s="40" t="str">
        <f>IF($A28="","",IFERROR(INDEX(Références!$H$2:$H$201,MATCH($A28,Références!$A$2:$A$201,0)),""))</f>
        <v>A consulter</v>
      </c>
      <c r="F28" s="40">
        <f>IF($A28="","",IFERROR(INDEX(Références!$I$2:$I$201,MATCH($A28,Références!$A$2:$A$201,0)),""))</f>
        <v>2</v>
      </c>
      <c r="G28" s="40" t="str">
        <f>IF($A28="","",IFERROR(INDEX(Références!$F$2:$F$201,MATCH($A28,Références!$A$2:$A$201,0)),""))</f>
        <v>Oui</v>
      </c>
      <c r="H28" s="40" t="str">
        <f>IF($A28="","",IFERROR(INDEX(Références!$J$2:$J$201,MATCH($A28,Références!$A$2:$A$201,0)),""))</f>
        <v>À lire</v>
      </c>
      <c r="I28" s="41" t="str">
        <f>IF($A28="","",IFERROR(IF(INDEX(Références!$AF$2:$AF$201,MATCH($A28,Références!$A$2:$A$201,0))="","",HYPERLINK(INDEX(Références!$AF$2:$AF$201,MATCH($A28,Références!$A$2:$A$201,0)),"Ouvrir")),""))</f>
        <v>Ouvrir</v>
      </c>
      <c r="J28" s="42" t="s">
        <v>1692</v>
      </c>
      <c r="K28" s="3" t="s">
        <v>1786</v>
      </c>
      <c r="L28" s="3" t="s">
        <v>1892</v>
      </c>
      <c r="M28" s="3" t="s">
        <v>1893</v>
      </c>
      <c r="N28" s="3" t="s">
        <v>1894</v>
      </c>
      <c r="O28" s="3" t="s">
        <v>1895</v>
      </c>
      <c r="P28" s="43" t="s">
        <v>1896</v>
      </c>
      <c r="Q28" s="3" t="s">
        <v>1897</v>
      </c>
      <c r="R28" s="3" t="s">
        <v>1685</v>
      </c>
      <c r="S28" s="3" t="s">
        <v>1701</v>
      </c>
      <c r="T28" s="3" t="s">
        <v>1701</v>
      </c>
      <c r="U28" s="3" t="s">
        <v>1898</v>
      </c>
      <c r="V28" s="3" t="s">
        <v>1701</v>
      </c>
      <c r="W28" s="3" t="s">
        <v>1671</v>
      </c>
      <c r="X28" s="3" t="s">
        <v>1701</v>
      </c>
    </row>
    <row r="29" spans="1:24" ht="42.75" customHeight="1" x14ac:dyDescent="0.25">
      <c r="A29" s="38" t="s">
        <v>658</v>
      </c>
      <c r="B29" s="39" t="str">
        <f>IF($A29="","",IFERROR(INDEX(Références!$C$2:$C$201,MATCH($A29,Références!$A$2:$A$201,0)),""))</f>
        <v>Gent &amp; Walter (2006)</v>
      </c>
      <c r="C29" s="39" t="str">
        <f>IF($A29="","",IFERROR(INDEX(Références!$D$2:$D$201,MATCH($A29,Références!$A$2:$A$201,0)),""))</f>
        <v>The pneumatic tire</v>
      </c>
      <c r="D29" s="40">
        <f>IF($A29="","",IFERROR(INDEX(Références!$G$2:$G$201,MATCH($A29,Références!$A$2:$A$201,0)),""))</f>
        <v>2</v>
      </c>
      <c r="E29" s="40" t="str">
        <f>IF($A29="","",IFERROR(INDEX(Références!$H$2:$H$201,MATCH($A29,Références!$A$2:$A$201,0)),""))</f>
        <v>A consulter</v>
      </c>
      <c r="F29" s="40">
        <f>IF($A29="","",IFERROR(INDEX(Références!$I$2:$I$201,MATCH($A29,Références!$A$2:$A$201,0)),""))</f>
        <v>2</v>
      </c>
      <c r="G29" s="40" t="str">
        <f>IF($A29="","",IFERROR(INDEX(Références!$F$2:$F$201,MATCH($A29,Références!$A$2:$A$201,0)),""))</f>
        <v>Non</v>
      </c>
      <c r="H29" s="40" t="str">
        <f>IF($A29="","",IFERROR(INDEX(Références!$J$2:$J$201,MATCH($A29,Références!$A$2:$A$201,0)),""))</f>
        <v>À lire</v>
      </c>
      <c r="I29" s="41" t="str">
        <f>IF($A29="","",IFERROR(IF(INDEX(Références!$AF$2:$AF$201,MATCH($A29,Références!$A$2:$A$201,0))="","",HYPERLINK(INDEX(Références!$AF$2:$AF$201,MATCH($A29,Références!$A$2:$A$201,0)),"Ouvrir")),""))</f>
        <v>Ouvrir</v>
      </c>
      <c r="J29" s="42" t="s">
        <v>1716</v>
      </c>
      <c r="K29" s="3" t="s">
        <v>1899</v>
      </c>
      <c r="L29" s="3" t="s">
        <v>1900</v>
      </c>
      <c r="M29" s="3" t="s">
        <v>1701</v>
      </c>
      <c r="N29" s="3" t="s">
        <v>1701</v>
      </c>
      <c r="O29" s="3" t="s">
        <v>1720</v>
      </c>
      <c r="P29" s="43" t="s">
        <v>1901</v>
      </c>
      <c r="Q29" s="3" t="s">
        <v>1902</v>
      </c>
      <c r="R29" s="3" t="s">
        <v>1903</v>
      </c>
      <c r="S29" s="3" t="s">
        <v>1701</v>
      </c>
      <c r="T29" s="3" t="s">
        <v>1701</v>
      </c>
      <c r="U29" s="3" t="s">
        <v>1904</v>
      </c>
      <c r="V29" s="3" t="s">
        <v>1701</v>
      </c>
      <c r="W29" s="3" t="s">
        <v>1837</v>
      </c>
      <c r="X29" s="3" t="s">
        <v>1701</v>
      </c>
    </row>
    <row r="30" spans="1:24" ht="55.5" customHeight="1" x14ac:dyDescent="0.25">
      <c r="A30" s="38" t="s">
        <v>670</v>
      </c>
      <c r="B30" s="39" t="str">
        <f>IF($A30="","",IFERROR(INDEX(Références!$C$2:$C$201,MATCH($A30,Références!$A$2:$A$201,0)),""))</f>
        <v>Hernandez &amp; Al-Qadi (2016)</v>
      </c>
      <c r="C30" s="39" t="str">
        <f>IF($A30="","",IFERROR(INDEX(Références!$D$2:$D$201,MATCH($A30,Références!$A$2:$A$201,0)),""))</f>
        <v>Contact phenomenon of free-rolling wide-base tires: Effect of speed and temperature</v>
      </c>
      <c r="D30" s="40">
        <f>IF($A30="","",IFERROR(INDEX(Références!$G$2:$G$201,MATCH($A30,Références!$A$2:$A$201,0)),""))</f>
        <v>2</v>
      </c>
      <c r="E30" s="40" t="str">
        <f>IF($A30="","",IFERROR(INDEX(Références!$H$2:$H$201,MATCH($A30,Références!$A$2:$A$201,0)),""))</f>
        <v>A consulter</v>
      </c>
      <c r="F30" s="40">
        <f>IF($A30="","",IFERROR(INDEX(Références!$I$2:$I$201,MATCH($A30,Références!$A$2:$A$201,0)),""))</f>
        <v>2</v>
      </c>
      <c r="G30" s="40" t="str">
        <f>IF($A30="","",IFERROR(INDEX(Références!$F$2:$F$201,MATCH($A30,Références!$A$2:$A$201,0)),""))</f>
        <v>Non</v>
      </c>
      <c r="H30" s="40" t="str">
        <f>IF($A30="","",IFERROR(INDEX(Références!$J$2:$J$201,MATCH($A30,Références!$A$2:$A$201,0)),""))</f>
        <v>À lire</v>
      </c>
      <c r="I30" s="41" t="str">
        <f>IF($A30="","",IFERROR(IF(INDEX(Références!$AF$2:$AF$201,MATCH($A30,Références!$A$2:$A$201,0))="","",HYPERLINK(INDEX(Références!$AF$2:$AF$201,MATCH($A30,Références!$A$2:$A$201,0)),"Ouvrir")),""))</f>
        <v>Ouvrir</v>
      </c>
      <c r="J30" s="42" t="s">
        <v>1692</v>
      </c>
      <c r="K30" s="3" t="s">
        <v>1751</v>
      </c>
      <c r="L30" s="3" t="s">
        <v>1905</v>
      </c>
      <c r="M30" s="3" t="s">
        <v>1906</v>
      </c>
      <c r="N30" s="3" t="s">
        <v>1907</v>
      </c>
      <c r="O30" s="3" t="s">
        <v>1908</v>
      </c>
      <c r="P30" s="43" t="s">
        <v>1909</v>
      </c>
      <c r="Q30" s="3" t="s">
        <v>1910</v>
      </c>
      <c r="R30" s="3" t="s">
        <v>1911</v>
      </c>
      <c r="S30" s="3" t="s">
        <v>1912</v>
      </c>
      <c r="T30" s="3" t="s">
        <v>1913</v>
      </c>
      <c r="U30" s="3" t="s">
        <v>1849</v>
      </c>
      <c r="V30" s="3" t="s">
        <v>1703</v>
      </c>
      <c r="W30" s="3" t="s">
        <v>1672</v>
      </c>
      <c r="X30" s="3" t="s">
        <v>1914</v>
      </c>
    </row>
    <row r="31" spans="1:24" ht="69" customHeight="1" x14ac:dyDescent="0.25">
      <c r="A31" s="38" t="s">
        <v>681</v>
      </c>
      <c r="B31" s="39" t="str">
        <f>IF($A31="","",IFERROR(INDEX(Références!$C$2:$C$201,MATCH($A31,Références!$A$2:$A$201,0)),""))</f>
        <v>Kongo Kondé (2011)</v>
      </c>
      <c r="C31" s="39" t="str">
        <f>IF($A31="","",IFERROR(INDEX(Références!$D$2:$D$201,MATCH($A31,Références!$A$2:$A$201,0)),""))</f>
        <v>Modélisation du roulement d'un pneumatique d'avion</v>
      </c>
      <c r="D31" s="40">
        <f>IF($A31="","",IFERROR(INDEX(Références!$G$2:$G$201,MATCH($A31,Références!$A$2:$A$201,0)),""))</f>
        <v>2</v>
      </c>
      <c r="E31" s="40" t="str">
        <f>IF($A31="","",IFERROR(INDEX(Références!$H$2:$H$201,MATCH($A31,Références!$A$2:$A$201,0)),""))</f>
        <v>A consulter</v>
      </c>
      <c r="F31" s="40">
        <f>IF($A31="","",IFERROR(INDEX(Références!$I$2:$I$201,MATCH($A31,Références!$A$2:$A$201,0)),""))</f>
        <v>2</v>
      </c>
      <c r="G31" s="40" t="str">
        <f>IF($A31="","",IFERROR(INDEX(Références!$F$2:$F$201,MATCH($A31,Références!$A$2:$A$201,0)),""))</f>
        <v>Non</v>
      </c>
      <c r="H31" s="40" t="str">
        <f>IF($A31="","",IFERROR(INDEX(Références!$J$2:$J$201,MATCH($A31,Références!$A$2:$A$201,0)),""))</f>
        <v>À lire</v>
      </c>
      <c r="I31" s="41" t="str">
        <f>IF($A31="","",IFERROR(IF(INDEX(Références!$AF$2:$AF$201,MATCH($A31,Références!$A$2:$A$201,0))="","",HYPERLINK(INDEX(Références!$AF$2:$AF$201,MATCH($A31,Références!$A$2:$A$201,0)),"Ouvrir")),""))</f>
        <v>Ouvrir</v>
      </c>
      <c r="J31" s="42" t="s">
        <v>1692</v>
      </c>
      <c r="K31" s="3" t="s">
        <v>1915</v>
      </c>
      <c r="L31" s="3" t="s">
        <v>1916</v>
      </c>
      <c r="M31" s="3" t="s">
        <v>1917</v>
      </c>
      <c r="N31" s="3" t="s">
        <v>1918</v>
      </c>
      <c r="O31" s="3" t="s">
        <v>1919</v>
      </c>
      <c r="P31" s="43" t="s">
        <v>1920</v>
      </c>
      <c r="Q31" s="3" t="s">
        <v>1921</v>
      </c>
      <c r="R31" s="3" t="s">
        <v>1922</v>
      </c>
      <c r="S31" s="3" t="s">
        <v>1856</v>
      </c>
      <c r="T31" s="3" t="s">
        <v>1923</v>
      </c>
      <c r="U31" s="3" t="s">
        <v>1849</v>
      </c>
      <c r="V31" s="3" t="s">
        <v>1924</v>
      </c>
      <c r="W31" s="3" t="s">
        <v>1671</v>
      </c>
      <c r="X31" s="3" t="s">
        <v>1838</v>
      </c>
    </row>
    <row r="32" spans="1:24" ht="55.5" customHeight="1" x14ac:dyDescent="0.25">
      <c r="A32" s="38" t="s">
        <v>695</v>
      </c>
      <c r="B32" s="39" t="str">
        <f>IF($A32="","",IFERROR(INDEX(Références!$C$2:$C$201,MATCH($A32,Références!$A$2:$A$201,0)),""))</f>
        <v>Liu et al. (2022)</v>
      </c>
      <c r="C32" s="39" t="str">
        <f>IF($A32="","",IFERROR(INDEX(Références!$D$2:$D$201,MATCH($A32,Références!$A$2:$A$201,0)),""))</f>
        <v>In-plane flexible ring modeling and a nonlinear stiffness solution for heavy-load radial tires</v>
      </c>
      <c r="D32" s="40">
        <f>IF($A32="","",IFERROR(INDEX(Références!$G$2:$G$201,MATCH($A32,Références!$A$2:$A$201,0)),""))</f>
        <v>2</v>
      </c>
      <c r="E32" s="40" t="str">
        <f>IF($A32="","",IFERROR(INDEX(Références!$H$2:$H$201,MATCH($A32,Références!$A$2:$A$201,0)),""))</f>
        <v>A consulter</v>
      </c>
      <c r="F32" s="40">
        <f>IF($A32="","",IFERROR(INDEX(Références!$I$2:$I$201,MATCH($A32,Références!$A$2:$A$201,0)),""))</f>
        <v>2</v>
      </c>
      <c r="G32" s="40" t="str">
        <f>IF($A32="","",IFERROR(INDEX(Références!$F$2:$F$201,MATCH($A32,Références!$A$2:$A$201,0)),""))</f>
        <v>Oui</v>
      </c>
      <c r="H32" s="40" t="str">
        <f>IF($A32="","",IFERROR(INDEX(Références!$J$2:$J$201,MATCH($A32,Références!$A$2:$A$201,0)),""))</f>
        <v>À lire</v>
      </c>
      <c r="I32" s="41" t="str">
        <f>IF($A32="","",IFERROR(IF(INDEX(Références!$AF$2:$AF$201,MATCH($A32,Références!$A$2:$A$201,0))="","",HYPERLINK(INDEX(Références!$AF$2:$AF$201,MATCH($A32,Références!$A$2:$A$201,0)),"Ouvrir")),""))</f>
        <v>Ouvrir</v>
      </c>
      <c r="J32" s="42" t="s">
        <v>1692</v>
      </c>
      <c r="K32" s="3" t="s">
        <v>1693</v>
      </c>
      <c r="L32" s="3" t="s">
        <v>1925</v>
      </c>
      <c r="M32" s="3" t="s">
        <v>1926</v>
      </c>
      <c r="N32" s="3" t="s">
        <v>1927</v>
      </c>
      <c r="O32" s="3" t="s">
        <v>1928</v>
      </c>
      <c r="P32" s="43" t="s">
        <v>1929</v>
      </c>
      <c r="Q32" s="3" t="s">
        <v>1930</v>
      </c>
      <c r="R32" s="3" t="s">
        <v>1723</v>
      </c>
      <c r="S32" s="3" t="s">
        <v>1931</v>
      </c>
      <c r="T32" s="3" t="s">
        <v>1932</v>
      </c>
      <c r="U32" s="3" t="s">
        <v>1933</v>
      </c>
      <c r="V32" s="3" t="s">
        <v>1715</v>
      </c>
      <c r="W32" s="3" t="s">
        <v>1837</v>
      </c>
      <c r="X32" s="3" t="s">
        <v>1838</v>
      </c>
    </row>
    <row r="33" spans="1:24" ht="55.5" customHeight="1" x14ac:dyDescent="0.25">
      <c r="A33" s="38" t="s">
        <v>707</v>
      </c>
      <c r="B33" s="39" t="str">
        <f>IF($A33="","",IFERROR(INDEX(Références!$C$2:$C$201,MATCH($A33,Références!$A$2:$A$201,0)),""))</f>
        <v>Liu &amp; Al-Qadi (2022)</v>
      </c>
      <c r="C33" s="39" t="str">
        <f>IF($A33="","",IFERROR(INDEX(Références!$D$2:$D$201,MATCH($A33,Références!$A$2:$A$201,0)),""))</f>
        <v>Three-dimensional tire-pavement contact stresses prediction by deep learning approach</v>
      </c>
      <c r="D33" s="40">
        <f>IF($A33="","",IFERROR(INDEX(Références!$G$2:$G$201,MATCH($A33,Références!$A$2:$A$201,0)),""))</f>
        <v>2</v>
      </c>
      <c r="E33" s="40" t="str">
        <f>IF($A33="","",IFERROR(INDEX(Références!$H$2:$H$201,MATCH($A33,Références!$A$2:$A$201,0)),""))</f>
        <v>A consulter</v>
      </c>
      <c r="F33" s="40">
        <f>IF($A33="","",IFERROR(INDEX(Références!$I$2:$I$201,MATCH($A33,Références!$A$2:$A$201,0)),""))</f>
        <v>2</v>
      </c>
      <c r="G33" s="40" t="str">
        <f>IF($A33="","",IFERROR(INDEX(Références!$F$2:$F$201,MATCH($A33,Références!$A$2:$A$201,0)),""))</f>
        <v>Non</v>
      </c>
      <c r="H33" s="40" t="str">
        <f>IF($A33="","",IFERROR(INDEX(Références!$J$2:$J$201,MATCH($A33,Références!$A$2:$A$201,0)),""))</f>
        <v>À lire</v>
      </c>
      <c r="I33" s="41" t="str">
        <f>IF($A33="","",IFERROR(IF(INDEX(Références!$AF$2:$AF$201,MATCH($A33,Références!$A$2:$A$201,0))="","",HYPERLINK(INDEX(Références!$AF$2:$AF$201,MATCH($A33,Références!$A$2:$A$201,0)),"Ouvrir")),""))</f>
        <v>Ouvrir</v>
      </c>
      <c r="J33" s="42" t="s">
        <v>1692</v>
      </c>
      <c r="K33" s="3" t="s">
        <v>1751</v>
      </c>
      <c r="L33" s="3" t="s">
        <v>1934</v>
      </c>
      <c r="M33" s="3" t="s">
        <v>1935</v>
      </c>
      <c r="N33" s="3" t="s">
        <v>1936</v>
      </c>
      <c r="O33" s="3" t="s">
        <v>1937</v>
      </c>
      <c r="P33" s="43" t="s">
        <v>1938</v>
      </c>
      <c r="Q33" s="3" t="s">
        <v>1939</v>
      </c>
      <c r="R33" s="3" t="s">
        <v>1685</v>
      </c>
      <c r="S33" s="3" t="s">
        <v>1940</v>
      </c>
      <c r="T33" s="3" t="s">
        <v>1701</v>
      </c>
      <c r="U33" s="3" t="s">
        <v>1941</v>
      </c>
      <c r="V33" s="3" t="s">
        <v>1942</v>
      </c>
      <c r="W33" s="3" t="s">
        <v>1672</v>
      </c>
      <c r="X33" s="3" t="s">
        <v>1943</v>
      </c>
    </row>
    <row r="34" spans="1:24" ht="55.5" customHeight="1" x14ac:dyDescent="0.25">
      <c r="A34" s="38" t="s">
        <v>718</v>
      </c>
      <c r="B34" s="39" t="str">
        <f>IF($A34="","",IFERROR(INDEX(Références!$C$2:$C$201,MATCH($A34,Références!$A$2:$A$201,0)),""))</f>
        <v>Rosu et al. (2018)</v>
      </c>
      <c r="C34" s="39" t="str">
        <f>IF($A34="","",IFERROR(INDEX(Références!$D$2:$D$201,MATCH($A34,Références!$A$2:$A$201,0)),""))</f>
        <v>Finite element modeling of an aircraft tire rolling on a steel drum: Experimental investigations and numerical simulations</v>
      </c>
      <c r="D34" s="40">
        <f>IF($A34="","",IFERROR(INDEX(Références!$G$2:$G$201,MATCH($A34,Références!$A$2:$A$201,0)),""))</f>
        <v>2</v>
      </c>
      <c r="E34" s="40" t="str">
        <f>IF($A34="","",IFERROR(INDEX(Références!$H$2:$H$201,MATCH($A34,Références!$A$2:$A$201,0)),""))</f>
        <v>A consulter</v>
      </c>
      <c r="F34" s="40">
        <f>IF($A34="","",IFERROR(INDEX(Références!$I$2:$I$201,MATCH($A34,Références!$A$2:$A$201,0)),""))</f>
        <v>2</v>
      </c>
      <c r="G34" s="40" t="str">
        <f>IF($A34="","",IFERROR(INDEX(Références!$F$2:$F$201,MATCH($A34,Références!$A$2:$A$201,0)),""))</f>
        <v>Non</v>
      </c>
      <c r="H34" s="40" t="str">
        <f>IF($A34="","",IFERROR(INDEX(Références!$J$2:$J$201,MATCH($A34,Références!$A$2:$A$201,0)),""))</f>
        <v>À lire</v>
      </c>
      <c r="I34" s="41" t="str">
        <f>IF($A34="","",IFERROR(IF(INDEX(Références!$AF$2:$AF$201,MATCH($A34,Références!$A$2:$A$201,0))="","",HYPERLINK(INDEX(Références!$AF$2:$AF$201,MATCH($A34,Références!$A$2:$A$201,0)),"Ouvrir")),""))</f>
        <v>Ouvrir</v>
      </c>
      <c r="J34" s="42" t="s">
        <v>1692</v>
      </c>
      <c r="K34" s="3" t="s">
        <v>1735</v>
      </c>
      <c r="L34" s="3" t="s">
        <v>1944</v>
      </c>
      <c r="M34" s="3" t="s">
        <v>1945</v>
      </c>
      <c r="N34" s="3" t="s">
        <v>1946</v>
      </c>
      <c r="O34" s="3" t="s">
        <v>1947</v>
      </c>
      <c r="P34" s="43" t="s">
        <v>1948</v>
      </c>
      <c r="Q34" s="3" t="s">
        <v>1949</v>
      </c>
      <c r="R34" s="3" t="s">
        <v>1793</v>
      </c>
      <c r="S34" s="3" t="s">
        <v>1701</v>
      </c>
      <c r="T34" s="3" t="s">
        <v>1950</v>
      </c>
      <c r="U34" s="3" t="s">
        <v>1951</v>
      </c>
      <c r="V34" s="3" t="s">
        <v>1952</v>
      </c>
      <c r="W34" s="3" t="s">
        <v>1953</v>
      </c>
      <c r="X34" s="3" t="s">
        <v>1954</v>
      </c>
    </row>
    <row r="35" spans="1:24" ht="55.5" customHeight="1" x14ac:dyDescent="0.25">
      <c r="A35" s="38" t="s">
        <v>728</v>
      </c>
      <c r="B35" s="39" t="str">
        <f>IF($A35="","",IFERROR(INDEX(Références!$C$2:$C$201,MATCH($A35,Références!$A$2:$A$201,0)),""))</f>
        <v>Tang et al. (2022)</v>
      </c>
      <c r="C35" s="39" t="str">
        <f>IF($A35="","",IFERROR(INDEX(Références!$D$2:$D$201,MATCH($A35,Références!$A$2:$A$201,0)),""))</f>
        <v>Predictions of three-dimensional contact stresses of a radial truck tire under different driving modes</v>
      </c>
      <c r="D35" s="40">
        <f>IF($A35="","",IFERROR(INDEX(Références!$G$2:$G$201,MATCH($A35,Références!$A$2:$A$201,0)),""))</f>
        <v>2</v>
      </c>
      <c r="E35" s="40" t="str">
        <f>IF($A35="","",IFERROR(INDEX(Références!$H$2:$H$201,MATCH($A35,Références!$A$2:$A$201,0)),""))</f>
        <v>A consulter</v>
      </c>
      <c r="F35" s="40">
        <f>IF($A35="","",IFERROR(INDEX(Références!$I$2:$I$201,MATCH($A35,Références!$A$2:$A$201,0)),""))</f>
        <v>2</v>
      </c>
      <c r="G35" s="40" t="str">
        <f>IF($A35="","",IFERROR(INDEX(Références!$F$2:$F$201,MATCH($A35,Références!$A$2:$A$201,0)),""))</f>
        <v>Non</v>
      </c>
      <c r="H35" s="40" t="str">
        <f>IF($A35="","",IFERROR(INDEX(Références!$J$2:$J$201,MATCH($A35,Références!$A$2:$A$201,0)),""))</f>
        <v>À lire</v>
      </c>
      <c r="I35" s="41" t="str">
        <f>IF($A35="","",IFERROR(IF(INDEX(Références!$AF$2:$AF$201,MATCH($A35,Références!$A$2:$A$201,0))="","",HYPERLINK(INDEX(Références!$AF$2:$AF$201,MATCH($A35,Références!$A$2:$A$201,0)),"Ouvrir")),""))</f>
        <v>Ouvrir</v>
      </c>
      <c r="J35" s="42" t="s">
        <v>1692</v>
      </c>
      <c r="K35" s="3" t="s">
        <v>1751</v>
      </c>
      <c r="L35" s="3" t="s">
        <v>1955</v>
      </c>
      <c r="M35" s="3" t="s">
        <v>1956</v>
      </c>
      <c r="N35" s="3" t="s">
        <v>1957</v>
      </c>
      <c r="O35" s="3" t="s">
        <v>1958</v>
      </c>
      <c r="P35" s="43" t="s">
        <v>1959</v>
      </c>
      <c r="Q35" s="3" t="s">
        <v>1960</v>
      </c>
      <c r="R35" s="3" t="s">
        <v>1723</v>
      </c>
      <c r="S35" s="3" t="s">
        <v>1847</v>
      </c>
      <c r="T35" s="3" t="s">
        <v>1857</v>
      </c>
      <c r="U35" s="3" t="s">
        <v>1849</v>
      </c>
      <c r="V35" s="3" t="s">
        <v>1703</v>
      </c>
      <c r="W35" s="3" t="s">
        <v>1672</v>
      </c>
      <c r="X35" s="3" t="s">
        <v>1701</v>
      </c>
    </row>
    <row r="36" spans="1:24" ht="42.75" customHeight="1" x14ac:dyDescent="0.25">
      <c r="A36" s="38" t="s">
        <v>470</v>
      </c>
      <c r="B36" s="39" t="str">
        <f>IF($A36="","",IFERROR(INDEX(Références!$C$2:$C$201,MATCH($A36,Références!$A$2:$A$201,0)),""))</f>
        <v>Di Benedetto et al. (2004)</v>
      </c>
      <c r="C36" s="39" t="str">
        <f>IF($A36="","",IFERROR(INDEX(Références!$D$2:$D$201,MATCH($A36,Références!$A$2:$A$201,0)),""))</f>
        <v>Linear viscoelastic behaviour of bituminous materials: From binders to mixes</v>
      </c>
      <c r="D36" s="40">
        <f>IF($A36="","",IFERROR(INDEX(Références!$G$2:$G$201,MATCH($A36,Références!$A$2:$A$201,0)),""))</f>
        <v>3</v>
      </c>
      <c r="E36" s="40" t="str">
        <f>IF($A36="","",IFERROR(INDEX(Références!$H$2:$H$201,MATCH($A36,Références!$A$2:$A$201,0)),""))</f>
        <v>INCONTOURNABLE</v>
      </c>
      <c r="F36" s="40">
        <f>IF($A36="","",IFERROR(INDEX(Références!$I$2:$I$201,MATCH($A36,Références!$A$2:$A$201,0)),""))</f>
        <v>2</v>
      </c>
      <c r="G36" s="40" t="str">
        <f>IF($A36="","",IFERROR(INDEX(Références!$F$2:$F$201,MATCH($A36,Références!$A$2:$A$201,0)),""))</f>
        <v>Non</v>
      </c>
      <c r="H36" s="40" t="str">
        <f>IF($A36="","",IFERROR(INDEX(Références!$J$2:$J$201,MATCH($A36,Références!$A$2:$A$201,0)),""))</f>
        <v>À lire</v>
      </c>
      <c r="I36" s="41" t="str">
        <f>IF($A36="","",IFERROR(IF(INDEX(Références!$AF$2:$AF$201,MATCH($A36,Références!$A$2:$A$201,0))="","",HYPERLINK(INDEX(Références!$AF$2:$AF$201,MATCH($A36,Références!$A$2:$A$201,0)),"Ouvrir")),""))</f>
        <v>Ouvrir</v>
      </c>
      <c r="J36" s="42" t="s">
        <v>1692</v>
      </c>
      <c r="K36" s="3" t="s">
        <v>1751</v>
      </c>
      <c r="L36" s="3" t="s">
        <v>1961</v>
      </c>
      <c r="M36" s="3" t="s">
        <v>1962</v>
      </c>
      <c r="N36" s="3" t="s">
        <v>1963</v>
      </c>
      <c r="O36" s="3" t="s">
        <v>1964</v>
      </c>
      <c r="P36" s="43" t="s">
        <v>1965</v>
      </c>
      <c r="Q36" s="3" t="s">
        <v>1966</v>
      </c>
      <c r="R36" s="3" t="s">
        <v>1701</v>
      </c>
      <c r="S36" s="3" t="s">
        <v>1701</v>
      </c>
      <c r="T36" s="3" t="s">
        <v>1967</v>
      </c>
      <c r="U36" s="3" t="s">
        <v>1968</v>
      </c>
      <c r="V36" s="3" t="s">
        <v>1969</v>
      </c>
      <c r="W36" s="3" t="s">
        <v>1970</v>
      </c>
      <c r="X36" s="3" t="s">
        <v>1777</v>
      </c>
    </row>
    <row r="37" spans="1:24" ht="55.5" customHeight="1" x14ac:dyDescent="0.25">
      <c r="A37" s="38" t="s">
        <v>485</v>
      </c>
      <c r="B37" s="39" t="str">
        <f>IF($A37="","",IFERROR(INDEX(Références!$C$2:$C$201,MATCH($A37,Références!$A$2:$A$201,0)),""))</f>
        <v>Olard &amp; Di Benedetto (2003)</v>
      </c>
      <c r="C37" s="39" t="str">
        <f>IF($A37="","",IFERROR(INDEX(Références!$D$2:$D$201,MATCH($A37,Références!$A$2:$A$201,0)),""))</f>
        <v>General "2S2P1D" model and relation between the linear viscoelastic behaviours of bituminous binders and mixes</v>
      </c>
      <c r="D37" s="40">
        <f>IF($A37="","",IFERROR(INDEX(Références!$G$2:$G$201,MATCH($A37,Références!$A$2:$A$201,0)),""))</f>
        <v>3</v>
      </c>
      <c r="E37" s="40" t="str">
        <f>IF($A37="","",IFERROR(INDEX(Références!$H$2:$H$201,MATCH($A37,Références!$A$2:$A$201,0)),""))</f>
        <v>INCONTOURNABLE</v>
      </c>
      <c r="F37" s="40">
        <f>IF($A37="","",IFERROR(INDEX(Références!$I$2:$I$201,MATCH($A37,Références!$A$2:$A$201,0)),""))</f>
        <v>2</v>
      </c>
      <c r="G37" s="40" t="str">
        <f>IF($A37="","",IFERROR(INDEX(Références!$F$2:$F$201,MATCH($A37,Références!$A$2:$A$201,0)),""))</f>
        <v>Oui</v>
      </c>
      <c r="H37" s="40" t="str">
        <f>IF($A37="","",IFERROR(INDEX(Références!$J$2:$J$201,MATCH($A37,Références!$A$2:$A$201,0)),""))</f>
        <v>À lire</v>
      </c>
      <c r="I37" s="41" t="str">
        <f>IF($A37="","",IFERROR(IF(INDEX(Références!$AF$2:$AF$201,MATCH($A37,Références!$A$2:$A$201,0))="","",HYPERLINK(INDEX(Références!$AF$2:$AF$201,MATCH($A37,Références!$A$2:$A$201,0)),"Ouvrir")),""))</f>
        <v>Ouvrir</v>
      </c>
      <c r="J37" s="42" t="s">
        <v>1692</v>
      </c>
      <c r="K37" s="3" t="s">
        <v>1751</v>
      </c>
      <c r="L37" s="3" t="s">
        <v>1971</v>
      </c>
      <c r="M37" s="3" t="s">
        <v>1972</v>
      </c>
      <c r="N37" s="3" t="s">
        <v>1973</v>
      </c>
      <c r="O37" s="3" t="s">
        <v>1974</v>
      </c>
      <c r="P37" s="43" t="s">
        <v>1975</v>
      </c>
      <c r="Q37" s="3" t="s">
        <v>1976</v>
      </c>
      <c r="R37" s="3" t="s">
        <v>1701</v>
      </c>
      <c r="S37" s="3" t="s">
        <v>1701</v>
      </c>
      <c r="T37" s="3" t="s">
        <v>1967</v>
      </c>
      <c r="U37" s="3" t="s">
        <v>1968</v>
      </c>
      <c r="V37" s="3" t="s">
        <v>1969</v>
      </c>
      <c r="W37" s="3" t="s">
        <v>1970</v>
      </c>
      <c r="X37" s="3" t="s">
        <v>1777</v>
      </c>
    </row>
    <row r="38" spans="1:24" ht="55.5" customHeight="1" x14ac:dyDescent="0.25">
      <c r="A38" s="38" t="s">
        <v>496</v>
      </c>
      <c r="B38" s="39" t="str">
        <f>IF($A38="","",IFERROR(INDEX(Références!$C$2:$C$201,MATCH($A38,Références!$A$2:$A$201,0)),""))</f>
        <v>Tiouajni et al. (2011)</v>
      </c>
      <c r="C38" s="39" t="str">
        <f>IF($A38="","",IFERROR(INDEX(Références!$D$2:$D$201,MATCH($A38,Références!$A$2:$A$201,0)),""))</f>
        <v>Approximation of linear viscoelastic model in the 3 dimensional case with mechanical analogues of finite size: Application to bituminous materials</v>
      </c>
      <c r="D38" s="40">
        <f>IF($A38="","",IFERROR(INDEX(Références!$G$2:$G$201,MATCH($A38,Références!$A$2:$A$201,0)),""))</f>
        <v>3</v>
      </c>
      <c r="E38" s="40" t="str">
        <f>IF($A38="","",IFERROR(INDEX(Références!$H$2:$H$201,MATCH($A38,Références!$A$2:$A$201,0)),""))</f>
        <v>INCONTOURNABLE</v>
      </c>
      <c r="F38" s="40">
        <f>IF($A38="","",IFERROR(INDEX(Références!$I$2:$I$201,MATCH($A38,Références!$A$2:$A$201,0)),""))</f>
        <v>2</v>
      </c>
      <c r="G38" s="40" t="str">
        <f>IF($A38="","",IFERROR(INDEX(Références!$F$2:$F$201,MATCH($A38,Références!$A$2:$A$201,0)),""))</f>
        <v>Oui</v>
      </c>
      <c r="H38" s="40" t="str">
        <f>IF($A38="","",IFERROR(INDEX(Références!$J$2:$J$201,MATCH($A38,Références!$A$2:$A$201,0)),""))</f>
        <v>À lire</v>
      </c>
      <c r="I38" s="41" t="str">
        <f>IF($A38="","",IFERROR(IF(INDEX(Références!$AF$2:$AF$201,MATCH($A38,Références!$A$2:$A$201,0))="","",HYPERLINK(INDEX(Références!$AF$2:$AF$201,MATCH($A38,Références!$A$2:$A$201,0)),"Ouvrir")),""))</f>
        <v>Ouvrir</v>
      </c>
      <c r="J38" s="42" t="s">
        <v>517</v>
      </c>
      <c r="K38" s="3" t="s">
        <v>1977</v>
      </c>
      <c r="L38" s="3" t="s">
        <v>1978</v>
      </c>
      <c r="M38" s="3" t="s">
        <v>1979</v>
      </c>
      <c r="N38" s="3" t="s">
        <v>1980</v>
      </c>
      <c r="O38" s="3" t="s">
        <v>1981</v>
      </c>
      <c r="P38" s="43" t="s">
        <v>1982</v>
      </c>
      <c r="Q38" s="3" t="s">
        <v>1983</v>
      </c>
      <c r="R38" s="3" t="s">
        <v>1701</v>
      </c>
      <c r="S38" s="3" t="s">
        <v>1701</v>
      </c>
      <c r="T38" s="3" t="s">
        <v>1984</v>
      </c>
      <c r="U38" s="3" t="s">
        <v>1985</v>
      </c>
      <c r="V38" s="3" t="s">
        <v>1701</v>
      </c>
      <c r="W38" s="3" t="s">
        <v>1673</v>
      </c>
      <c r="X38" s="3" t="s">
        <v>1701</v>
      </c>
    </row>
    <row r="39" spans="1:24" ht="42.75" customHeight="1" x14ac:dyDescent="0.25">
      <c r="A39" s="38" t="s">
        <v>591</v>
      </c>
      <c r="B39" s="39" t="str">
        <f>IF($A39="","",IFERROR(INDEX(Références!$C$2:$C$201,MATCH($A39,Références!$A$2:$A$201,0)),""))</f>
        <v>Huet (1963)</v>
      </c>
      <c r="C39" s="39" t="str">
        <f>IF($A39="","",IFERROR(INDEX(Références!$D$2:$D$201,MATCH($A39,Références!$A$2:$A$201,0)),""))</f>
        <v>Étude par une méthode d'impédance du comportement viscoélastique des matériaux hydrocarbonés</v>
      </c>
      <c r="D39" s="40">
        <f>IF($A39="","",IFERROR(INDEX(Références!$G$2:$G$201,MATCH($A39,Références!$A$2:$A$201,0)),""))</f>
        <v>3</v>
      </c>
      <c r="E39" s="40" t="str">
        <f>IF($A39="","",IFERROR(INDEX(Références!$H$2:$H$201,MATCH($A39,Références!$A$2:$A$201,0)),""))</f>
        <v>Important</v>
      </c>
      <c r="F39" s="40">
        <f>IF($A39="","",IFERROR(INDEX(Références!$I$2:$I$201,MATCH($A39,Références!$A$2:$A$201,0)),""))</f>
        <v>2</v>
      </c>
      <c r="G39" s="40" t="str">
        <f>IF($A39="","",IFERROR(INDEX(Références!$F$2:$F$201,MATCH($A39,Références!$A$2:$A$201,0)),""))</f>
        <v>Oui</v>
      </c>
      <c r="H39" s="40" t="str">
        <f>IF($A39="","",IFERROR(INDEX(Références!$J$2:$J$201,MATCH($A39,Références!$A$2:$A$201,0)),""))</f>
        <v>À lire</v>
      </c>
      <c r="I39" s="41" t="str">
        <f>IF($A39="","",IFERROR(IF(INDEX(Références!$AF$2:$AF$201,MATCH($A39,Références!$A$2:$A$201,0))="","",HYPERLINK(INDEX(Références!$AF$2:$AF$201,MATCH($A39,Références!$A$2:$A$201,0)),"Ouvrir")),""))</f>
        <v>Ouvrir</v>
      </c>
      <c r="J39" s="42" t="s">
        <v>1716</v>
      </c>
      <c r="K39" s="3" t="s">
        <v>1986</v>
      </c>
      <c r="L39" s="3" t="s">
        <v>1987</v>
      </c>
      <c r="M39" s="3" t="s">
        <v>1988</v>
      </c>
      <c r="N39" s="3" t="s">
        <v>1701</v>
      </c>
      <c r="O39" s="3" t="s">
        <v>1720</v>
      </c>
      <c r="P39" s="43" t="s">
        <v>1989</v>
      </c>
      <c r="Q39" s="3" t="s">
        <v>1990</v>
      </c>
      <c r="R39" s="3" t="s">
        <v>1701</v>
      </c>
      <c r="S39" s="3" t="s">
        <v>1701</v>
      </c>
      <c r="T39" s="3" t="s">
        <v>1991</v>
      </c>
      <c r="U39" s="3" t="s">
        <v>1968</v>
      </c>
      <c r="V39" s="3" t="s">
        <v>1969</v>
      </c>
      <c r="W39" s="3" t="s">
        <v>1673</v>
      </c>
      <c r="X39" s="3" t="s">
        <v>1777</v>
      </c>
    </row>
    <row r="40" spans="1:24" ht="55.5" customHeight="1" x14ac:dyDescent="0.25">
      <c r="A40" s="38" t="s">
        <v>603</v>
      </c>
      <c r="B40" s="39" t="str">
        <f>IF($A40="","",IFERROR(INDEX(Références!$C$2:$C$201,MATCH($A40,Références!$A$2:$A$201,0)),""))</f>
        <v>Park &amp; Schapery (1999)</v>
      </c>
      <c r="C40" s="39" t="str">
        <f>IF($A40="","",IFERROR(INDEX(Références!$D$2:$D$201,MATCH($A40,Références!$A$2:$A$201,0)),""))</f>
        <v>Methods of interconversion between linear viscoelastic material functions. Part I—A numerical method based on Prony series</v>
      </c>
      <c r="D40" s="40">
        <f>IF($A40="","",IFERROR(INDEX(Références!$G$2:$G$201,MATCH($A40,Références!$A$2:$A$201,0)),""))</f>
        <v>3</v>
      </c>
      <c r="E40" s="40" t="str">
        <f>IF($A40="","",IFERROR(INDEX(Références!$H$2:$H$201,MATCH($A40,Références!$A$2:$A$201,0)),""))</f>
        <v>Important</v>
      </c>
      <c r="F40" s="40">
        <f>IF($A40="","",IFERROR(INDEX(Références!$I$2:$I$201,MATCH($A40,Références!$A$2:$A$201,0)),""))</f>
        <v>2</v>
      </c>
      <c r="G40" s="40" t="str">
        <f>IF($A40="","",IFERROR(INDEX(Références!$F$2:$F$201,MATCH($A40,Références!$A$2:$A$201,0)),""))</f>
        <v>Non</v>
      </c>
      <c r="H40" s="40" t="str">
        <f>IF($A40="","",IFERROR(INDEX(Références!$J$2:$J$201,MATCH($A40,Références!$A$2:$A$201,0)),""))</f>
        <v>À lire</v>
      </c>
      <c r="I40" s="41" t="str">
        <f>IF($A40="","",IFERROR(IF(INDEX(Références!$AF$2:$AF$201,MATCH($A40,Références!$A$2:$A$201,0))="","",HYPERLINK(INDEX(Références!$AF$2:$AF$201,MATCH($A40,Références!$A$2:$A$201,0)),"Ouvrir")),""))</f>
        <v>Ouvrir</v>
      </c>
      <c r="J40" s="42" t="s">
        <v>1692</v>
      </c>
      <c r="K40" s="3" t="s">
        <v>1693</v>
      </c>
      <c r="L40" s="3" t="s">
        <v>1992</v>
      </c>
      <c r="M40" s="3" t="s">
        <v>1993</v>
      </c>
      <c r="N40" s="3" t="s">
        <v>1994</v>
      </c>
      <c r="O40" s="3" t="s">
        <v>1995</v>
      </c>
      <c r="P40" s="43" t="s">
        <v>1996</v>
      </c>
      <c r="Q40" s="3" t="s">
        <v>1997</v>
      </c>
      <c r="R40" s="3" t="s">
        <v>1701</v>
      </c>
      <c r="S40" s="3" t="s">
        <v>1701</v>
      </c>
      <c r="T40" s="3" t="s">
        <v>1998</v>
      </c>
      <c r="U40" s="3" t="s">
        <v>1985</v>
      </c>
      <c r="V40" s="3" t="s">
        <v>1701</v>
      </c>
      <c r="W40" s="3" t="s">
        <v>1673</v>
      </c>
      <c r="X40" s="3" t="s">
        <v>1999</v>
      </c>
    </row>
    <row r="41" spans="1:24" ht="42.75" customHeight="1" x14ac:dyDescent="0.25">
      <c r="A41" s="38" t="s">
        <v>616</v>
      </c>
      <c r="B41" s="39" t="str">
        <f>IF($A41="","",IFERROR(INDEX(Références!$C$2:$C$201,MATCH($A41,Références!$A$2:$A$201,0)),""))</f>
        <v>Sayegh (1965)</v>
      </c>
      <c r="C41" s="39" t="str">
        <f>IF($A41="","",IFERROR(INDEX(Références!$D$2:$D$201,MATCH($A41,Références!$A$2:$A$201,0)),""))</f>
        <v>Contribution à l'étude des propriétés viscoélastiques des bitumes purs et des bétons bitumineux</v>
      </c>
      <c r="D41" s="40">
        <f>IF($A41="","",IFERROR(INDEX(Références!$G$2:$G$201,MATCH($A41,Références!$A$2:$A$201,0)),""))</f>
        <v>3</v>
      </c>
      <c r="E41" s="40" t="str">
        <f>IF($A41="","",IFERROR(INDEX(Références!$H$2:$H$201,MATCH($A41,Références!$A$2:$A$201,0)),""))</f>
        <v>Important</v>
      </c>
      <c r="F41" s="40">
        <f>IF($A41="","",IFERROR(INDEX(Références!$I$2:$I$201,MATCH($A41,Références!$A$2:$A$201,0)),""))</f>
        <v>2</v>
      </c>
      <c r="G41" s="40" t="str">
        <f>IF($A41="","",IFERROR(INDEX(Références!$F$2:$F$201,MATCH($A41,Références!$A$2:$A$201,0)),""))</f>
        <v>Oui</v>
      </c>
      <c r="H41" s="40" t="str">
        <f>IF($A41="","",IFERROR(INDEX(Références!$J$2:$J$201,MATCH($A41,Références!$A$2:$A$201,0)),""))</f>
        <v>À lire</v>
      </c>
      <c r="I41" s="41" t="str">
        <f>IF($A41="","",IFERROR(IF(INDEX(Références!$AF$2:$AF$201,MATCH($A41,Références!$A$2:$A$201,0))="","",HYPERLINK(INDEX(Références!$AF$2:$AF$201,MATCH($A41,Références!$A$2:$A$201,0)),"Ouvrir")),""))</f>
        <v>Ouvrir</v>
      </c>
      <c r="J41" s="42" t="s">
        <v>1716</v>
      </c>
      <c r="K41" s="3" t="s">
        <v>1986</v>
      </c>
      <c r="L41" s="3" t="s">
        <v>2000</v>
      </c>
      <c r="M41" s="3" t="s">
        <v>2001</v>
      </c>
      <c r="N41" s="3" t="s">
        <v>1701</v>
      </c>
      <c r="O41" s="3" t="s">
        <v>1720</v>
      </c>
      <c r="P41" s="43" t="s">
        <v>2002</v>
      </c>
      <c r="Q41" s="3" t="s">
        <v>2003</v>
      </c>
      <c r="R41" s="3" t="s">
        <v>1701</v>
      </c>
      <c r="S41" s="3" t="s">
        <v>1701</v>
      </c>
      <c r="T41" s="3" t="s">
        <v>2004</v>
      </c>
      <c r="U41" s="3" t="s">
        <v>1968</v>
      </c>
      <c r="V41" s="3" t="s">
        <v>1969</v>
      </c>
      <c r="W41" s="3" t="s">
        <v>1673</v>
      </c>
      <c r="X41" s="3" t="s">
        <v>1777</v>
      </c>
    </row>
    <row r="42" spans="1:24" ht="42.75" customHeight="1" x14ac:dyDescent="0.25">
      <c r="A42" s="38" t="s">
        <v>739</v>
      </c>
      <c r="B42" s="39" t="str">
        <f>IF($A42="","",IFERROR(INDEX(Références!$C$2:$C$201,MATCH($A42,Références!$A$2:$A$201,0)),""))</f>
        <v>Di Benedetto &amp; Corté (2005)</v>
      </c>
      <c r="C42" s="39" t="str">
        <f>IF($A42="","",IFERROR(INDEX(Références!$D$2:$D$201,MATCH($A42,Références!$A$2:$A$201,0)),""))</f>
        <v>Matériaux routiers bitumineux 2 : constitution et propriétés thermomécaniques des mélanges</v>
      </c>
      <c r="D42" s="40">
        <f>IF($A42="","",IFERROR(INDEX(Références!$G$2:$G$201,MATCH($A42,Références!$A$2:$A$201,0)),""))</f>
        <v>3</v>
      </c>
      <c r="E42" s="40" t="str">
        <f>IF($A42="","",IFERROR(INDEX(Références!$H$2:$H$201,MATCH($A42,Références!$A$2:$A$201,0)),""))</f>
        <v>A consulter</v>
      </c>
      <c r="F42" s="40">
        <f>IF($A42="","",IFERROR(INDEX(Références!$I$2:$I$201,MATCH($A42,Références!$A$2:$A$201,0)),""))</f>
        <v>2</v>
      </c>
      <c r="G42" s="40" t="str">
        <f>IF($A42="","",IFERROR(INDEX(Références!$F$2:$F$201,MATCH($A42,Références!$A$2:$A$201,0)),""))</f>
        <v>Oui</v>
      </c>
      <c r="H42" s="40" t="str">
        <f>IF($A42="","",IFERROR(INDEX(Références!$J$2:$J$201,MATCH($A42,Références!$A$2:$A$201,0)),""))</f>
        <v>À lire</v>
      </c>
      <c r="I42" s="41" t="str">
        <f>IF($A42="","",IFERROR(IF(INDEX(Références!$AF$2:$AF$201,MATCH($A42,Références!$A$2:$A$201,0))="","",HYPERLINK(INDEX(Références!$AF$2:$AF$201,MATCH($A42,Références!$A$2:$A$201,0)),"Ouvrir")),""))</f>
        <v>Ouvrir</v>
      </c>
      <c r="J42" s="42" t="s">
        <v>1716</v>
      </c>
      <c r="K42" s="3" t="s">
        <v>2005</v>
      </c>
      <c r="L42" s="3" t="s">
        <v>2006</v>
      </c>
      <c r="M42" s="3" t="s">
        <v>1701</v>
      </c>
      <c r="N42" s="3" t="s">
        <v>1701</v>
      </c>
      <c r="O42" s="3" t="s">
        <v>1720</v>
      </c>
      <c r="P42" s="43" t="s">
        <v>2007</v>
      </c>
      <c r="Q42" s="3" t="s">
        <v>2008</v>
      </c>
      <c r="R42" s="3" t="s">
        <v>1701</v>
      </c>
      <c r="S42" s="3" t="s">
        <v>1701</v>
      </c>
      <c r="T42" s="3" t="s">
        <v>2009</v>
      </c>
      <c r="U42" s="3" t="s">
        <v>1904</v>
      </c>
      <c r="V42" s="3" t="s">
        <v>1701</v>
      </c>
      <c r="W42" s="3" t="s">
        <v>2010</v>
      </c>
      <c r="X42" s="3" t="s">
        <v>1701</v>
      </c>
    </row>
    <row r="43" spans="1:24" ht="55.5" customHeight="1" x14ac:dyDescent="0.25">
      <c r="A43" s="38" t="s">
        <v>751</v>
      </c>
      <c r="B43" s="39" t="str">
        <f>IF($A43="","",IFERROR(INDEX(Références!$C$2:$C$201,MATCH($A43,Références!$A$2:$A$201,0)),""))</f>
        <v>Olard (2003)</v>
      </c>
      <c r="C43" s="39" t="str">
        <f>IF($A43="","",IFERROR(INDEX(Références!$D$2:$D$201,MATCH($A43,Références!$A$2:$A$201,0)),""))</f>
        <v>Comportement thermomécanique des enrobés bitumineux à basses températures. Relations entre les propriétés du liant et de l'enrobé</v>
      </c>
      <c r="D43" s="40">
        <f>IF($A43="","",IFERROR(INDEX(Références!$G$2:$G$201,MATCH($A43,Références!$A$2:$A$201,0)),""))</f>
        <v>3</v>
      </c>
      <c r="E43" s="40" t="str">
        <f>IF($A43="","",IFERROR(INDEX(Références!$H$2:$H$201,MATCH($A43,Références!$A$2:$A$201,0)),""))</f>
        <v>A consulter</v>
      </c>
      <c r="F43" s="40">
        <f>IF($A43="","",IFERROR(INDEX(Références!$I$2:$I$201,MATCH($A43,Références!$A$2:$A$201,0)),""))</f>
        <v>2</v>
      </c>
      <c r="G43" s="40" t="str">
        <f>IF($A43="","",IFERROR(INDEX(Références!$F$2:$F$201,MATCH($A43,Références!$A$2:$A$201,0)),""))</f>
        <v>Non</v>
      </c>
      <c r="H43" s="40" t="str">
        <f>IF($A43="","",IFERROR(INDEX(Références!$J$2:$J$201,MATCH($A43,Références!$A$2:$A$201,0)),""))</f>
        <v>À lire</v>
      </c>
      <c r="I43" s="41" t="str">
        <f>IF($A43="","",IFERROR(IF(INDEX(Références!$AF$2:$AF$201,MATCH($A43,Références!$A$2:$A$201,0))="","",HYPERLINK(INDEX(Références!$AF$2:$AF$201,MATCH($A43,Références!$A$2:$A$201,0)),"Ouvrir")),""))</f>
        <v>Ouvrir</v>
      </c>
      <c r="J43" s="42" t="s">
        <v>1716</v>
      </c>
      <c r="K43" s="3" t="s">
        <v>2011</v>
      </c>
      <c r="L43" s="3" t="s">
        <v>2012</v>
      </c>
      <c r="M43" s="3" t="s">
        <v>1701</v>
      </c>
      <c r="N43" s="3" t="s">
        <v>1701</v>
      </c>
      <c r="O43" s="3" t="s">
        <v>1720</v>
      </c>
      <c r="P43" s="43" t="s">
        <v>2013</v>
      </c>
      <c r="Q43" s="3" t="s">
        <v>2014</v>
      </c>
      <c r="R43" s="3" t="s">
        <v>1701</v>
      </c>
      <c r="S43" s="3" t="s">
        <v>1701</v>
      </c>
      <c r="T43" s="3" t="s">
        <v>1967</v>
      </c>
      <c r="U43" s="3" t="s">
        <v>1968</v>
      </c>
      <c r="V43" s="3" t="s">
        <v>1969</v>
      </c>
      <c r="W43" s="3" t="s">
        <v>1970</v>
      </c>
      <c r="X43" s="3" t="s">
        <v>1777</v>
      </c>
    </row>
    <row r="44" spans="1:24" ht="42.75" customHeight="1" x14ac:dyDescent="0.25">
      <c r="A44" s="38" t="s">
        <v>762</v>
      </c>
      <c r="B44" s="39" t="str">
        <f>IF($A44="","",IFERROR(INDEX(Références!$C$2:$C$201,MATCH($A44,Références!$A$2:$A$201,0)),""))</f>
        <v>Tschoegl (1989)</v>
      </c>
      <c r="C44" s="39" t="str">
        <f>IF($A44="","",IFERROR(INDEX(Références!$D$2:$D$201,MATCH($A44,Références!$A$2:$A$201,0)),""))</f>
        <v>The phenomenological theory of linear viscoelastic behavior: An introduction</v>
      </c>
      <c r="D44" s="40">
        <f>IF($A44="","",IFERROR(INDEX(Références!$G$2:$G$201,MATCH($A44,Références!$A$2:$A$201,0)),""))</f>
        <v>3</v>
      </c>
      <c r="E44" s="40" t="str">
        <f>IF($A44="","",IFERROR(INDEX(Références!$H$2:$H$201,MATCH($A44,Références!$A$2:$A$201,0)),""))</f>
        <v>A consulter</v>
      </c>
      <c r="F44" s="40">
        <f>IF($A44="","",IFERROR(INDEX(Références!$I$2:$I$201,MATCH($A44,Références!$A$2:$A$201,0)),""))</f>
        <v>2</v>
      </c>
      <c r="G44" s="40" t="str">
        <f>IF($A44="","",IFERROR(INDEX(Références!$F$2:$F$201,MATCH($A44,Références!$A$2:$A$201,0)),""))</f>
        <v>Non</v>
      </c>
      <c r="H44" s="40" t="str">
        <f>IF($A44="","",IFERROR(INDEX(Références!$J$2:$J$201,MATCH($A44,Références!$A$2:$A$201,0)),""))</f>
        <v>À lire</v>
      </c>
      <c r="I44" s="41" t="str">
        <f>IF($A44="","",IFERROR(IF(INDEX(Références!$AF$2:$AF$201,MATCH($A44,Références!$A$2:$A$201,0))="","",HYPERLINK(INDEX(Références!$AF$2:$AF$201,MATCH($A44,Références!$A$2:$A$201,0)),"Ouvrir")),""))</f>
        <v>Ouvrir</v>
      </c>
      <c r="J44" s="42" t="s">
        <v>1716</v>
      </c>
      <c r="K44" s="3" t="s">
        <v>2015</v>
      </c>
      <c r="L44" s="3" t="s">
        <v>2016</v>
      </c>
      <c r="M44" s="3" t="s">
        <v>1701</v>
      </c>
      <c r="N44" s="3" t="s">
        <v>1701</v>
      </c>
      <c r="O44" s="3" t="s">
        <v>1720</v>
      </c>
      <c r="P44" s="43" t="s">
        <v>2017</v>
      </c>
      <c r="Q44" s="3" t="s">
        <v>2018</v>
      </c>
      <c r="R44" s="3" t="s">
        <v>1701</v>
      </c>
      <c r="S44" s="3" t="s">
        <v>1701</v>
      </c>
      <c r="T44" s="3" t="s">
        <v>2019</v>
      </c>
      <c r="U44" s="3" t="s">
        <v>2020</v>
      </c>
      <c r="V44" s="3" t="s">
        <v>1701</v>
      </c>
      <c r="W44" s="3" t="s">
        <v>1673</v>
      </c>
      <c r="X44" s="3" t="s">
        <v>1701</v>
      </c>
    </row>
    <row r="45" spans="1:24" ht="55.5" customHeight="1" x14ac:dyDescent="0.25">
      <c r="A45" s="38" t="s">
        <v>810</v>
      </c>
      <c r="B45" s="39" t="str">
        <f>IF($A45="","",IFERROR(INDEX(Références!$C$2:$C$201,MATCH($A45,Références!$A$2:$A$201,0)),""))</f>
        <v>Di Benedetto et al. (2007)</v>
      </c>
      <c r="C45" s="39" t="str">
        <f>IF($A45="","",IFERROR(INDEX(Références!$D$2:$D$201,MATCH($A45,Références!$A$2:$A$201,0)),""))</f>
        <v>Three-dimensional linear behavior of bituminous materials: Experiments and modeling</v>
      </c>
      <c r="D45" s="40">
        <f>IF($A45="","",IFERROR(INDEX(Références!$G$2:$G$201,MATCH($A45,Références!$A$2:$A$201,0)),""))</f>
        <v>3</v>
      </c>
      <c r="E45" s="40" t="str">
        <f>IF($A45="","",IFERROR(INDEX(Références!$H$2:$H$201,MATCH($A45,Références!$A$2:$A$201,0)),""))</f>
        <v>Important</v>
      </c>
      <c r="F45" s="40">
        <f>IF($A45="","",IFERROR(INDEX(Références!$I$2:$I$201,MATCH($A45,Références!$A$2:$A$201,0)),""))</f>
        <v>3</v>
      </c>
      <c r="G45" s="40" t="str">
        <f>IF($A45="","",IFERROR(INDEX(Références!$F$2:$F$201,MATCH($A45,Références!$A$2:$A$201,0)),""))</f>
        <v>Non</v>
      </c>
      <c r="H45" s="40" t="str">
        <f>IF($A45="","",IFERROR(INDEX(Références!$J$2:$J$201,MATCH($A45,Références!$A$2:$A$201,0)),""))</f>
        <v>À lire</v>
      </c>
      <c r="I45" s="41" t="str">
        <f>IF($A45="","",IFERROR(IF(INDEX(Références!$AF$2:$AF$201,MATCH($A45,Références!$A$2:$A$201,0))="","",HYPERLINK(INDEX(Références!$AF$2:$AF$201,MATCH($A45,Références!$A$2:$A$201,0)),"Ouvrir")),""))</f>
        <v>Ouvrir</v>
      </c>
      <c r="J45" s="42" t="s">
        <v>1692</v>
      </c>
      <c r="K45" s="3" t="s">
        <v>1751</v>
      </c>
      <c r="L45" s="3" t="s">
        <v>2021</v>
      </c>
      <c r="M45" s="3" t="s">
        <v>2022</v>
      </c>
      <c r="N45" s="3" t="s">
        <v>2023</v>
      </c>
      <c r="O45" s="3" t="s">
        <v>2024</v>
      </c>
      <c r="P45" s="43" t="s">
        <v>2025</v>
      </c>
      <c r="Q45" s="3" t="s">
        <v>2026</v>
      </c>
      <c r="R45" s="3" t="s">
        <v>1701</v>
      </c>
      <c r="S45" s="3" t="s">
        <v>1701</v>
      </c>
      <c r="T45" s="3" t="s">
        <v>2027</v>
      </c>
      <c r="U45" s="3" t="s">
        <v>2028</v>
      </c>
      <c r="V45" s="3" t="s">
        <v>1969</v>
      </c>
      <c r="W45" s="3" t="s">
        <v>1970</v>
      </c>
      <c r="X45" s="3" t="s">
        <v>1777</v>
      </c>
    </row>
    <row r="46" spans="1:24" ht="55.5" customHeight="1" x14ac:dyDescent="0.25">
      <c r="A46" s="38" t="s">
        <v>821</v>
      </c>
      <c r="B46" s="39" t="str">
        <f>IF($A46="","",IFERROR(INDEX(Références!$C$2:$C$201,MATCH($A46,Références!$A$2:$A$201,0)),""))</f>
        <v>Graziani et al. (2014)</v>
      </c>
      <c r="C46" s="39" t="str">
        <f>IF($A46="","",IFERROR(INDEX(Références!$D$2:$D$201,MATCH($A46,Références!$A$2:$A$201,0)),""))</f>
        <v>Bulk and shear characterization of bituminous mixtures in the linear viscoelastic domain</v>
      </c>
      <c r="D46" s="40">
        <f>IF($A46="","",IFERROR(INDEX(Références!$G$2:$G$201,MATCH($A46,Références!$A$2:$A$201,0)),""))</f>
        <v>3</v>
      </c>
      <c r="E46" s="40" t="str">
        <f>IF($A46="","",IFERROR(INDEX(Références!$H$2:$H$201,MATCH($A46,Références!$A$2:$A$201,0)),""))</f>
        <v>Important</v>
      </c>
      <c r="F46" s="40">
        <f>IF($A46="","",IFERROR(INDEX(Références!$I$2:$I$201,MATCH($A46,Références!$A$2:$A$201,0)),""))</f>
        <v>3</v>
      </c>
      <c r="G46" s="40" t="str">
        <f>IF($A46="","",IFERROR(INDEX(Références!$F$2:$F$201,MATCH($A46,Références!$A$2:$A$201,0)),""))</f>
        <v>Non</v>
      </c>
      <c r="H46" s="40" t="str">
        <f>IF($A46="","",IFERROR(INDEX(Références!$J$2:$J$201,MATCH($A46,Références!$A$2:$A$201,0)),""))</f>
        <v>À lire</v>
      </c>
      <c r="I46" s="41" t="str">
        <f>IF($A46="","",IFERROR(IF(INDEX(Références!$AF$2:$AF$201,MATCH($A46,Références!$A$2:$A$201,0))="","",HYPERLINK(INDEX(Références!$AF$2:$AF$201,MATCH($A46,Références!$A$2:$A$201,0)),"Ouvrir")),""))</f>
        <v>Ouvrir</v>
      </c>
      <c r="J46" s="42" t="s">
        <v>1692</v>
      </c>
      <c r="K46" s="3" t="s">
        <v>1839</v>
      </c>
      <c r="L46" s="3" t="s">
        <v>2029</v>
      </c>
      <c r="M46" s="3" t="s">
        <v>2030</v>
      </c>
      <c r="N46" s="3" t="s">
        <v>2031</v>
      </c>
      <c r="O46" s="3" t="s">
        <v>2032</v>
      </c>
      <c r="P46" s="43" t="s">
        <v>2033</v>
      </c>
      <c r="Q46" s="3" t="s">
        <v>2034</v>
      </c>
      <c r="R46" s="3" t="s">
        <v>1701</v>
      </c>
      <c r="S46" s="3" t="s">
        <v>1701</v>
      </c>
      <c r="T46" s="3" t="s">
        <v>2035</v>
      </c>
      <c r="U46" s="3" t="s">
        <v>1777</v>
      </c>
      <c r="V46" s="3" t="s">
        <v>1969</v>
      </c>
      <c r="W46" s="3" t="s">
        <v>1970</v>
      </c>
      <c r="X46" s="3" t="s">
        <v>1777</v>
      </c>
    </row>
    <row r="47" spans="1:24" ht="55.5" customHeight="1" x14ac:dyDescent="0.25">
      <c r="A47" s="38" t="s">
        <v>835</v>
      </c>
      <c r="B47" s="39" t="str">
        <f>IF($A47="","",IFERROR(INDEX(Références!$C$2:$C$201,MATCH($A47,Références!$A$2:$A$201,0)),""))</f>
        <v>Graziani et al. (2014)</v>
      </c>
      <c r="C47" s="39" t="str">
        <f>IF($A47="","",IFERROR(INDEX(Références!$D$2:$D$201,MATCH($A47,Références!$A$2:$A$201,0)),""))</f>
        <v>Complex Poisson's ratio of bituminous mixtures: measurement and modeling</v>
      </c>
      <c r="D47" s="40">
        <f>IF($A47="","",IFERROR(INDEX(Références!$G$2:$G$201,MATCH($A47,Références!$A$2:$A$201,0)),""))</f>
        <v>3</v>
      </c>
      <c r="E47" s="40" t="str">
        <f>IF($A47="","",IFERROR(INDEX(Références!$H$2:$H$201,MATCH($A47,Références!$A$2:$A$201,0)),""))</f>
        <v>Important</v>
      </c>
      <c r="F47" s="40">
        <f>IF($A47="","",IFERROR(INDEX(Références!$I$2:$I$201,MATCH($A47,Références!$A$2:$A$201,0)),""))</f>
        <v>3</v>
      </c>
      <c r="G47" s="40" t="str">
        <f>IF($A47="","",IFERROR(INDEX(Références!$F$2:$F$201,MATCH($A47,Références!$A$2:$A$201,0)),""))</f>
        <v>Non</v>
      </c>
      <c r="H47" s="40" t="str">
        <f>IF($A47="","",IFERROR(INDEX(Références!$J$2:$J$201,MATCH($A47,Références!$A$2:$A$201,0)),""))</f>
        <v>À lire</v>
      </c>
      <c r="I47" s="41" t="str">
        <f>IF($A47="","",IFERROR(IF(INDEX(Références!$AF$2:$AF$201,MATCH($A47,Références!$A$2:$A$201,0))="","",HYPERLINK(INDEX(Références!$AF$2:$AF$201,MATCH($A47,Références!$A$2:$A$201,0)),"Ouvrir")),""))</f>
        <v>Ouvrir</v>
      </c>
      <c r="J47" s="42" t="s">
        <v>1692</v>
      </c>
      <c r="K47" s="3" t="s">
        <v>1839</v>
      </c>
      <c r="L47" s="3" t="s">
        <v>2036</v>
      </c>
      <c r="M47" s="3" t="s">
        <v>2037</v>
      </c>
      <c r="N47" s="3" t="s">
        <v>2038</v>
      </c>
      <c r="O47" s="3" t="s">
        <v>2039</v>
      </c>
      <c r="P47" s="43" t="s">
        <v>2040</v>
      </c>
      <c r="Q47" s="3" t="s">
        <v>2041</v>
      </c>
      <c r="R47" s="3" t="s">
        <v>1701</v>
      </c>
      <c r="S47" s="3" t="s">
        <v>1701</v>
      </c>
      <c r="T47" s="3" t="s">
        <v>2042</v>
      </c>
      <c r="U47" s="3" t="s">
        <v>1777</v>
      </c>
      <c r="V47" s="3" t="s">
        <v>1969</v>
      </c>
      <c r="W47" s="3" t="s">
        <v>1970</v>
      </c>
      <c r="X47" s="3" t="s">
        <v>1777</v>
      </c>
    </row>
    <row r="48" spans="1:24" ht="69" customHeight="1" x14ac:dyDescent="0.25">
      <c r="A48" s="38" t="s">
        <v>847</v>
      </c>
      <c r="B48" s="39" t="str">
        <f>IF($A48="","",IFERROR(INDEX(Références!$C$2:$C$201,MATCH($A48,Références!$A$2:$A$201,0)),""))</f>
        <v>Graziani et al. (2017)</v>
      </c>
      <c r="C48" s="39" t="str">
        <f>IF($A48="","",IFERROR(INDEX(Références!$D$2:$D$201,MATCH($A48,Références!$A$2:$A$201,0)),""))</f>
        <v>Recommendation of RILEM TC 237-SIB on complex Poisson's ratio characterization of bituminous mixtures</v>
      </c>
      <c r="D48" s="40">
        <f>IF($A48="","",IFERROR(INDEX(Références!$G$2:$G$201,MATCH($A48,Références!$A$2:$A$201,0)),""))</f>
        <v>3</v>
      </c>
      <c r="E48" s="40" t="str">
        <f>IF($A48="","",IFERROR(INDEX(Références!$H$2:$H$201,MATCH($A48,Références!$A$2:$A$201,0)),""))</f>
        <v>Important</v>
      </c>
      <c r="F48" s="40">
        <f>IF($A48="","",IFERROR(INDEX(Références!$I$2:$I$201,MATCH($A48,Références!$A$2:$A$201,0)),""))</f>
        <v>3</v>
      </c>
      <c r="G48" s="40" t="str">
        <f>IF($A48="","",IFERROR(INDEX(Références!$F$2:$F$201,MATCH($A48,Références!$A$2:$A$201,0)),""))</f>
        <v>Non</v>
      </c>
      <c r="H48" s="40" t="str">
        <f>IF($A48="","",IFERROR(INDEX(Références!$J$2:$J$201,MATCH($A48,Références!$A$2:$A$201,0)),""))</f>
        <v>À lire</v>
      </c>
      <c r="I48" s="41" t="str">
        <f>IF($A48="","",IFERROR(IF(INDEX(Références!$AF$2:$AF$201,MATCH($A48,Références!$A$2:$A$201,0))="","",HYPERLINK(INDEX(Références!$AF$2:$AF$201,MATCH($A48,Références!$A$2:$A$201,0)),"Ouvrir")),""))</f>
        <v>Ouvrir</v>
      </c>
      <c r="J48" s="42" t="s">
        <v>517</v>
      </c>
      <c r="K48" s="3" t="s">
        <v>2043</v>
      </c>
      <c r="L48" s="3" t="s">
        <v>2044</v>
      </c>
      <c r="M48" s="3" t="s">
        <v>2045</v>
      </c>
      <c r="N48" s="3" t="s">
        <v>2046</v>
      </c>
      <c r="O48" s="3" t="s">
        <v>2047</v>
      </c>
      <c r="P48" s="43" t="s">
        <v>2048</v>
      </c>
      <c r="Q48" s="3" t="s">
        <v>2049</v>
      </c>
      <c r="R48" s="3" t="s">
        <v>1701</v>
      </c>
      <c r="S48" s="3" t="s">
        <v>1701</v>
      </c>
      <c r="T48" s="3" t="s">
        <v>2050</v>
      </c>
      <c r="U48" s="3" t="s">
        <v>2051</v>
      </c>
      <c r="V48" s="3" t="s">
        <v>1969</v>
      </c>
      <c r="W48" s="3" t="s">
        <v>1970</v>
      </c>
      <c r="X48" s="3" t="s">
        <v>1701</v>
      </c>
    </row>
    <row r="49" spans="1:24" ht="69" customHeight="1" x14ac:dyDescent="0.25">
      <c r="A49" s="38" t="s">
        <v>857</v>
      </c>
      <c r="B49" s="39" t="str">
        <f>IF($A49="","",IFERROR(INDEX(Références!$C$2:$C$201,MATCH($A49,Références!$A$2:$A$201,0)),""))</f>
        <v>Pham et al. (2015)</v>
      </c>
      <c r="C49" s="39" t="str">
        <f>IF($A49="","",IFERROR(INDEX(Références!$D$2:$D$201,MATCH($A49,Références!$A$2:$A$201,0)),""))</f>
        <v>Analysis and modeling of 3D complex modulus tests on hot and warm bituminous mixtures</v>
      </c>
      <c r="D49" s="40">
        <f>IF($A49="","",IFERROR(INDEX(Références!$G$2:$G$201,MATCH($A49,Références!$A$2:$A$201,0)),""))</f>
        <v>3</v>
      </c>
      <c r="E49" s="40" t="str">
        <f>IF($A49="","",IFERROR(INDEX(Références!$H$2:$H$201,MATCH($A49,Références!$A$2:$A$201,0)),""))</f>
        <v>Important</v>
      </c>
      <c r="F49" s="40">
        <f>IF($A49="","",IFERROR(INDEX(Références!$I$2:$I$201,MATCH($A49,Références!$A$2:$A$201,0)),""))</f>
        <v>3</v>
      </c>
      <c r="G49" s="40" t="str">
        <f>IF($A49="","",IFERROR(INDEX(Références!$F$2:$F$201,MATCH($A49,Références!$A$2:$A$201,0)),""))</f>
        <v>Non</v>
      </c>
      <c r="H49" s="40" t="str">
        <f>IF($A49="","",IFERROR(INDEX(Références!$J$2:$J$201,MATCH($A49,Références!$A$2:$A$201,0)),""))</f>
        <v>À lire</v>
      </c>
      <c r="I49" s="41" t="str">
        <f>IF($A49="","",IFERROR(IF(INDEX(Références!$AF$2:$AF$201,MATCH($A49,Références!$A$2:$A$201,0))="","",HYPERLINK(INDEX(Références!$AF$2:$AF$201,MATCH($A49,Références!$A$2:$A$201,0)),"Ouvrir")),""))</f>
        <v>Ouvrir</v>
      </c>
      <c r="J49" s="42" t="s">
        <v>1692</v>
      </c>
      <c r="K49" s="3" t="s">
        <v>1839</v>
      </c>
      <c r="L49" s="3" t="s">
        <v>2052</v>
      </c>
      <c r="M49" s="3" t="s">
        <v>2053</v>
      </c>
      <c r="N49" s="3" t="s">
        <v>2054</v>
      </c>
      <c r="O49" s="3" t="s">
        <v>2055</v>
      </c>
      <c r="P49" s="43" t="s">
        <v>2056</v>
      </c>
      <c r="Q49" s="3" t="s">
        <v>2057</v>
      </c>
      <c r="R49" s="3" t="s">
        <v>1701</v>
      </c>
      <c r="S49" s="3" t="s">
        <v>1701</v>
      </c>
      <c r="T49" s="3" t="s">
        <v>2058</v>
      </c>
      <c r="U49" s="3" t="s">
        <v>1777</v>
      </c>
      <c r="V49" s="3" t="s">
        <v>1969</v>
      </c>
      <c r="W49" s="3" t="s">
        <v>1970</v>
      </c>
      <c r="X49" s="3" t="s">
        <v>1777</v>
      </c>
    </row>
    <row r="50" spans="1:24" ht="42.75" customHeight="1" x14ac:dyDescent="0.25">
      <c r="A50" s="38" t="s">
        <v>903</v>
      </c>
      <c r="B50" s="39" t="str">
        <f>IF($A50="","",IFERROR(INDEX(Références!$C$2:$C$201,MATCH($A50,Références!$A$2:$A$201,0)),""))</f>
        <v>Di Benedetto (1990)</v>
      </c>
      <c r="C50" s="39" t="str">
        <f>IF($A50="","",IFERROR(INDEX(Références!$D$2:$D$201,MATCH($A50,Références!$A$2:$A$201,0)),""))</f>
        <v>Nouvelle approche du comportement des enrobés bitumineux : résultats expérimentaux et formulation rhéologique</v>
      </c>
      <c r="D50" s="40">
        <f>IF($A50="","",IFERROR(INDEX(Références!$G$2:$G$201,MATCH($A50,Références!$A$2:$A$201,0)),""))</f>
        <v>3</v>
      </c>
      <c r="E50" s="40" t="str">
        <f>IF($A50="","",IFERROR(INDEX(Références!$H$2:$H$201,MATCH($A50,Références!$A$2:$A$201,0)),""))</f>
        <v>A consulter</v>
      </c>
      <c r="F50" s="40">
        <f>IF($A50="","",IFERROR(INDEX(Références!$I$2:$I$201,MATCH($A50,Références!$A$2:$A$201,0)),""))</f>
        <v>3</v>
      </c>
      <c r="G50" s="40" t="str">
        <f>IF($A50="","",IFERROR(INDEX(Références!$F$2:$F$201,MATCH($A50,Références!$A$2:$A$201,0)),""))</f>
        <v>Oui</v>
      </c>
      <c r="H50" s="40" t="str">
        <f>IF($A50="","",IFERROR(INDEX(Références!$J$2:$J$201,MATCH($A50,Références!$A$2:$A$201,0)),""))</f>
        <v>À lire</v>
      </c>
      <c r="I50" s="41" t="str">
        <f>IF($A50="","",IFERROR(IF(INDEX(Références!$AF$2:$AF$201,MATCH($A50,Références!$A$2:$A$201,0))="","",HYPERLINK(INDEX(Références!$AF$2:$AF$201,MATCH($A50,Références!$A$2:$A$201,0)),"Ouvrir")),""))</f>
        <v>Ouvrir</v>
      </c>
      <c r="J50" s="42" t="s">
        <v>1716</v>
      </c>
      <c r="K50" s="3" t="s">
        <v>2059</v>
      </c>
      <c r="L50" s="3" t="s">
        <v>2060</v>
      </c>
      <c r="M50" s="3" t="s">
        <v>1701</v>
      </c>
      <c r="N50" s="3" t="s">
        <v>1701</v>
      </c>
      <c r="O50" s="3" t="s">
        <v>1720</v>
      </c>
      <c r="P50" s="43" t="s">
        <v>2061</v>
      </c>
      <c r="Q50" s="3" t="s">
        <v>2062</v>
      </c>
      <c r="R50" s="3" t="s">
        <v>1701</v>
      </c>
      <c r="S50" s="3" t="s">
        <v>1701</v>
      </c>
      <c r="T50" s="3" t="s">
        <v>2063</v>
      </c>
      <c r="U50" s="3" t="s">
        <v>2064</v>
      </c>
      <c r="V50" s="3" t="s">
        <v>1969</v>
      </c>
      <c r="W50" s="3" t="s">
        <v>1673</v>
      </c>
      <c r="X50" s="3" t="s">
        <v>1701</v>
      </c>
    </row>
    <row r="51" spans="1:24" ht="55.5" customHeight="1" x14ac:dyDescent="0.25">
      <c r="A51" s="38" t="s">
        <v>916</v>
      </c>
      <c r="B51" s="39" t="str">
        <f>IF($A51="","",IFERROR(INDEX(Références!$C$2:$C$201,MATCH($A51,Références!$A$2:$A$201,0)),""))</f>
        <v>Nilsson et al. (2002)</v>
      </c>
      <c r="C51" s="39" t="str">
        <f>IF($A51="","",IFERROR(INDEX(Références!$D$2:$D$201,MATCH($A51,Références!$A$2:$A$201,0)),""))</f>
        <v>Influence of different rheological models on predicted pavement responses in flexible pavements</v>
      </c>
      <c r="D51" s="40">
        <f>IF($A51="","",IFERROR(INDEX(Références!$G$2:$G$201,MATCH($A51,Références!$A$2:$A$201,0)),""))</f>
        <v>3</v>
      </c>
      <c r="E51" s="40" t="str">
        <f>IF($A51="","",IFERROR(INDEX(Références!$H$2:$H$201,MATCH($A51,Références!$A$2:$A$201,0)),""))</f>
        <v>A consulter</v>
      </c>
      <c r="F51" s="40">
        <f>IF($A51="","",IFERROR(INDEX(Références!$I$2:$I$201,MATCH($A51,Références!$A$2:$A$201,0)),""))</f>
        <v>3</v>
      </c>
      <c r="G51" s="40" t="str">
        <f>IF($A51="","",IFERROR(INDEX(Références!$F$2:$F$201,MATCH($A51,Références!$A$2:$A$201,0)),""))</f>
        <v>Non</v>
      </c>
      <c r="H51" s="40" t="str">
        <f>IF($A51="","",IFERROR(INDEX(Références!$J$2:$J$201,MATCH($A51,Références!$A$2:$A$201,0)),""))</f>
        <v>À lire</v>
      </c>
      <c r="I51" s="41" t="str">
        <f>IF($A51="","",IFERROR(IF(INDEX(Références!$AF$2:$AF$201,MATCH($A51,Références!$A$2:$A$201,0))="","",HYPERLINK(INDEX(Références!$AF$2:$AF$201,MATCH($A51,Références!$A$2:$A$201,0)),"Ouvrir")),""))</f>
        <v>Ouvrir</v>
      </c>
      <c r="J51" s="42" t="s">
        <v>517</v>
      </c>
      <c r="K51" s="3" t="s">
        <v>2065</v>
      </c>
      <c r="L51" s="3" t="s">
        <v>2066</v>
      </c>
      <c r="M51" s="3" t="s">
        <v>2067</v>
      </c>
      <c r="N51" s="3" t="s">
        <v>2068</v>
      </c>
      <c r="O51" s="3" t="s">
        <v>2069</v>
      </c>
      <c r="P51" s="43" t="s">
        <v>2070</v>
      </c>
      <c r="Q51" s="3" t="s">
        <v>2071</v>
      </c>
      <c r="R51" s="3" t="s">
        <v>1701</v>
      </c>
      <c r="S51" s="3" t="s">
        <v>2072</v>
      </c>
      <c r="T51" s="3" t="s">
        <v>2073</v>
      </c>
      <c r="U51" s="3" t="s">
        <v>2074</v>
      </c>
      <c r="V51" s="3" t="s">
        <v>1703</v>
      </c>
      <c r="W51" s="3" t="s">
        <v>2075</v>
      </c>
      <c r="X51" s="3" t="s">
        <v>1777</v>
      </c>
    </row>
    <row r="52" spans="1:24" ht="42.75" customHeight="1" x14ac:dyDescent="0.25">
      <c r="A52" s="38" t="s">
        <v>926</v>
      </c>
      <c r="B52" s="39" t="str">
        <f>IF($A52="","",IFERROR(INDEX(Références!$C$2:$C$201,MATCH($A52,Références!$A$2:$A$201,0)),""))</f>
        <v>Williams et al. (1955)</v>
      </c>
      <c r="C52" s="39" t="str">
        <f>IF($A52="","",IFERROR(INDEX(Références!$D$2:$D$201,MATCH($A52,Références!$A$2:$A$201,0)),""))</f>
        <v>The temperature dependence of relaxation mechanisms in amorphous polymers and other glass-forming liquids</v>
      </c>
      <c r="D52" s="40">
        <f>IF($A52="","",IFERROR(INDEX(Références!$G$2:$G$201,MATCH($A52,Références!$A$2:$A$201,0)),""))</f>
        <v>3</v>
      </c>
      <c r="E52" s="40" t="str">
        <f>IF($A52="","",IFERROR(INDEX(Références!$H$2:$H$201,MATCH($A52,Références!$A$2:$A$201,0)),""))</f>
        <v>A consulter</v>
      </c>
      <c r="F52" s="40">
        <f>IF($A52="","",IFERROR(INDEX(Références!$I$2:$I$201,MATCH($A52,Références!$A$2:$A$201,0)),""))</f>
        <v>3</v>
      </c>
      <c r="G52" s="40" t="str">
        <f>IF($A52="","",IFERROR(INDEX(Références!$F$2:$F$201,MATCH($A52,Références!$A$2:$A$201,0)),""))</f>
        <v>Oui</v>
      </c>
      <c r="H52" s="40" t="str">
        <f>IF($A52="","",IFERROR(INDEX(Références!$J$2:$J$201,MATCH($A52,Références!$A$2:$A$201,0)),""))</f>
        <v>À lire</v>
      </c>
      <c r="I52" s="41" t="str">
        <f>IF($A52="","",IFERROR(IF(INDEX(Références!$AF$2:$AF$201,MATCH($A52,Références!$A$2:$A$201,0))="","",HYPERLINK(INDEX(Références!$AF$2:$AF$201,MATCH($A52,Références!$A$2:$A$201,0)),"Ouvrir")),""))</f>
        <v>Ouvrir</v>
      </c>
      <c r="J52" s="42" t="s">
        <v>1716</v>
      </c>
      <c r="K52" s="3" t="s">
        <v>2076</v>
      </c>
      <c r="L52" s="3" t="s">
        <v>2077</v>
      </c>
      <c r="M52" s="3" t="s">
        <v>1701</v>
      </c>
      <c r="N52" s="3" t="s">
        <v>2078</v>
      </c>
      <c r="O52" s="3" t="s">
        <v>2079</v>
      </c>
      <c r="P52" s="43" t="s">
        <v>2080</v>
      </c>
      <c r="Q52" s="3" t="s">
        <v>2081</v>
      </c>
      <c r="R52" s="3" t="s">
        <v>1701</v>
      </c>
      <c r="S52" s="3" t="s">
        <v>1701</v>
      </c>
      <c r="T52" s="3" t="s">
        <v>2082</v>
      </c>
      <c r="U52" s="3" t="s">
        <v>2083</v>
      </c>
      <c r="V52" s="3" t="s">
        <v>1701</v>
      </c>
      <c r="W52" s="3" t="s">
        <v>1673</v>
      </c>
      <c r="X52" s="3" t="s">
        <v>1701</v>
      </c>
    </row>
    <row r="53" spans="1:24" ht="42.75" customHeight="1" x14ac:dyDescent="0.25">
      <c r="A53" s="38" t="s">
        <v>774</v>
      </c>
      <c r="B53" s="39" t="str">
        <f>IF($A53="","",IFERROR(INDEX(Références!$C$2:$C$201,MATCH($A53,Références!$A$2:$A$201,0)),""))</f>
        <v>AFNOR (2023)</v>
      </c>
      <c r="C53" s="39" t="str">
        <f>IF($A53="","",IFERROR(INDEX(Références!$D$2:$D$201,MATCH($A53,Références!$A$2:$A$201,0)),""))</f>
        <v>NF EN 12697-26+A1 — Mélanges bitumineux — Méthodes d'essai — Partie 26 : rigidité</v>
      </c>
      <c r="D53" s="40">
        <f>IF($A53="","",IFERROR(INDEX(Références!$G$2:$G$201,MATCH($A53,Références!$A$2:$A$201,0)),""))</f>
        <v>4</v>
      </c>
      <c r="E53" s="40" t="str">
        <f>IF($A53="","",IFERROR(INDEX(Références!$H$2:$H$201,MATCH($A53,Références!$A$2:$A$201,0)),""))</f>
        <v>INCONTOURNABLE</v>
      </c>
      <c r="F53" s="40">
        <f>IF($A53="","",IFERROR(INDEX(Références!$I$2:$I$201,MATCH($A53,Références!$A$2:$A$201,0)),""))</f>
        <v>3</v>
      </c>
      <c r="G53" s="40" t="str">
        <f>IF($A53="","",IFERROR(INDEX(Références!$F$2:$F$201,MATCH($A53,Références!$A$2:$A$201,0)),""))</f>
        <v>Non</v>
      </c>
      <c r="H53" s="40" t="str">
        <f>IF($A53="","",IFERROR(INDEX(Références!$J$2:$J$201,MATCH($A53,Références!$A$2:$A$201,0)),""))</f>
        <v>À lire</v>
      </c>
      <c r="I53" s="41" t="str">
        <f>IF($A53="","",IFERROR(IF(INDEX(Références!$AF$2:$AF$201,MATCH($A53,Références!$A$2:$A$201,0))="","",HYPERLINK(INDEX(Références!$AF$2:$AF$201,MATCH($A53,Références!$A$2:$A$201,0)),"Ouvrir")),""))</f>
        <v>Ouvrir</v>
      </c>
      <c r="J53" s="42" t="s">
        <v>1716</v>
      </c>
      <c r="K53" s="3" t="s">
        <v>2084</v>
      </c>
      <c r="L53" s="3" t="s">
        <v>2085</v>
      </c>
      <c r="M53" s="3" t="s">
        <v>1701</v>
      </c>
      <c r="N53" s="3" t="s">
        <v>1701</v>
      </c>
      <c r="O53" s="3" t="s">
        <v>1720</v>
      </c>
      <c r="P53" s="43" t="s">
        <v>2086</v>
      </c>
      <c r="Q53" s="3" t="s">
        <v>2087</v>
      </c>
      <c r="R53" s="3" t="s">
        <v>1701</v>
      </c>
      <c r="S53" s="3" t="s">
        <v>1701</v>
      </c>
      <c r="T53" s="3" t="s">
        <v>1701</v>
      </c>
      <c r="U53" s="3" t="s">
        <v>2088</v>
      </c>
      <c r="V53" s="3" t="s">
        <v>1969</v>
      </c>
      <c r="W53" s="3" t="s">
        <v>1970</v>
      </c>
      <c r="X53" s="3" t="s">
        <v>1701</v>
      </c>
    </row>
    <row r="54" spans="1:24" ht="81.75" customHeight="1" x14ac:dyDescent="0.25">
      <c r="A54" s="38" t="s">
        <v>787</v>
      </c>
      <c r="B54" s="39" t="str">
        <f>IF($A54="","",IFERROR(INDEX(Références!$C$2:$C$201,MATCH($A54,Références!$A$2:$A$201,0)),""))</f>
        <v>Di Benedetto et al. (2011)</v>
      </c>
      <c r="C54" s="39" t="str">
        <f>IF($A54="","",IFERROR(INDEX(Références!$D$2:$D$201,MATCH($A54,Références!$A$2:$A$201,0)),""))</f>
        <v>Nonlinearity, heating, fatigue and thixotropy during cyclic loading of asphalt mixtures</v>
      </c>
      <c r="D54" s="40">
        <f>IF($A54="","",IFERROR(INDEX(Références!$G$2:$G$201,MATCH($A54,Références!$A$2:$A$201,0)),""))</f>
        <v>4</v>
      </c>
      <c r="E54" s="40" t="str">
        <f>IF($A54="","",IFERROR(INDEX(Références!$H$2:$H$201,MATCH($A54,Références!$A$2:$A$201,0)),""))</f>
        <v>INCONTOURNABLE</v>
      </c>
      <c r="F54" s="40">
        <f>IF($A54="","",IFERROR(INDEX(Références!$I$2:$I$201,MATCH($A54,Références!$A$2:$A$201,0)),""))</f>
        <v>3</v>
      </c>
      <c r="G54" s="40" t="str">
        <f>IF($A54="","",IFERROR(INDEX(Références!$F$2:$F$201,MATCH($A54,Références!$A$2:$A$201,0)),""))</f>
        <v>Non</v>
      </c>
      <c r="H54" s="40" t="str">
        <f>IF($A54="","",IFERROR(INDEX(Références!$J$2:$J$201,MATCH($A54,Références!$A$2:$A$201,0)),""))</f>
        <v>À lire</v>
      </c>
      <c r="I54" s="41" t="str">
        <f>IF($A54="","",IFERROR(IF(INDEX(Références!$AF$2:$AF$201,MATCH($A54,Références!$A$2:$A$201,0))="","",HYPERLINK(INDEX(Références!$AF$2:$AF$201,MATCH($A54,Références!$A$2:$A$201,0)),"Ouvrir")),""))</f>
        <v>Ouvrir</v>
      </c>
      <c r="J54" s="42" t="s">
        <v>1692</v>
      </c>
      <c r="K54" s="3" t="s">
        <v>1751</v>
      </c>
      <c r="L54" s="3" t="s">
        <v>2089</v>
      </c>
      <c r="M54" s="3" t="s">
        <v>2090</v>
      </c>
      <c r="N54" s="3" t="s">
        <v>2091</v>
      </c>
      <c r="O54" s="3" t="s">
        <v>2092</v>
      </c>
      <c r="P54" s="43" t="s">
        <v>2093</v>
      </c>
      <c r="Q54" s="3" t="s">
        <v>2094</v>
      </c>
      <c r="R54" s="3" t="s">
        <v>1701</v>
      </c>
      <c r="S54" s="3" t="s">
        <v>1701</v>
      </c>
      <c r="T54" s="3" t="s">
        <v>2095</v>
      </c>
      <c r="U54" s="3" t="s">
        <v>1777</v>
      </c>
      <c r="V54" s="3" t="s">
        <v>1969</v>
      </c>
      <c r="W54" s="3" t="s">
        <v>2096</v>
      </c>
      <c r="X54" s="3" t="s">
        <v>1777</v>
      </c>
    </row>
    <row r="55" spans="1:24" ht="55.5" customHeight="1" x14ac:dyDescent="0.25">
      <c r="A55" s="38" t="s">
        <v>797</v>
      </c>
      <c r="B55" s="39" t="str">
        <f>IF($A55="","",IFERROR(INDEX(Références!$C$2:$C$201,MATCH($A55,Références!$A$2:$A$201,0)),""))</f>
        <v>Nguyen et al. (2017)</v>
      </c>
      <c r="C55" s="39" t="str">
        <f>IF($A55="","",IFERROR(INDEX(Références!$D$2:$D$201,MATCH($A55,Références!$A$2:$A$201,0)),""))</f>
        <v>3D complex modulus tests on bituminous mixture with sinusoidal loadings in tension and/or compression</v>
      </c>
      <c r="D55" s="40">
        <f>IF($A55="","",IFERROR(INDEX(Références!$G$2:$G$201,MATCH($A55,Références!$A$2:$A$201,0)),""))</f>
        <v>4</v>
      </c>
      <c r="E55" s="40" t="str">
        <f>IF($A55="","",IFERROR(INDEX(Références!$H$2:$H$201,MATCH($A55,Références!$A$2:$A$201,0)),""))</f>
        <v>INCONTOURNABLE</v>
      </c>
      <c r="F55" s="40">
        <f>IF($A55="","",IFERROR(INDEX(Références!$I$2:$I$201,MATCH($A55,Références!$A$2:$A$201,0)),""))</f>
        <v>3</v>
      </c>
      <c r="G55" s="40" t="str">
        <f>IF($A55="","",IFERROR(INDEX(Références!$F$2:$F$201,MATCH($A55,Références!$A$2:$A$201,0)),""))</f>
        <v>Non</v>
      </c>
      <c r="H55" s="40" t="str">
        <f>IF($A55="","",IFERROR(INDEX(Références!$J$2:$J$201,MATCH($A55,Références!$A$2:$A$201,0)),""))</f>
        <v>À lire</v>
      </c>
      <c r="I55" s="41" t="str">
        <f>IF($A55="","",IFERROR(IF(INDEX(Références!$AF$2:$AF$201,MATCH($A55,Références!$A$2:$A$201,0))="","",HYPERLINK(INDEX(Références!$AF$2:$AF$201,MATCH($A55,Références!$A$2:$A$201,0)),"Ouvrir")),""))</f>
        <v>Ouvrir</v>
      </c>
      <c r="J55" s="42" t="s">
        <v>1692</v>
      </c>
      <c r="K55" s="3" t="s">
        <v>1839</v>
      </c>
      <c r="L55" s="3" t="s">
        <v>2097</v>
      </c>
      <c r="M55" s="3" t="s">
        <v>2098</v>
      </c>
      <c r="N55" s="3" t="s">
        <v>2099</v>
      </c>
      <c r="O55" s="3" t="s">
        <v>2100</v>
      </c>
      <c r="P55" s="43" t="s">
        <v>2101</v>
      </c>
      <c r="Q55" s="3" t="s">
        <v>2102</v>
      </c>
      <c r="R55" s="3" t="s">
        <v>1701</v>
      </c>
      <c r="S55" s="3" t="s">
        <v>1701</v>
      </c>
      <c r="T55" s="3" t="s">
        <v>2050</v>
      </c>
      <c r="U55" s="3" t="s">
        <v>1777</v>
      </c>
      <c r="V55" s="3" t="s">
        <v>1969</v>
      </c>
      <c r="W55" s="3" t="s">
        <v>1970</v>
      </c>
      <c r="X55" s="3" t="s">
        <v>1777</v>
      </c>
    </row>
    <row r="56" spans="1:24" ht="42.75" customHeight="1" x14ac:dyDescent="0.25">
      <c r="A56" s="38" t="s">
        <v>868</v>
      </c>
      <c r="B56" s="39" t="str">
        <f>IF($A56="","",IFERROR(INDEX(Références!$C$2:$C$201,MATCH($A56,Références!$A$2:$A$201,0)),""))</f>
        <v>Di Benedetto et al. (2001)</v>
      </c>
      <c r="C56" s="39" t="str">
        <f>IF($A56="","",IFERROR(INDEX(Références!$D$2:$D$201,MATCH($A56,Références!$A$2:$A$201,0)),""))</f>
        <v>Stiffness testing for bituminous mixtures</v>
      </c>
      <c r="D56" s="40">
        <f>IF($A56="","",IFERROR(INDEX(Références!$G$2:$G$201,MATCH($A56,Références!$A$2:$A$201,0)),""))</f>
        <v>4</v>
      </c>
      <c r="E56" s="40" t="str">
        <f>IF($A56="","",IFERROR(INDEX(Références!$H$2:$H$201,MATCH($A56,Références!$A$2:$A$201,0)),""))</f>
        <v>Important</v>
      </c>
      <c r="F56" s="40">
        <f>IF($A56="","",IFERROR(INDEX(Références!$I$2:$I$201,MATCH($A56,Références!$A$2:$A$201,0)),""))</f>
        <v>3</v>
      </c>
      <c r="G56" s="40" t="str">
        <f>IF($A56="","",IFERROR(INDEX(Références!$F$2:$F$201,MATCH($A56,Références!$A$2:$A$201,0)),""))</f>
        <v>Non</v>
      </c>
      <c r="H56" s="40" t="str">
        <f>IF($A56="","",IFERROR(INDEX(Références!$J$2:$J$201,MATCH($A56,Références!$A$2:$A$201,0)),""))</f>
        <v>À lire</v>
      </c>
      <c r="I56" s="41" t="str">
        <f>IF($A56="","",IFERROR(IF(INDEX(Références!$AF$2:$AF$201,MATCH($A56,Références!$A$2:$A$201,0))="","",HYPERLINK(INDEX(Références!$AF$2:$AF$201,MATCH($A56,Références!$A$2:$A$201,0)),"Ouvrir")),""))</f>
        <v>Ouvrir</v>
      </c>
      <c r="J56" s="42" t="s">
        <v>1716</v>
      </c>
      <c r="K56" s="3" t="s">
        <v>2103</v>
      </c>
      <c r="L56" s="3" t="s">
        <v>2104</v>
      </c>
      <c r="M56" s="3" t="s">
        <v>2105</v>
      </c>
      <c r="N56" s="3" t="s">
        <v>1701</v>
      </c>
      <c r="O56" s="3" t="s">
        <v>2106</v>
      </c>
      <c r="P56" s="43" t="s">
        <v>2107</v>
      </c>
      <c r="Q56" s="3" t="s">
        <v>2108</v>
      </c>
      <c r="R56" s="3" t="s">
        <v>1701</v>
      </c>
      <c r="S56" s="3" t="s">
        <v>1701</v>
      </c>
      <c r="T56" s="3" t="s">
        <v>2109</v>
      </c>
      <c r="U56" s="3" t="s">
        <v>2110</v>
      </c>
      <c r="V56" s="3" t="s">
        <v>1969</v>
      </c>
      <c r="W56" s="3" t="s">
        <v>1970</v>
      </c>
      <c r="X56" s="3" t="s">
        <v>1777</v>
      </c>
    </row>
    <row r="57" spans="1:24" ht="42.75" customHeight="1" x14ac:dyDescent="0.25">
      <c r="A57" s="38" t="s">
        <v>878</v>
      </c>
      <c r="B57" s="39" t="str">
        <f>IF($A57="","",IFERROR(INDEX(Références!$C$2:$C$201,MATCH($A57,Références!$A$2:$A$201,0)),""))</f>
        <v>Gayte et al. (2016)</v>
      </c>
      <c r="C57" s="39" t="str">
        <f>IF($A57="","",IFERROR(INDEX(Références!$D$2:$D$201,MATCH($A57,Références!$A$2:$A$201,0)),""))</f>
        <v>Influence of transient effects for analysis of complex modulus tests on bituminous mixtures</v>
      </c>
      <c r="D57" s="40">
        <f>IF($A57="","",IFERROR(INDEX(Références!$G$2:$G$201,MATCH($A57,Références!$A$2:$A$201,0)),""))</f>
        <v>4</v>
      </c>
      <c r="E57" s="40" t="str">
        <f>IF($A57="","",IFERROR(INDEX(Références!$H$2:$H$201,MATCH($A57,Références!$A$2:$A$201,0)),""))</f>
        <v>Important</v>
      </c>
      <c r="F57" s="40">
        <f>IF($A57="","",IFERROR(INDEX(Références!$I$2:$I$201,MATCH($A57,Références!$A$2:$A$201,0)),""))</f>
        <v>3</v>
      </c>
      <c r="G57" s="40" t="str">
        <f>IF($A57="","",IFERROR(INDEX(Références!$F$2:$F$201,MATCH($A57,Références!$A$2:$A$201,0)),""))</f>
        <v>Non</v>
      </c>
      <c r="H57" s="40" t="str">
        <f>IF($A57="","",IFERROR(INDEX(Références!$J$2:$J$201,MATCH($A57,Références!$A$2:$A$201,0)),""))</f>
        <v>À lire</v>
      </c>
      <c r="I57" s="41" t="str">
        <f>IF($A57="","",IFERROR(IF(INDEX(Références!$AF$2:$AF$201,MATCH($A57,Références!$A$2:$A$201,0))="","",HYPERLINK(INDEX(Références!$AF$2:$AF$201,MATCH($A57,Références!$A$2:$A$201,0)),"Ouvrir")),""))</f>
        <v>Ouvrir</v>
      </c>
      <c r="J57" s="42" t="s">
        <v>1692</v>
      </c>
      <c r="K57" s="3" t="s">
        <v>1751</v>
      </c>
      <c r="L57" s="3" t="s">
        <v>2111</v>
      </c>
      <c r="M57" s="3" t="s">
        <v>2112</v>
      </c>
      <c r="N57" s="3" t="s">
        <v>2113</v>
      </c>
      <c r="O57" s="3" t="s">
        <v>2114</v>
      </c>
      <c r="P57" s="43" t="s">
        <v>2115</v>
      </c>
      <c r="Q57" s="3" t="s">
        <v>2116</v>
      </c>
      <c r="R57" s="3" t="s">
        <v>1701</v>
      </c>
      <c r="S57" s="3" t="s">
        <v>1701</v>
      </c>
      <c r="T57" s="3" t="s">
        <v>2117</v>
      </c>
      <c r="U57" s="3" t="s">
        <v>2118</v>
      </c>
      <c r="V57" s="3" t="s">
        <v>1969</v>
      </c>
      <c r="W57" s="3" t="s">
        <v>1970</v>
      </c>
      <c r="X57" s="3" t="s">
        <v>1777</v>
      </c>
    </row>
    <row r="58" spans="1:24" ht="55.5" customHeight="1" x14ac:dyDescent="0.25">
      <c r="A58" s="38" t="s">
        <v>891</v>
      </c>
      <c r="B58" s="39" t="str">
        <f>IF($A58="","",IFERROR(INDEX(Références!$C$2:$C$201,MATCH($A58,Références!$A$2:$A$201,0)),""))</f>
        <v>Nguyen et al. (2013)</v>
      </c>
      <c r="C58" s="39" t="str">
        <f>IF($A58="","",IFERROR(INDEX(Références!$D$2:$D$201,MATCH($A58,Références!$A$2:$A$201,0)),""))</f>
        <v>Time temperature superposition principle validation for bituminous mixes in the linear and nonlinear domains</v>
      </c>
      <c r="D58" s="40">
        <f>IF($A58="","",IFERROR(INDEX(Références!$G$2:$G$201,MATCH($A58,Références!$A$2:$A$201,0)),""))</f>
        <v>4</v>
      </c>
      <c r="E58" s="40" t="str">
        <f>IF($A58="","",IFERROR(INDEX(Références!$H$2:$H$201,MATCH($A58,Références!$A$2:$A$201,0)),""))</f>
        <v>Important</v>
      </c>
      <c r="F58" s="40">
        <f>IF($A58="","",IFERROR(INDEX(Références!$I$2:$I$201,MATCH($A58,Références!$A$2:$A$201,0)),""))</f>
        <v>3</v>
      </c>
      <c r="G58" s="40" t="str">
        <f>IF($A58="","",IFERROR(INDEX(Références!$F$2:$F$201,MATCH($A58,Références!$A$2:$A$201,0)),""))</f>
        <v>Non</v>
      </c>
      <c r="H58" s="40" t="str">
        <f>IF($A58="","",IFERROR(INDEX(Références!$J$2:$J$201,MATCH($A58,Références!$A$2:$A$201,0)),""))</f>
        <v>À lire</v>
      </c>
      <c r="I58" s="41" t="str">
        <f>IF($A58="","",IFERROR(IF(INDEX(Références!$AF$2:$AF$201,MATCH($A58,Références!$A$2:$A$201,0))="","",HYPERLINK(INDEX(Références!$AF$2:$AF$201,MATCH($A58,Références!$A$2:$A$201,0)),"Ouvrir")),""))</f>
        <v>Ouvrir</v>
      </c>
      <c r="J58" s="42" t="s">
        <v>1692</v>
      </c>
      <c r="K58" s="3" t="s">
        <v>1751</v>
      </c>
      <c r="L58" s="3" t="s">
        <v>2119</v>
      </c>
      <c r="M58" s="3" t="s">
        <v>2120</v>
      </c>
      <c r="N58" s="3" t="s">
        <v>2121</v>
      </c>
      <c r="O58" s="3" t="s">
        <v>2122</v>
      </c>
      <c r="P58" s="43" t="s">
        <v>2123</v>
      </c>
      <c r="Q58" s="3" t="s">
        <v>2124</v>
      </c>
      <c r="R58" s="3" t="s">
        <v>1701</v>
      </c>
      <c r="S58" s="3" t="s">
        <v>1701</v>
      </c>
      <c r="T58" s="3" t="s">
        <v>2050</v>
      </c>
      <c r="U58" s="3" t="s">
        <v>1777</v>
      </c>
      <c r="V58" s="3" t="s">
        <v>1969</v>
      </c>
      <c r="W58" s="3" t="s">
        <v>2125</v>
      </c>
      <c r="X58" s="3" t="s">
        <v>1777</v>
      </c>
    </row>
    <row r="59" spans="1:24" ht="42.75" customHeight="1" x14ac:dyDescent="0.25">
      <c r="A59" s="38" t="s">
        <v>938</v>
      </c>
      <c r="B59" s="39" t="str">
        <f>IF($A59="","",IFERROR(INDEX(Références!$C$2:$C$201,MATCH($A59,Références!$A$2:$A$201,0)),""))</f>
        <v>AFNOR (2015)</v>
      </c>
      <c r="C59" s="39" t="str">
        <f>IF($A59="","",IFERROR(INDEX(Références!$D$2:$D$201,MATCH($A59,Références!$A$2:$A$201,0)),""))</f>
        <v>NF EN 12593 — Bitumes et liants bitumineux — Détermination du point de fragilité Fraass</v>
      </c>
      <c r="D59" s="40">
        <f>IF($A59="","",IFERROR(INDEX(Références!$G$2:$G$201,MATCH($A59,Références!$A$2:$A$201,0)),""))</f>
        <v>4</v>
      </c>
      <c r="E59" s="40" t="str">
        <f>IF($A59="","",IFERROR(INDEX(Références!$H$2:$H$201,MATCH($A59,Références!$A$2:$A$201,0)),""))</f>
        <v>A consulter</v>
      </c>
      <c r="F59" s="40">
        <f>IF($A59="","",IFERROR(INDEX(Références!$I$2:$I$201,MATCH($A59,Références!$A$2:$A$201,0)),""))</f>
        <v>3</v>
      </c>
      <c r="G59" s="40" t="str">
        <f>IF($A59="","",IFERROR(INDEX(Références!$F$2:$F$201,MATCH($A59,Références!$A$2:$A$201,0)),""))</f>
        <v>Oui</v>
      </c>
      <c r="H59" s="40" t="str">
        <f>IF($A59="","",IFERROR(INDEX(Références!$J$2:$J$201,MATCH($A59,Références!$A$2:$A$201,0)),""))</f>
        <v>À lire</v>
      </c>
      <c r="I59" s="41" t="str">
        <f>IF($A59="","",IFERROR(IF(INDEX(Références!$AF$2:$AF$201,MATCH($A59,Références!$A$2:$A$201,0))="","",HYPERLINK(INDEX(Références!$AF$2:$AF$201,MATCH($A59,Références!$A$2:$A$201,0)),"Ouvrir")),""))</f>
        <v>Ouvrir</v>
      </c>
      <c r="J59" s="42" t="s">
        <v>1716</v>
      </c>
      <c r="K59" s="3" t="s">
        <v>2084</v>
      </c>
      <c r="L59" s="3" t="s">
        <v>2126</v>
      </c>
      <c r="M59" s="3" t="s">
        <v>1701</v>
      </c>
      <c r="N59" s="3" t="s">
        <v>1701</v>
      </c>
      <c r="O59" s="3" t="s">
        <v>1720</v>
      </c>
      <c r="P59" s="43" t="s">
        <v>2127</v>
      </c>
      <c r="Q59" s="3" t="s">
        <v>2128</v>
      </c>
      <c r="R59" s="3" t="s">
        <v>1701</v>
      </c>
      <c r="S59" s="3" t="s">
        <v>1701</v>
      </c>
      <c r="T59" s="3" t="s">
        <v>1701</v>
      </c>
      <c r="U59" s="3" t="s">
        <v>2129</v>
      </c>
      <c r="V59" s="3" t="s">
        <v>1701</v>
      </c>
      <c r="W59" s="3" t="s">
        <v>2130</v>
      </c>
      <c r="X59" s="3" t="s">
        <v>1701</v>
      </c>
    </row>
    <row r="60" spans="1:24" ht="42.75" customHeight="1" x14ac:dyDescent="0.25">
      <c r="A60" s="38" t="s">
        <v>946</v>
      </c>
      <c r="B60" s="39" t="str">
        <f>IF($A60="","",IFERROR(INDEX(Références!$C$2:$C$201,MATCH($A60,Références!$A$2:$A$201,0)),""))</f>
        <v>AFNOR (2018)</v>
      </c>
      <c r="C60" s="39" t="str">
        <f>IF($A60="","",IFERROR(INDEX(Références!$D$2:$D$201,MATCH($A60,Références!$A$2:$A$201,0)),""))</f>
        <v>NF EN 1427 — Bitumes et liants bitumineux — Détermination du point de ramollissement — Méthode Bille et Anneau</v>
      </c>
      <c r="D60" s="40">
        <f>IF($A60="","",IFERROR(INDEX(Références!$G$2:$G$201,MATCH($A60,Références!$A$2:$A$201,0)),""))</f>
        <v>4</v>
      </c>
      <c r="E60" s="40" t="str">
        <f>IF($A60="","",IFERROR(INDEX(Références!$H$2:$H$201,MATCH($A60,Références!$A$2:$A$201,0)),""))</f>
        <v>A consulter</v>
      </c>
      <c r="F60" s="40">
        <f>IF($A60="","",IFERROR(INDEX(Références!$I$2:$I$201,MATCH($A60,Références!$A$2:$A$201,0)),""))</f>
        <v>3</v>
      </c>
      <c r="G60" s="40" t="str">
        <f>IF($A60="","",IFERROR(INDEX(Références!$F$2:$F$201,MATCH($A60,Références!$A$2:$A$201,0)),""))</f>
        <v>Oui</v>
      </c>
      <c r="H60" s="40" t="str">
        <f>IF($A60="","",IFERROR(INDEX(Références!$J$2:$J$201,MATCH($A60,Références!$A$2:$A$201,0)),""))</f>
        <v>À lire</v>
      </c>
      <c r="I60" s="41" t="str">
        <f>IF($A60="","",IFERROR(IF(INDEX(Références!$AF$2:$AF$201,MATCH($A60,Références!$A$2:$A$201,0))="","",HYPERLINK(INDEX(Références!$AF$2:$AF$201,MATCH($A60,Références!$A$2:$A$201,0)),"Ouvrir")),""))</f>
        <v>Ouvrir</v>
      </c>
      <c r="J60" s="42" t="s">
        <v>1716</v>
      </c>
      <c r="K60" s="3" t="s">
        <v>2084</v>
      </c>
      <c r="L60" s="3" t="s">
        <v>2131</v>
      </c>
      <c r="M60" s="3" t="s">
        <v>1701</v>
      </c>
      <c r="N60" s="3" t="s">
        <v>1701</v>
      </c>
      <c r="O60" s="3" t="s">
        <v>1720</v>
      </c>
      <c r="P60" s="43" t="s">
        <v>2132</v>
      </c>
      <c r="Q60" s="3" t="s">
        <v>2133</v>
      </c>
      <c r="R60" s="3" t="s">
        <v>1701</v>
      </c>
      <c r="S60" s="3" t="s">
        <v>1701</v>
      </c>
      <c r="T60" s="3" t="s">
        <v>1701</v>
      </c>
      <c r="U60" s="3" t="s">
        <v>2129</v>
      </c>
      <c r="V60" s="3" t="s">
        <v>1701</v>
      </c>
      <c r="W60" s="3" t="s">
        <v>2130</v>
      </c>
      <c r="X60" s="3" t="s">
        <v>1701</v>
      </c>
    </row>
    <row r="61" spans="1:24" ht="42.75" customHeight="1" x14ac:dyDescent="0.25">
      <c r="A61" s="38" t="s">
        <v>954</v>
      </c>
      <c r="B61" s="39" t="str">
        <f>IF($A61="","",IFERROR(INDEX(Références!$C$2:$C$201,MATCH($A61,Références!$A$2:$A$201,0)),""))</f>
        <v>AFNOR (2024)</v>
      </c>
      <c r="C61" s="39" t="str">
        <f>IF($A61="","",IFERROR(INDEX(Références!$D$2:$D$201,MATCH($A61,Références!$A$2:$A$201,0)),""))</f>
        <v>NF EN 1426 — Bitumes et liants bitumineux — Détermination de la pénétrabilité à l'aiguille</v>
      </c>
      <c r="D61" s="40">
        <f>IF($A61="","",IFERROR(INDEX(Références!$G$2:$G$201,MATCH($A61,Références!$A$2:$A$201,0)),""))</f>
        <v>4</v>
      </c>
      <c r="E61" s="40" t="str">
        <f>IF($A61="","",IFERROR(INDEX(Références!$H$2:$H$201,MATCH($A61,Références!$A$2:$A$201,0)),""))</f>
        <v>A consulter</v>
      </c>
      <c r="F61" s="40">
        <f>IF($A61="","",IFERROR(INDEX(Références!$I$2:$I$201,MATCH($A61,Références!$A$2:$A$201,0)),""))</f>
        <v>3</v>
      </c>
      <c r="G61" s="40" t="str">
        <f>IF($A61="","",IFERROR(INDEX(Références!$F$2:$F$201,MATCH($A61,Références!$A$2:$A$201,0)),""))</f>
        <v>Non</v>
      </c>
      <c r="H61" s="40" t="str">
        <f>IF($A61="","",IFERROR(INDEX(Références!$J$2:$J$201,MATCH($A61,Références!$A$2:$A$201,0)),""))</f>
        <v>À lire</v>
      </c>
      <c r="I61" s="41" t="str">
        <f>IF($A61="","",IFERROR(IF(INDEX(Références!$AF$2:$AF$201,MATCH($A61,Références!$A$2:$A$201,0))="","",HYPERLINK(INDEX(Références!$AF$2:$AF$201,MATCH($A61,Références!$A$2:$A$201,0)),"Ouvrir")),""))</f>
        <v>Ouvrir</v>
      </c>
      <c r="J61" s="42" t="s">
        <v>1716</v>
      </c>
      <c r="K61" s="3" t="s">
        <v>2084</v>
      </c>
      <c r="L61" s="3" t="s">
        <v>2134</v>
      </c>
      <c r="M61" s="3" t="s">
        <v>1701</v>
      </c>
      <c r="N61" s="3" t="s">
        <v>1701</v>
      </c>
      <c r="O61" s="3" t="s">
        <v>1720</v>
      </c>
      <c r="P61" s="43" t="s">
        <v>2135</v>
      </c>
      <c r="Q61" s="3" t="s">
        <v>2136</v>
      </c>
      <c r="R61" s="3" t="s">
        <v>1701</v>
      </c>
      <c r="S61" s="3" t="s">
        <v>1701</v>
      </c>
      <c r="T61" s="3" t="s">
        <v>1701</v>
      </c>
      <c r="U61" s="3" t="s">
        <v>2129</v>
      </c>
      <c r="V61" s="3" t="s">
        <v>1701</v>
      </c>
      <c r="W61" s="3" t="s">
        <v>2130</v>
      </c>
      <c r="X61" s="3" t="s">
        <v>1701</v>
      </c>
    </row>
    <row r="62" spans="1:24" ht="42.75" customHeight="1" x14ac:dyDescent="0.25">
      <c r="A62" s="38" t="s">
        <v>963</v>
      </c>
      <c r="B62" s="39" t="str">
        <f>IF($A62="","",IFERROR(INDEX(Références!$C$2:$C$201,MATCH($A62,Références!$A$2:$A$201,0)),""))</f>
        <v>Chailleux et al. (2006)</v>
      </c>
      <c r="C62" s="39" t="str">
        <f>IF($A62="","",IFERROR(INDEX(Références!$D$2:$D$201,MATCH($A62,Références!$A$2:$A$201,0)),""))</f>
        <v>A mathematical-based master-curve construction method applied to complex modulus of bituminous materials</v>
      </c>
      <c r="D62" s="40">
        <f>IF($A62="","",IFERROR(INDEX(Références!$G$2:$G$201,MATCH($A62,Références!$A$2:$A$201,0)),""))</f>
        <v>4</v>
      </c>
      <c r="E62" s="40" t="str">
        <f>IF($A62="","",IFERROR(INDEX(Références!$H$2:$H$201,MATCH($A62,Références!$A$2:$A$201,0)),""))</f>
        <v>A consulter</v>
      </c>
      <c r="F62" s="40">
        <f>IF($A62="","",IFERROR(INDEX(Références!$I$2:$I$201,MATCH($A62,Références!$A$2:$A$201,0)),""))</f>
        <v>3</v>
      </c>
      <c r="G62" s="40" t="str">
        <f>IF($A62="","",IFERROR(INDEX(Références!$F$2:$F$201,MATCH($A62,Références!$A$2:$A$201,0)),""))</f>
        <v>Non</v>
      </c>
      <c r="H62" s="40" t="str">
        <f>IF($A62="","",IFERROR(INDEX(Références!$J$2:$J$201,MATCH($A62,Références!$A$2:$A$201,0)),""))</f>
        <v>À lire</v>
      </c>
      <c r="I62" s="41" t="str">
        <f>IF($A62="","",IFERROR(IF(INDEX(Références!$AF$2:$AF$201,MATCH($A62,Références!$A$2:$A$201,0))="","",HYPERLINK(INDEX(Références!$AF$2:$AF$201,MATCH($A62,Références!$A$2:$A$201,0)),"Ouvrir")),""))</f>
        <v>Ouvrir</v>
      </c>
      <c r="J62" s="42" t="s">
        <v>1692</v>
      </c>
      <c r="K62" s="3" t="s">
        <v>1751</v>
      </c>
      <c r="L62" s="3" t="s">
        <v>2137</v>
      </c>
      <c r="M62" s="3" t="s">
        <v>2138</v>
      </c>
      <c r="N62" s="3" t="s">
        <v>2139</v>
      </c>
      <c r="O62" s="3" t="s">
        <v>2140</v>
      </c>
      <c r="P62" s="43" t="s">
        <v>2141</v>
      </c>
      <c r="Q62" s="3" t="s">
        <v>2142</v>
      </c>
      <c r="R62" s="3" t="s">
        <v>1701</v>
      </c>
      <c r="S62" s="3" t="s">
        <v>1701</v>
      </c>
      <c r="T62" s="3" t="s">
        <v>2109</v>
      </c>
      <c r="U62" s="3" t="s">
        <v>2143</v>
      </c>
      <c r="V62" s="3" t="s">
        <v>1701</v>
      </c>
      <c r="W62" s="3" t="s">
        <v>1970</v>
      </c>
      <c r="X62" s="3" t="s">
        <v>1777</v>
      </c>
    </row>
    <row r="63" spans="1:24" ht="69" customHeight="1" x14ac:dyDescent="0.25">
      <c r="A63" s="38" t="s">
        <v>972</v>
      </c>
      <c r="B63" s="39" t="str">
        <f>IF($A63="","",IFERROR(INDEX(Références!$C$2:$C$201,MATCH($A63,Références!$A$2:$A$201,0)),""))</f>
        <v>Roussel (2020)</v>
      </c>
      <c r="C63" s="39" t="str">
        <f>IF($A63="","",IFERROR(INDEX(Références!$D$2:$D$201,MATCH($A63,Références!$A$2:$A$201,0)),""))</f>
        <v>Apport de la viscoélasticité dans l'analyse dynamique des essais au Heavy Weight Deflectometer</v>
      </c>
      <c r="D63" s="40">
        <f>IF($A63="","",IFERROR(INDEX(Références!$G$2:$G$201,MATCH($A63,Références!$A$2:$A$201,0)),""))</f>
        <v>5</v>
      </c>
      <c r="E63" s="40" t="str">
        <f>IF($A63="","",IFERROR(INDEX(Références!$H$2:$H$201,MATCH($A63,Références!$A$2:$A$201,0)),""))</f>
        <v>INCONTOURNABLE</v>
      </c>
      <c r="F63" s="40">
        <f>IF($A63="","",IFERROR(INDEX(Références!$I$2:$I$201,MATCH($A63,Références!$A$2:$A$201,0)),""))</f>
        <v>4</v>
      </c>
      <c r="G63" s="40" t="str">
        <f>IF($A63="","",IFERROR(INDEX(Références!$F$2:$F$201,MATCH($A63,Références!$A$2:$A$201,0)),""))</f>
        <v>Oui</v>
      </c>
      <c r="H63" s="40" t="str">
        <f>IF($A63="","",IFERROR(INDEX(Références!$J$2:$J$201,MATCH($A63,Références!$A$2:$A$201,0)),""))</f>
        <v>À lire</v>
      </c>
      <c r="I63" s="41" t="str">
        <f>IF($A63="","",IFERROR(IF(INDEX(Références!$AF$2:$AF$201,MATCH($A63,Références!$A$2:$A$201,0))="","",HYPERLINK(INDEX(Références!$AF$2:$AF$201,MATCH($A63,Références!$A$2:$A$201,0)),"Ouvrir")),""))</f>
        <v>Ouvrir</v>
      </c>
      <c r="J63" s="42" t="s">
        <v>1692</v>
      </c>
      <c r="K63" s="3" t="s">
        <v>1915</v>
      </c>
      <c r="L63" s="3" t="s">
        <v>2144</v>
      </c>
      <c r="M63" s="3" t="s">
        <v>2145</v>
      </c>
      <c r="N63" s="3" t="s">
        <v>2146</v>
      </c>
      <c r="O63" s="3" t="s">
        <v>2147</v>
      </c>
      <c r="P63" s="43" t="s">
        <v>2148</v>
      </c>
      <c r="Q63" s="3" t="s">
        <v>2149</v>
      </c>
      <c r="R63" s="3" t="s">
        <v>1701</v>
      </c>
      <c r="S63" s="3" t="s">
        <v>2150</v>
      </c>
      <c r="T63" s="3" t="s">
        <v>2109</v>
      </c>
      <c r="U63" s="3" t="s">
        <v>2151</v>
      </c>
      <c r="V63" s="3" t="s">
        <v>2152</v>
      </c>
      <c r="W63" s="3" t="s">
        <v>2153</v>
      </c>
      <c r="X63" s="3" t="s">
        <v>2154</v>
      </c>
    </row>
    <row r="64" spans="1:24" ht="69" customHeight="1" x14ac:dyDescent="0.25">
      <c r="A64" s="38" t="s">
        <v>994</v>
      </c>
      <c r="B64" s="39" t="str">
        <f>IF($A64="","",IFERROR(INDEX(Références!$C$2:$C$201,MATCH($A64,Références!$A$2:$A$201,0)),""))</f>
        <v>Burmister (1945)</v>
      </c>
      <c r="C64" s="39" t="str">
        <f>IF($A64="","",IFERROR(INDEX(Références!$D$2:$D$201,MATCH($A64,Références!$A$2:$A$201,0)),""))</f>
        <v>The general theory of stresses and displacements in layered systems. I</v>
      </c>
      <c r="D64" s="40">
        <f>IF($A64="","",IFERROR(INDEX(Références!$G$2:$G$201,MATCH($A64,Références!$A$2:$A$201,0)),""))</f>
        <v>5</v>
      </c>
      <c r="E64" s="40" t="str">
        <f>IF($A64="","",IFERROR(INDEX(Références!$H$2:$H$201,MATCH($A64,Références!$A$2:$A$201,0)),""))</f>
        <v>Important</v>
      </c>
      <c r="F64" s="40">
        <f>IF($A64="","",IFERROR(INDEX(Références!$I$2:$I$201,MATCH($A64,Références!$A$2:$A$201,0)),""))</f>
        <v>4</v>
      </c>
      <c r="G64" s="40" t="str">
        <f>IF($A64="","",IFERROR(INDEX(Références!$F$2:$F$201,MATCH($A64,Références!$A$2:$A$201,0)),""))</f>
        <v>Oui</v>
      </c>
      <c r="H64" s="40" t="str">
        <f>IF($A64="","",IFERROR(INDEX(Références!$J$2:$J$201,MATCH($A64,Références!$A$2:$A$201,0)),""))</f>
        <v>À lire</v>
      </c>
      <c r="I64" s="41" t="str">
        <f>IF($A64="","",IFERROR(IF(INDEX(Références!$AF$2:$AF$201,MATCH($A64,Références!$A$2:$A$201,0))="","",HYPERLINK(INDEX(Références!$AF$2:$AF$201,MATCH($A64,Références!$A$2:$A$201,0)),"Ouvrir")),""))</f>
        <v>Ouvrir</v>
      </c>
      <c r="J64" s="42" t="s">
        <v>1692</v>
      </c>
      <c r="K64" s="3" t="s">
        <v>1751</v>
      </c>
      <c r="L64" s="3" t="s">
        <v>2155</v>
      </c>
      <c r="M64" s="3" t="s">
        <v>2156</v>
      </c>
      <c r="N64" s="3" t="s">
        <v>2157</v>
      </c>
      <c r="O64" s="3" t="s">
        <v>2158</v>
      </c>
      <c r="P64" s="43" t="s">
        <v>2159</v>
      </c>
      <c r="Q64" s="3" t="s">
        <v>2160</v>
      </c>
      <c r="R64" s="3" t="s">
        <v>1701</v>
      </c>
      <c r="S64" s="3" t="s">
        <v>2161</v>
      </c>
      <c r="T64" s="3" t="s">
        <v>1687</v>
      </c>
      <c r="U64" s="3" t="s">
        <v>2162</v>
      </c>
      <c r="V64" s="3" t="s">
        <v>1715</v>
      </c>
      <c r="W64" s="3" t="s">
        <v>2163</v>
      </c>
      <c r="X64" s="3" t="s">
        <v>1701</v>
      </c>
    </row>
    <row r="65" spans="1:24" ht="69" customHeight="1" x14ac:dyDescent="0.25">
      <c r="A65" s="38" t="s">
        <v>1007</v>
      </c>
      <c r="B65" s="39" t="str">
        <f>IF($A65="","",IFERROR(INDEX(Références!$C$2:$C$201,MATCH($A65,Références!$A$2:$A$201,0)),""))</f>
        <v>Elseifi et al. (2006)</v>
      </c>
      <c r="C65" s="39" t="str">
        <f>IF($A65="","",IFERROR(INDEX(Références!$D$2:$D$201,MATCH($A65,Références!$A$2:$A$201,0)),""))</f>
        <v>Viscoelastic modeling and field validation of flexible pavements</v>
      </c>
      <c r="D65" s="40">
        <f>IF($A65="","",IFERROR(INDEX(Références!$G$2:$G$201,MATCH($A65,Références!$A$2:$A$201,0)),""))</f>
        <v>5</v>
      </c>
      <c r="E65" s="40" t="str">
        <f>IF($A65="","",IFERROR(INDEX(Références!$H$2:$H$201,MATCH($A65,Références!$A$2:$A$201,0)),""))</f>
        <v>Important</v>
      </c>
      <c r="F65" s="40">
        <f>IF($A65="","",IFERROR(INDEX(Références!$I$2:$I$201,MATCH($A65,Références!$A$2:$A$201,0)),""))</f>
        <v>4</v>
      </c>
      <c r="G65" s="40" t="str">
        <f>IF($A65="","",IFERROR(INDEX(Références!$F$2:$F$201,MATCH($A65,Références!$A$2:$A$201,0)),""))</f>
        <v>Non</v>
      </c>
      <c r="H65" s="40" t="str">
        <f>IF($A65="","",IFERROR(INDEX(Références!$J$2:$J$201,MATCH($A65,Références!$A$2:$A$201,0)),""))</f>
        <v>À lire</v>
      </c>
      <c r="I65" s="41" t="str">
        <f>IF($A65="","",IFERROR(IF(INDEX(Références!$AF$2:$AF$201,MATCH($A65,Références!$A$2:$A$201,0))="","",HYPERLINK(INDEX(Références!$AF$2:$AF$201,MATCH($A65,Références!$A$2:$A$201,0)),"Ouvrir")),""))</f>
        <v>Ouvrir</v>
      </c>
      <c r="J65" s="42" t="s">
        <v>1692</v>
      </c>
      <c r="K65" s="3" t="s">
        <v>1751</v>
      </c>
      <c r="L65" s="3" t="s">
        <v>2164</v>
      </c>
      <c r="M65" s="3" t="s">
        <v>2165</v>
      </c>
      <c r="N65" s="3" t="s">
        <v>2166</v>
      </c>
      <c r="O65" s="3" t="s">
        <v>2167</v>
      </c>
      <c r="P65" s="43" t="s">
        <v>2168</v>
      </c>
      <c r="Q65" s="3" t="s">
        <v>2169</v>
      </c>
      <c r="R65" s="3" t="s">
        <v>1685</v>
      </c>
      <c r="S65" s="3" t="s">
        <v>1701</v>
      </c>
      <c r="T65" s="3" t="s">
        <v>2109</v>
      </c>
      <c r="U65" s="3" t="s">
        <v>2170</v>
      </c>
      <c r="V65" s="3" t="s">
        <v>1703</v>
      </c>
      <c r="W65" s="3" t="s">
        <v>2171</v>
      </c>
      <c r="X65" s="3" t="s">
        <v>1734</v>
      </c>
    </row>
    <row r="66" spans="1:24" ht="69" customHeight="1" x14ac:dyDescent="0.25">
      <c r="A66" s="38" t="s">
        <v>1019</v>
      </c>
      <c r="B66" s="39" t="str">
        <f>IF($A66="","",IFERROR(INDEX(Références!$C$2:$C$201,MATCH($A66,Références!$A$2:$A$201,0)),""))</f>
        <v>Jiang et al. (2019)</v>
      </c>
      <c r="C66" s="39" t="str">
        <f>IF($A66="","",IFERROR(INDEX(Références!$D$2:$D$201,MATCH($A66,Références!$A$2:$A$201,0)),""))</f>
        <v>3D FEM analysis of flexible base asphalt pavement structure under non-uniform tyre contact pressure</v>
      </c>
      <c r="D66" s="40">
        <f>IF($A66="","",IFERROR(INDEX(Références!$G$2:$G$201,MATCH($A66,Références!$A$2:$A$201,0)),""))</f>
        <v>5</v>
      </c>
      <c r="E66" s="40" t="str">
        <f>IF($A66="","",IFERROR(INDEX(Références!$H$2:$H$201,MATCH($A66,Références!$A$2:$A$201,0)),""))</f>
        <v>Important</v>
      </c>
      <c r="F66" s="40">
        <f>IF($A66="","",IFERROR(INDEX(Références!$I$2:$I$201,MATCH($A66,Références!$A$2:$A$201,0)),""))</f>
        <v>4</v>
      </c>
      <c r="G66" s="40" t="str">
        <f>IF($A66="","",IFERROR(INDEX(Références!$F$2:$F$201,MATCH($A66,Références!$A$2:$A$201,0)),""))</f>
        <v>Oui</v>
      </c>
      <c r="H66" s="40" t="str">
        <f>IF($A66="","",IFERROR(INDEX(Références!$J$2:$J$201,MATCH($A66,Références!$A$2:$A$201,0)),""))</f>
        <v>À lire</v>
      </c>
      <c r="I66" s="41" t="str">
        <f>IF($A66="","",IFERROR(IF(INDEX(Références!$AF$2:$AF$201,MATCH($A66,Références!$A$2:$A$201,0))="","",HYPERLINK(INDEX(Références!$AF$2:$AF$201,MATCH($A66,Références!$A$2:$A$201,0)),"Ouvrir")),""))</f>
        <v>Ouvrir</v>
      </c>
      <c r="J66" s="42" t="s">
        <v>1692</v>
      </c>
      <c r="K66" s="3" t="s">
        <v>1751</v>
      </c>
      <c r="L66" s="3" t="s">
        <v>2172</v>
      </c>
      <c r="M66" s="3" t="s">
        <v>2173</v>
      </c>
      <c r="N66" s="3" t="s">
        <v>2174</v>
      </c>
      <c r="O66" s="3" t="s">
        <v>2175</v>
      </c>
      <c r="P66" s="43" t="s">
        <v>2176</v>
      </c>
      <c r="Q66" s="3" t="s">
        <v>2177</v>
      </c>
      <c r="R66" s="3" t="s">
        <v>1685</v>
      </c>
      <c r="S66" s="3" t="s">
        <v>2178</v>
      </c>
      <c r="T66" s="3" t="s">
        <v>1687</v>
      </c>
      <c r="U66" s="3" t="s">
        <v>2179</v>
      </c>
      <c r="V66" s="3" t="s">
        <v>1715</v>
      </c>
      <c r="W66" s="3" t="s">
        <v>2180</v>
      </c>
      <c r="X66" s="3" t="s">
        <v>1701</v>
      </c>
    </row>
    <row r="67" spans="1:24" ht="94.5" customHeight="1" x14ac:dyDescent="0.25">
      <c r="A67" s="38" t="s">
        <v>1030</v>
      </c>
      <c r="B67" s="39" t="str">
        <f>IF($A67="","",IFERROR(INDEX(Références!$C$2:$C$201,MATCH($A67,Références!$A$2:$A$201,0)),""))</f>
        <v>Perret (2003)</v>
      </c>
      <c r="C67" s="39" t="str">
        <f>IF($A67="","",IFERROR(INDEX(Références!$D$2:$D$201,MATCH($A67,Références!$A$2:$A$201,0)),""))</f>
        <v>Déformations des couches bitumineuses au passage d'une charge de trafic</v>
      </c>
      <c r="D67" s="40">
        <f>IF($A67="","",IFERROR(INDEX(Références!$G$2:$G$201,MATCH($A67,Références!$A$2:$A$201,0)),""))</f>
        <v>5</v>
      </c>
      <c r="E67" s="40" t="str">
        <f>IF($A67="","",IFERROR(INDEX(Références!$H$2:$H$201,MATCH($A67,Références!$A$2:$A$201,0)),""))</f>
        <v>Important</v>
      </c>
      <c r="F67" s="40">
        <f>IF($A67="","",IFERROR(INDEX(Références!$I$2:$I$201,MATCH($A67,Références!$A$2:$A$201,0)),""))</f>
        <v>4</v>
      </c>
      <c r="G67" s="40" t="str">
        <f>IF($A67="","",IFERROR(INDEX(Références!$F$2:$F$201,MATCH($A67,Références!$A$2:$A$201,0)),""))</f>
        <v>Oui</v>
      </c>
      <c r="H67" s="40" t="str">
        <f>IF($A67="","",IFERROR(INDEX(Références!$J$2:$J$201,MATCH($A67,Références!$A$2:$A$201,0)),""))</f>
        <v>À lire</v>
      </c>
      <c r="I67" s="41" t="str">
        <f>IF($A67="","",IFERROR(IF(INDEX(Références!$AF$2:$AF$201,MATCH($A67,Références!$A$2:$A$201,0))="","",HYPERLINK(INDEX(Références!$AF$2:$AF$201,MATCH($A67,Références!$A$2:$A$201,0)),"Ouvrir")),""))</f>
        <v>Ouvrir</v>
      </c>
      <c r="J67" s="42" t="s">
        <v>517</v>
      </c>
      <c r="K67" s="3" t="s">
        <v>2181</v>
      </c>
      <c r="L67" s="3" t="s">
        <v>2182</v>
      </c>
      <c r="M67" s="3" t="s">
        <v>2183</v>
      </c>
      <c r="N67" s="3" t="s">
        <v>2184</v>
      </c>
      <c r="O67" s="3" t="s">
        <v>2185</v>
      </c>
      <c r="P67" s="43" t="s">
        <v>2186</v>
      </c>
      <c r="Q67" s="3" t="s">
        <v>2187</v>
      </c>
      <c r="R67" s="3" t="s">
        <v>2188</v>
      </c>
      <c r="S67" s="3" t="s">
        <v>2189</v>
      </c>
      <c r="T67" s="3" t="s">
        <v>2190</v>
      </c>
      <c r="U67" s="3" t="s">
        <v>2191</v>
      </c>
      <c r="V67" s="3" t="s">
        <v>1703</v>
      </c>
      <c r="W67" s="3" t="s">
        <v>2192</v>
      </c>
      <c r="X67" s="3" t="s">
        <v>1734</v>
      </c>
    </row>
    <row r="68" spans="1:24" ht="42.75" customHeight="1" x14ac:dyDescent="0.25">
      <c r="A68" s="38" t="s">
        <v>1043</v>
      </c>
      <c r="B68" s="39" t="str">
        <f>IF($A68="","",IFERROR(INDEX(Références!$C$2:$C$201,MATCH($A68,Références!$A$2:$A$201,0)),""))</f>
        <v>Pouget (2011)</v>
      </c>
      <c r="C68" s="39" t="str">
        <f>IF($A68="","",IFERROR(INDEX(Références!$D$2:$D$201,MATCH($A68,Références!$A$2:$A$201,0)),""))</f>
        <v>Influence des propriétés élastiques ou viscoélastiques des revêtements sur le comportement des ponts à dalle orthotrope</v>
      </c>
      <c r="D68" s="40">
        <f>IF($A68="","",IFERROR(INDEX(Références!$G$2:$G$201,MATCH($A68,Références!$A$2:$A$201,0)),""))</f>
        <v>5</v>
      </c>
      <c r="E68" s="40" t="str">
        <f>IF($A68="","",IFERROR(INDEX(Références!$H$2:$H$201,MATCH($A68,Références!$A$2:$A$201,0)),""))</f>
        <v>Important</v>
      </c>
      <c r="F68" s="40">
        <f>IF($A68="","",IFERROR(INDEX(Références!$I$2:$I$201,MATCH($A68,Références!$A$2:$A$201,0)),""))</f>
        <v>4</v>
      </c>
      <c r="G68" s="40" t="str">
        <f>IF($A68="","",IFERROR(INDEX(Références!$F$2:$F$201,MATCH($A68,Références!$A$2:$A$201,0)),""))</f>
        <v>Oui</v>
      </c>
      <c r="H68" s="40" t="str">
        <f>IF($A68="","",IFERROR(INDEX(Références!$J$2:$J$201,MATCH($A68,Références!$A$2:$A$201,0)),""))</f>
        <v>À lire</v>
      </c>
      <c r="I68" s="41" t="str">
        <f>IF($A68="","",IFERROR(IF(INDEX(Références!$AF$2:$AF$201,MATCH($A68,Références!$A$2:$A$201,0))="","",HYPERLINK(INDEX(Références!$AF$2:$AF$201,MATCH($A68,Références!$A$2:$A$201,0)),"Ouvrir")),""))</f>
        <v>Ouvrir</v>
      </c>
      <c r="J68" s="42" t="s">
        <v>1716</v>
      </c>
      <c r="K68" s="3" t="s">
        <v>2193</v>
      </c>
      <c r="L68" s="3" t="s">
        <v>2194</v>
      </c>
      <c r="M68" s="3" t="s">
        <v>2195</v>
      </c>
      <c r="N68" s="3" t="s">
        <v>1701</v>
      </c>
      <c r="O68" s="3" t="s">
        <v>1720</v>
      </c>
      <c r="P68" s="43" t="s">
        <v>2196</v>
      </c>
      <c r="Q68" s="3" t="s">
        <v>2197</v>
      </c>
      <c r="R68" s="3" t="s">
        <v>1701</v>
      </c>
      <c r="S68" s="3" t="s">
        <v>1701</v>
      </c>
      <c r="T68" s="3" t="s">
        <v>2109</v>
      </c>
      <c r="U68" s="3" t="s">
        <v>2198</v>
      </c>
      <c r="V68" s="3" t="s">
        <v>1701</v>
      </c>
      <c r="W68" s="3" t="s">
        <v>2199</v>
      </c>
      <c r="X68" s="3" t="s">
        <v>1701</v>
      </c>
    </row>
    <row r="69" spans="1:24" ht="55.5" customHeight="1" x14ac:dyDescent="0.25">
      <c r="A69" s="38" t="s">
        <v>1054</v>
      </c>
      <c r="B69" s="39" t="str">
        <f>IF($A69="","",IFERROR(INDEX(Références!$C$2:$C$201,MATCH($A69,Références!$A$2:$A$201,0)),""))</f>
        <v>Roussel et al. (2019)</v>
      </c>
      <c r="C69" s="39" t="str">
        <f>IF($A69="","",IFERROR(INDEX(Références!$D$2:$D$201,MATCH($A69,Références!$A$2:$A$201,0)),""))</f>
        <v>Numerical simulation of falling/heavy weight deflectometer test considering linear viscoelastic behaviour in bituminous layers and inertia effects</v>
      </c>
      <c r="D69" s="40">
        <f>IF($A69="","",IFERROR(INDEX(Références!$G$2:$G$201,MATCH($A69,Références!$A$2:$A$201,0)),""))</f>
        <v>5</v>
      </c>
      <c r="E69" s="40" t="str">
        <f>IF($A69="","",IFERROR(INDEX(Références!$H$2:$H$201,MATCH($A69,Références!$A$2:$A$201,0)),""))</f>
        <v>Important</v>
      </c>
      <c r="F69" s="40">
        <f>IF($A69="","",IFERROR(INDEX(Références!$I$2:$I$201,MATCH($A69,Références!$A$2:$A$201,0)),""))</f>
        <v>4</v>
      </c>
      <c r="G69" s="40" t="str">
        <f>IF($A69="","",IFERROR(INDEX(Références!$F$2:$F$201,MATCH($A69,Références!$A$2:$A$201,0)),""))</f>
        <v>Non</v>
      </c>
      <c r="H69" s="40" t="str">
        <f>IF($A69="","",IFERROR(INDEX(Références!$J$2:$J$201,MATCH($A69,Références!$A$2:$A$201,0)),""))</f>
        <v>À lire</v>
      </c>
      <c r="I69" s="41" t="str">
        <f>IF($A69="","",IFERROR(IF(INDEX(Références!$AF$2:$AF$201,MATCH($A69,Références!$A$2:$A$201,0))="","",HYPERLINK(INDEX(Références!$AF$2:$AF$201,MATCH($A69,Références!$A$2:$A$201,0)),"Ouvrir")),""))</f>
        <v>Ouvrir</v>
      </c>
      <c r="J69" s="42" t="s">
        <v>1692</v>
      </c>
      <c r="K69" s="3" t="s">
        <v>1751</v>
      </c>
      <c r="L69" s="3" t="s">
        <v>2200</v>
      </c>
      <c r="M69" s="3" t="s">
        <v>2201</v>
      </c>
      <c r="N69" s="3" t="s">
        <v>2202</v>
      </c>
      <c r="O69" s="3" t="s">
        <v>2203</v>
      </c>
      <c r="P69" s="43" t="s">
        <v>2204</v>
      </c>
      <c r="Q69" s="3" t="s">
        <v>2205</v>
      </c>
      <c r="R69" s="3" t="s">
        <v>1701</v>
      </c>
      <c r="S69" s="3" t="s">
        <v>2150</v>
      </c>
      <c r="T69" s="3" t="s">
        <v>2109</v>
      </c>
      <c r="U69" s="3" t="s">
        <v>2206</v>
      </c>
      <c r="V69" s="3" t="s">
        <v>2207</v>
      </c>
      <c r="W69" s="3" t="s">
        <v>2153</v>
      </c>
      <c r="X69" s="3" t="s">
        <v>1701</v>
      </c>
    </row>
    <row r="70" spans="1:24" ht="132.75" customHeight="1" x14ac:dyDescent="0.25">
      <c r="A70" s="38" t="s">
        <v>1066</v>
      </c>
      <c r="B70" s="39" t="str">
        <f>IF($A70="","",IFERROR(INDEX(Références!$C$2:$C$201,MATCH($A70,Références!$A$2:$A$201,0)),""))</f>
        <v>Wang &amp; Al-Qadi (2009)</v>
      </c>
      <c r="C70" s="39" t="str">
        <f>IF($A70="","",IFERROR(INDEX(Références!$D$2:$D$201,MATCH($A70,Références!$A$2:$A$201,0)),""))</f>
        <v>Combined effect of moving wheel loading and three-dimensional contact stresses on perpetual pavement responses</v>
      </c>
      <c r="D70" s="40">
        <f>IF($A70="","",IFERROR(INDEX(Références!$G$2:$G$201,MATCH($A70,Références!$A$2:$A$201,0)),""))</f>
        <v>5</v>
      </c>
      <c r="E70" s="40" t="str">
        <f>IF($A70="","",IFERROR(INDEX(Références!$H$2:$H$201,MATCH($A70,Références!$A$2:$A$201,0)),""))</f>
        <v>Important</v>
      </c>
      <c r="F70" s="40">
        <f>IF($A70="","",IFERROR(INDEX(Références!$I$2:$I$201,MATCH($A70,Références!$A$2:$A$201,0)),""))</f>
        <v>4</v>
      </c>
      <c r="G70" s="40" t="str">
        <f>IF($A70="","",IFERROR(INDEX(Références!$F$2:$F$201,MATCH($A70,Références!$A$2:$A$201,0)),""))</f>
        <v>Non</v>
      </c>
      <c r="H70" s="40" t="str">
        <f>IF($A70="","",IFERROR(INDEX(Références!$J$2:$J$201,MATCH($A70,Références!$A$2:$A$201,0)),""))</f>
        <v>À lire</v>
      </c>
      <c r="I70" s="41" t="str">
        <f>IF($A70="","",IFERROR(IF(INDEX(Références!$AF$2:$AF$201,MATCH($A70,Références!$A$2:$A$201,0))="","",HYPERLINK(INDEX(Références!$AF$2:$AF$201,MATCH($A70,Références!$A$2:$A$201,0)),"Ouvrir")),""))</f>
        <v>Ouvrir</v>
      </c>
      <c r="J70" s="42" t="s">
        <v>1692</v>
      </c>
      <c r="K70" s="3" t="s">
        <v>2208</v>
      </c>
      <c r="L70" s="3" t="s">
        <v>2209</v>
      </c>
      <c r="M70" s="3" t="s">
        <v>2210</v>
      </c>
      <c r="N70" s="3" t="s">
        <v>2211</v>
      </c>
      <c r="O70" s="3" t="s">
        <v>2212</v>
      </c>
      <c r="P70" s="43" t="s">
        <v>2213</v>
      </c>
      <c r="Q70" s="3" t="s">
        <v>2214</v>
      </c>
      <c r="R70" s="3" t="s">
        <v>2215</v>
      </c>
      <c r="S70" s="3" t="s">
        <v>2216</v>
      </c>
      <c r="T70" s="3" t="s">
        <v>2109</v>
      </c>
      <c r="U70" s="3" t="s">
        <v>2217</v>
      </c>
      <c r="V70" s="3" t="s">
        <v>1703</v>
      </c>
      <c r="W70" s="3" t="s">
        <v>1824</v>
      </c>
      <c r="X70" s="3" t="s">
        <v>1701</v>
      </c>
    </row>
    <row r="71" spans="1:24" ht="94.5" customHeight="1" x14ac:dyDescent="0.25">
      <c r="A71" s="38" t="s">
        <v>1079</v>
      </c>
      <c r="B71" s="39" t="str">
        <f>IF($A71="","",IFERROR(INDEX(Références!$C$2:$C$201,MATCH($A71,Références!$A$2:$A$201,0)),""))</f>
        <v>Wu et al. (2020)</v>
      </c>
      <c r="C71" s="39" t="str">
        <f>IF($A71="","",IFERROR(INDEX(Références!$D$2:$D$201,MATCH($A71,Références!$A$2:$A$201,0)),""))</f>
        <v>Prediction of viscoelastic pavement responses under moving load and nonuniform tire contact stresses using 2.5-D finite element method</v>
      </c>
      <c r="D71" s="40">
        <f>IF($A71="","",IFERROR(INDEX(Références!$G$2:$G$201,MATCH($A71,Références!$A$2:$A$201,0)),""))</f>
        <v>5</v>
      </c>
      <c r="E71" s="40" t="str">
        <f>IF($A71="","",IFERROR(INDEX(Références!$H$2:$H$201,MATCH($A71,Références!$A$2:$A$201,0)),""))</f>
        <v>Important</v>
      </c>
      <c r="F71" s="40">
        <f>IF($A71="","",IFERROR(INDEX(Références!$I$2:$I$201,MATCH($A71,Références!$A$2:$A$201,0)),""))</f>
        <v>4</v>
      </c>
      <c r="G71" s="40" t="str">
        <f>IF($A71="","",IFERROR(INDEX(Références!$F$2:$F$201,MATCH($A71,Références!$A$2:$A$201,0)),""))</f>
        <v>Non</v>
      </c>
      <c r="H71" s="40" t="str">
        <f>IF($A71="","",IFERROR(INDEX(Références!$J$2:$J$201,MATCH($A71,Références!$A$2:$A$201,0)),""))</f>
        <v>À lire</v>
      </c>
      <c r="I71" s="41" t="str">
        <f>IF($A71="","",IFERROR(IF(INDEX(Références!$AF$2:$AF$201,MATCH($A71,Références!$A$2:$A$201,0))="","",HYPERLINK(INDEX(Références!$AF$2:$AF$201,MATCH($A71,Références!$A$2:$A$201,0)),"Ouvrir")),""))</f>
        <v>Ouvrir</v>
      </c>
      <c r="J71" s="42" t="s">
        <v>1692</v>
      </c>
      <c r="K71" s="3" t="s">
        <v>2218</v>
      </c>
      <c r="L71" s="3" t="s">
        <v>2219</v>
      </c>
      <c r="M71" s="3" t="s">
        <v>2220</v>
      </c>
      <c r="N71" s="3" t="s">
        <v>2221</v>
      </c>
      <c r="O71" s="3" t="s">
        <v>2222</v>
      </c>
      <c r="P71" s="43" t="s">
        <v>2223</v>
      </c>
      <c r="Q71" s="3" t="s">
        <v>2224</v>
      </c>
      <c r="R71" s="3" t="s">
        <v>1685</v>
      </c>
      <c r="S71" s="3" t="s">
        <v>2225</v>
      </c>
      <c r="T71" s="3" t="s">
        <v>2109</v>
      </c>
      <c r="U71" s="3" t="s">
        <v>2226</v>
      </c>
      <c r="V71" s="3" t="s">
        <v>1703</v>
      </c>
      <c r="W71" s="3" t="s">
        <v>2227</v>
      </c>
      <c r="X71" s="3" t="s">
        <v>2228</v>
      </c>
    </row>
    <row r="72" spans="1:24" ht="81.75" customHeight="1" x14ac:dyDescent="0.25">
      <c r="A72" s="38" t="s">
        <v>1093</v>
      </c>
      <c r="B72" s="39" t="str">
        <f>IF($A72="","",IFERROR(INDEX(Références!$C$2:$C$201,MATCH($A72,Références!$A$2:$A$201,0)),""))</f>
        <v>Yoo et al. (2006)</v>
      </c>
      <c r="C72" s="39" t="str">
        <f>IF($A72="","",IFERROR(INDEX(Références!$D$2:$D$201,MATCH($A72,Références!$A$2:$A$201,0)),""))</f>
        <v>Flexible pavement responses to different loading amplitudes considering layer interface condition and lateral shear forces</v>
      </c>
      <c r="D72" s="40">
        <f>IF($A72="","",IFERROR(INDEX(Références!$G$2:$G$201,MATCH($A72,Références!$A$2:$A$201,0)),""))</f>
        <v>5</v>
      </c>
      <c r="E72" s="40" t="str">
        <f>IF($A72="","",IFERROR(INDEX(Références!$H$2:$H$201,MATCH($A72,Références!$A$2:$A$201,0)),""))</f>
        <v>Important</v>
      </c>
      <c r="F72" s="40">
        <f>IF($A72="","",IFERROR(INDEX(Références!$I$2:$I$201,MATCH($A72,Références!$A$2:$A$201,0)),""))</f>
        <v>4</v>
      </c>
      <c r="G72" s="40" t="str">
        <f>IF($A72="","",IFERROR(INDEX(Références!$F$2:$F$201,MATCH($A72,Références!$A$2:$A$201,0)),""))</f>
        <v>Non</v>
      </c>
      <c r="H72" s="40" t="str">
        <f>IF($A72="","",IFERROR(INDEX(Références!$J$2:$J$201,MATCH($A72,Références!$A$2:$A$201,0)),""))</f>
        <v>À lire</v>
      </c>
      <c r="I72" s="41" t="str">
        <f>IF($A72="","",IFERROR(IF(INDEX(Références!$AF$2:$AF$201,MATCH($A72,Références!$A$2:$A$201,0))="","",HYPERLINK(INDEX(Références!$AF$2:$AF$201,MATCH($A72,Références!$A$2:$A$201,0)),"Ouvrir")),""))</f>
        <v>Ouvrir</v>
      </c>
      <c r="J72" s="42" t="s">
        <v>1692</v>
      </c>
      <c r="K72" s="3" t="s">
        <v>1751</v>
      </c>
      <c r="L72" s="3" t="s">
        <v>2229</v>
      </c>
      <c r="M72" s="3" t="s">
        <v>2230</v>
      </c>
      <c r="N72" s="3" t="s">
        <v>2231</v>
      </c>
      <c r="O72" s="3" t="s">
        <v>2232</v>
      </c>
      <c r="P72" s="43" t="s">
        <v>2233</v>
      </c>
      <c r="Q72" s="3" t="s">
        <v>2234</v>
      </c>
      <c r="R72" s="3" t="s">
        <v>2235</v>
      </c>
      <c r="S72" s="3" t="s">
        <v>2236</v>
      </c>
      <c r="T72" s="3" t="s">
        <v>2109</v>
      </c>
      <c r="U72" s="3" t="s">
        <v>2170</v>
      </c>
      <c r="V72" s="3" t="s">
        <v>1703</v>
      </c>
      <c r="W72" s="3" t="s">
        <v>2237</v>
      </c>
      <c r="X72" s="3" t="s">
        <v>1734</v>
      </c>
    </row>
    <row r="73" spans="1:24" ht="55.5" customHeight="1" x14ac:dyDescent="0.25">
      <c r="A73" s="38" t="s">
        <v>1161</v>
      </c>
      <c r="B73" s="39" t="str">
        <f>IF($A73="","",IFERROR(INDEX(Références!$C$2:$C$201,MATCH($A73,Références!$A$2:$A$201,0)),""))</f>
        <v>Cho et al. (1996)</v>
      </c>
      <c r="C73" s="39" t="str">
        <f>IF($A73="","",IFERROR(INDEX(Références!$D$2:$D$201,MATCH($A73,Références!$A$2:$A$201,0)),""))</f>
        <v>Considerations on finite-element method application in pavement structural analysis</v>
      </c>
      <c r="D73" s="40">
        <f>IF($A73="","",IFERROR(INDEX(Références!$G$2:$G$201,MATCH($A73,Références!$A$2:$A$201,0)),""))</f>
        <v>5</v>
      </c>
      <c r="E73" s="40" t="str">
        <f>IF($A73="","",IFERROR(INDEX(Références!$H$2:$H$201,MATCH($A73,Références!$A$2:$A$201,0)),""))</f>
        <v>A consulter</v>
      </c>
      <c r="F73" s="40">
        <f>IF($A73="","",IFERROR(INDEX(Références!$I$2:$I$201,MATCH($A73,Références!$A$2:$A$201,0)),""))</f>
        <v>4</v>
      </c>
      <c r="G73" s="40" t="str">
        <f>IF($A73="","",IFERROR(INDEX(Références!$F$2:$F$201,MATCH($A73,Références!$A$2:$A$201,0)),""))</f>
        <v>Non</v>
      </c>
      <c r="H73" s="40" t="str">
        <f>IF($A73="","",IFERROR(INDEX(Références!$J$2:$J$201,MATCH($A73,Références!$A$2:$A$201,0)),""))</f>
        <v>À lire</v>
      </c>
      <c r="I73" s="41" t="str">
        <f>IF($A73="","",IFERROR(IF(INDEX(Références!$AF$2:$AF$201,MATCH($A73,Références!$A$2:$A$201,0))="","",HYPERLINK(INDEX(Références!$AF$2:$AF$201,MATCH($A73,Références!$A$2:$A$201,0)),"Ouvrir")),""))</f>
        <v>Ouvrir</v>
      </c>
      <c r="J73" s="42" t="s">
        <v>1692</v>
      </c>
      <c r="K73" s="3" t="s">
        <v>1751</v>
      </c>
      <c r="L73" s="3" t="s">
        <v>2238</v>
      </c>
      <c r="M73" s="3" t="s">
        <v>2239</v>
      </c>
      <c r="N73" s="3" t="s">
        <v>2240</v>
      </c>
      <c r="O73" s="3" t="s">
        <v>2241</v>
      </c>
      <c r="P73" s="43" t="s">
        <v>2242</v>
      </c>
      <c r="Q73" s="3" t="s">
        <v>2243</v>
      </c>
      <c r="R73" s="3" t="s">
        <v>1701</v>
      </c>
      <c r="S73" s="3" t="s">
        <v>2244</v>
      </c>
      <c r="T73" s="3" t="s">
        <v>1687</v>
      </c>
      <c r="U73" s="3" t="s">
        <v>2245</v>
      </c>
      <c r="V73" s="3" t="s">
        <v>1715</v>
      </c>
      <c r="W73" s="3" t="s">
        <v>1666</v>
      </c>
      <c r="X73" s="3" t="s">
        <v>2246</v>
      </c>
    </row>
    <row r="74" spans="1:24" ht="69" customHeight="1" x14ac:dyDescent="0.25">
      <c r="A74" s="38" t="s">
        <v>1172</v>
      </c>
      <c r="B74" s="39" t="str">
        <f>IF($A74="","",IFERROR(INDEX(Références!$C$2:$C$201,MATCH($A74,Références!$A$2:$A$201,0)),""))</f>
        <v>Pouget et al. (2012)</v>
      </c>
      <c r="C74" s="39" t="str">
        <f>IF($A74="","",IFERROR(INDEX(Références!$D$2:$D$201,MATCH($A74,Références!$A$2:$A$201,0)),""))</f>
        <v>Modeling of viscous bituminous wearing course materials on orthotropic steel deck</v>
      </c>
      <c r="D74" s="40">
        <f>IF($A74="","",IFERROR(INDEX(Références!$G$2:$G$201,MATCH($A74,Références!$A$2:$A$201,0)),""))</f>
        <v>5</v>
      </c>
      <c r="E74" s="40" t="str">
        <f>IF($A74="","",IFERROR(INDEX(Références!$H$2:$H$201,MATCH($A74,Références!$A$2:$A$201,0)),""))</f>
        <v>A consulter</v>
      </c>
      <c r="F74" s="40">
        <f>IF($A74="","",IFERROR(INDEX(Références!$I$2:$I$201,MATCH($A74,Références!$A$2:$A$201,0)),""))</f>
        <v>4</v>
      </c>
      <c r="G74" s="40" t="str">
        <f>IF($A74="","",IFERROR(INDEX(Références!$F$2:$F$201,MATCH($A74,Références!$A$2:$A$201,0)),""))</f>
        <v>Non</v>
      </c>
      <c r="H74" s="40" t="str">
        <f>IF($A74="","",IFERROR(INDEX(Références!$J$2:$J$201,MATCH($A74,Références!$A$2:$A$201,0)),""))</f>
        <v>À lire</v>
      </c>
      <c r="I74" s="41" t="str">
        <f>IF($A74="","",IFERROR(IF(INDEX(Références!$AF$2:$AF$201,MATCH($A74,Références!$A$2:$A$201,0))="","",HYPERLINK(INDEX(Références!$AF$2:$AF$201,MATCH($A74,Références!$A$2:$A$201,0)),"Ouvrir")),""))</f>
        <v>Ouvrir</v>
      </c>
      <c r="J74" s="42" t="s">
        <v>517</v>
      </c>
      <c r="K74" s="3" t="s">
        <v>2247</v>
      </c>
      <c r="L74" s="3" t="s">
        <v>2248</v>
      </c>
      <c r="M74" s="3" t="s">
        <v>2249</v>
      </c>
      <c r="N74" s="3" t="s">
        <v>2250</v>
      </c>
      <c r="O74" s="3" t="s">
        <v>2251</v>
      </c>
      <c r="P74" s="43" t="s">
        <v>2252</v>
      </c>
      <c r="Q74" s="3" t="s">
        <v>2253</v>
      </c>
      <c r="R74" s="3" t="s">
        <v>1701</v>
      </c>
      <c r="S74" s="3" t="s">
        <v>1701</v>
      </c>
      <c r="T74" s="3" t="s">
        <v>2254</v>
      </c>
      <c r="U74" s="3" t="s">
        <v>2198</v>
      </c>
      <c r="V74" s="3" t="s">
        <v>2255</v>
      </c>
      <c r="W74" s="3" t="s">
        <v>2199</v>
      </c>
      <c r="X74" s="3" t="s">
        <v>2256</v>
      </c>
    </row>
    <row r="75" spans="1:24" ht="42.75" customHeight="1" x14ac:dyDescent="0.25">
      <c r="A75" s="38" t="s">
        <v>1220</v>
      </c>
      <c r="B75" s="39" t="str">
        <f>IF($A75="","",IFERROR(INDEX(Références!$C$2:$C$201,MATCH($A75,Références!$A$2:$A$201,0)),""))</f>
        <v>Boussinesq (1885)</v>
      </c>
      <c r="C75" s="39" t="str">
        <f>IF($A75="","",IFERROR(INDEX(Références!$D$2:$D$201,MATCH($A75,Références!$A$2:$A$201,0)),""))</f>
        <v>Application des potentiels à l'étude de l'équilibre et du mouvement des solides élastiques</v>
      </c>
      <c r="D75" s="40">
        <f>IF($A75="","",IFERROR(INDEX(Références!$G$2:$G$201,MATCH($A75,Références!$A$2:$A$201,0)),""))</f>
        <v>5</v>
      </c>
      <c r="E75" s="40" t="str">
        <f>IF($A75="","",IFERROR(INDEX(Références!$H$2:$H$201,MATCH($A75,Références!$A$2:$A$201,0)),""))</f>
        <v>INCONTOURNABLE</v>
      </c>
      <c r="F75" s="40">
        <f>IF($A75="","",IFERROR(INDEX(Références!$I$2:$I$201,MATCH($A75,Références!$A$2:$A$201,0)),""))</f>
        <v>5</v>
      </c>
      <c r="G75" s="40" t="str">
        <f>IF($A75="","",IFERROR(INDEX(Références!$F$2:$F$201,MATCH($A75,Références!$A$2:$A$201,0)),""))</f>
        <v>Oui</v>
      </c>
      <c r="H75" s="40" t="str">
        <f>IF($A75="","",IFERROR(INDEX(Références!$J$2:$J$201,MATCH($A75,Références!$A$2:$A$201,0)),""))</f>
        <v>À lire</v>
      </c>
      <c r="I75" s="41" t="str">
        <f>IF($A75="","",IFERROR(IF(INDEX(Références!$AF$2:$AF$201,MATCH($A75,Références!$A$2:$A$201,0))="","",HYPERLINK(INDEX(Références!$AF$2:$AF$201,MATCH($A75,Références!$A$2:$A$201,0)),"Ouvrir")),""))</f>
        <v>Ouvrir</v>
      </c>
      <c r="J75" s="42" t="s">
        <v>1716</v>
      </c>
      <c r="K75" s="3" t="s">
        <v>2257</v>
      </c>
      <c r="L75" s="3" t="s">
        <v>2258</v>
      </c>
      <c r="M75" s="3" t="s">
        <v>1701</v>
      </c>
      <c r="N75" s="3" t="s">
        <v>1701</v>
      </c>
      <c r="O75" s="3" t="s">
        <v>1720</v>
      </c>
      <c r="P75" s="43" t="s">
        <v>2259</v>
      </c>
      <c r="Q75" s="3" t="s">
        <v>2260</v>
      </c>
      <c r="R75" s="3" t="s">
        <v>1701</v>
      </c>
      <c r="S75" s="3" t="s">
        <v>1701</v>
      </c>
      <c r="T75" s="3" t="s">
        <v>1687</v>
      </c>
      <c r="U75" s="3" t="s">
        <v>2261</v>
      </c>
      <c r="V75" s="3" t="s">
        <v>1715</v>
      </c>
      <c r="W75" s="3" t="s">
        <v>2262</v>
      </c>
      <c r="X75" s="3" t="s">
        <v>1701</v>
      </c>
    </row>
    <row r="76" spans="1:24" ht="69" customHeight="1" x14ac:dyDescent="0.25">
      <c r="A76" s="38" t="s">
        <v>1232</v>
      </c>
      <c r="B76" s="39" t="str">
        <f>IF($A76="","",IFERROR(INDEX(Références!$C$2:$C$201,MATCH($A76,Références!$A$2:$A$201,0)),""))</f>
        <v>Cardoso da Silva et al. (2025)</v>
      </c>
      <c r="C76" s="39" t="str">
        <f>IF($A76="","",IFERROR(INDEX(Références!$D$2:$D$201,MATCH($A76,Références!$A$2:$A$201,0)),""))</f>
        <v>Semi-analytical modelling of realistic tire-pavement contact: an analysis of pavement surface cracking damage under critical driving conditions</v>
      </c>
      <c r="D76" s="40">
        <f>IF($A76="","",IFERROR(INDEX(Références!$G$2:$G$201,MATCH($A76,Références!$A$2:$A$201,0)),""))</f>
        <v>5</v>
      </c>
      <c r="E76" s="40" t="str">
        <f>IF($A76="","",IFERROR(INDEX(Références!$H$2:$H$201,MATCH($A76,Références!$A$2:$A$201,0)),""))</f>
        <v>INCONTOURNABLE</v>
      </c>
      <c r="F76" s="40">
        <f>IF($A76="","",IFERROR(INDEX(Références!$I$2:$I$201,MATCH($A76,Références!$A$2:$A$201,0)),""))</f>
        <v>5</v>
      </c>
      <c r="G76" s="40" t="str">
        <f>IF($A76="","",IFERROR(INDEX(Références!$F$2:$F$201,MATCH($A76,Références!$A$2:$A$201,0)),""))</f>
        <v>Oui</v>
      </c>
      <c r="H76" s="40" t="str">
        <f>IF($A76="","",IFERROR(INDEX(Références!$J$2:$J$201,MATCH($A76,Références!$A$2:$A$201,0)),""))</f>
        <v>À lire</v>
      </c>
      <c r="I76" s="41" t="str">
        <f>IF($A76="","",IFERROR(IF(INDEX(Références!$AF$2:$AF$201,MATCH($A76,Références!$A$2:$A$201,0))="","",HYPERLINK(INDEX(Références!$AF$2:$AF$201,MATCH($A76,Références!$A$2:$A$201,0)),"Ouvrir")),""))</f>
        <v>Ouvrir</v>
      </c>
      <c r="J76" s="42" t="s">
        <v>1692</v>
      </c>
      <c r="K76" s="3" t="s">
        <v>1751</v>
      </c>
      <c r="L76" s="3" t="s">
        <v>2263</v>
      </c>
      <c r="M76" s="3" t="s">
        <v>2264</v>
      </c>
      <c r="N76" s="3" t="s">
        <v>2265</v>
      </c>
      <c r="O76" s="3" t="s">
        <v>2266</v>
      </c>
      <c r="P76" s="43" t="s">
        <v>2267</v>
      </c>
      <c r="Q76" s="3" t="s">
        <v>2268</v>
      </c>
      <c r="R76" s="3" t="s">
        <v>2269</v>
      </c>
      <c r="S76" s="3" t="s">
        <v>1847</v>
      </c>
      <c r="T76" s="3" t="s">
        <v>1687</v>
      </c>
      <c r="U76" s="3" t="s">
        <v>2270</v>
      </c>
      <c r="V76" s="3" t="s">
        <v>2271</v>
      </c>
      <c r="W76" s="3" t="s">
        <v>2272</v>
      </c>
      <c r="X76" s="3" t="s">
        <v>1701</v>
      </c>
    </row>
    <row r="77" spans="1:24" ht="69" customHeight="1" x14ac:dyDescent="0.25">
      <c r="A77" s="38" t="s">
        <v>1245</v>
      </c>
      <c r="B77" s="39" t="str">
        <f>IF($A77="","",IFERROR(INDEX(Références!$C$2:$C$201,MATCH($A77,Références!$A$2:$A$201,0)),""))</f>
        <v>Chabot et al. (2010)</v>
      </c>
      <c r="C77" s="39" t="str">
        <f>IF($A77="","",IFERROR(INDEX(Références!$D$2:$D$201,MATCH($A77,Références!$A$2:$A$201,0)),""))</f>
        <v>ViscoRoute 2.0: A tool for the simulation of moving load effects on asphalt pavement</v>
      </c>
      <c r="D77" s="40">
        <f>IF($A77="","",IFERROR(INDEX(Références!$G$2:$G$201,MATCH($A77,Références!$A$2:$A$201,0)),""))</f>
        <v>5</v>
      </c>
      <c r="E77" s="40" t="str">
        <f>IF($A77="","",IFERROR(INDEX(Références!$H$2:$H$201,MATCH($A77,Références!$A$2:$A$201,0)),""))</f>
        <v>INCONTOURNABLE</v>
      </c>
      <c r="F77" s="40">
        <f>IF($A77="","",IFERROR(INDEX(Références!$I$2:$I$201,MATCH($A77,Références!$A$2:$A$201,0)),""))</f>
        <v>5</v>
      </c>
      <c r="G77" s="40" t="str">
        <f>IF($A77="","",IFERROR(INDEX(Références!$F$2:$F$201,MATCH($A77,Références!$A$2:$A$201,0)),""))</f>
        <v>Non</v>
      </c>
      <c r="H77" s="40" t="str">
        <f>IF($A77="","",IFERROR(INDEX(Références!$J$2:$J$201,MATCH($A77,Références!$A$2:$A$201,0)),""))</f>
        <v>À lire</v>
      </c>
      <c r="I77" s="41" t="str">
        <f>IF($A77="","",IFERROR(IF(INDEX(Références!$AF$2:$AF$201,MATCH($A77,Références!$A$2:$A$201,0))="","",HYPERLINK(INDEX(Références!$AF$2:$AF$201,MATCH($A77,Références!$A$2:$A$201,0)),"Ouvrir")),""))</f>
        <v>Ouvrir</v>
      </c>
      <c r="J77" s="42" t="s">
        <v>1692</v>
      </c>
      <c r="K77" s="3" t="s">
        <v>1751</v>
      </c>
      <c r="L77" s="3" t="s">
        <v>2273</v>
      </c>
      <c r="M77" s="3" t="s">
        <v>2274</v>
      </c>
      <c r="N77" s="3" t="s">
        <v>2275</v>
      </c>
      <c r="O77" s="3" t="s">
        <v>2276</v>
      </c>
      <c r="P77" s="43" t="s">
        <v>2277</v>
      </c>
      <c r="Q77" s="3" t="s">
        <v>2278</v>
      </c>
      <c r="R77" s="3" t="s">
        <v>2279</v>
      </c>
      <c r="S77" s="3" t="s">
        <v>2280</v>
      </c>
      <c r="T77" s="3" t="s">
        <v>2004</v>
      </c>
      <c r="U77" s="3" t="s">
        <v>2281</v>
      </c>
      <c r="V77" s="3" t="s">
        <v>1703</v>
      </c>
      <c r="W77" s="3" t="s">
        <v>1761</v>
      </c>
      <c r="X77" s="3" t="s">
        <v>2282</v>
      </c>
    </row>
    <row r="78" spans="1:24" ht="42.75" customHeight="1" x14ac:dyDescent="0.25">
      <c r="A78" s="38" t="s">
        <v>1257</v>
      </c>
      <c r="B78" s="39" t="str">
        <f>IF($A78="","",IFERROR(INDEX(Références!$C$2:$C$201,MATCH($A78,Références!$A$2:$A$201,0)),""))</f>
        <v>Liu et al. (2000)</v>
      </c>
      <c r="C78" s="39" t="str">
        <f>IF($A78="","",IFERROR(INDEX(Références!$D$2:$D$201,MATCH($A78,Références!$A$2:$A$201,0)),""))</f>
        <v>A versatile method of discrete convolution and FFT (DC-FFT) for contact analyses</v>
      </c>
      <c r="D78" s="40">
        <f>IF($A78="","",IFERROR(INDEX(Références!$G$2:$G$201,MATCH($A78,Références!$A$2:$A$201,0)),""))</f>
        <v>5</v>
      </c>
      <c r="E78" s="40" t="str">
        <f>IF($A78="","",IFERROR(INDEX(Références!$H$2:$H$201,MATCH($A78,Références!$A$2:$A$201,0)),""))</f>
        <v>INCONTOURNABLE</v>
      </c>
      <c r="F78" s="40">
        <f>IF($A78="","",IFERROR(INDEX(Références!$I$2:$I$201,MATCH($A78,Références!$A$2:$A$201,0)),""))</f>
        <v>5</v>
      </c>
      <c r="G78" s="40" t="str">
        <f>IF($A78="","",IFERROR(INDEX(Références!$F$2:$F$201,MATCH($A78,Références!$A$2:$A$201,0)),""))</f>
        <v>Non</v>
      </c>
      <c r="H78" s="40" t="str">
        <f>IF($A78="","",IFERROR(INDEX(Références!$J$2:$J$201,MATCH($A78,Références!$A$2:$A$201,0)),""))</f>
        <v>À lire</v>
      </c>
      <c r="I78" s="41" t="str">
        <f>IF($A78="","",IFERROR(IF(INDEX(Références!$AF$2:$AF$201,MATCH($A78,Références!$A$2:$A$201,0))="","",HYPERLINK(INDEX(Références!$AF$2:$AF$201,MATCH($A78,Références!$A$2:$A$201,0)),"Ouvrir")),""))</f>
        <v>Ouvrir</v>
      </c>
      <c r="J78" s="42" t="s">
        <v>1692</v>
      </c>
      <c r="K78" s="3" t="s">
        <v>1693</v>
      </c>
      <c r="L78" s="3" t="s">
        <v>2283</v>
      </c>
      <c r="M78" s="3" t="s">
        <v>2284</v>
      </c>
      <c r="N78" s="3" t="s">
        <v>2285</v>
      </c>
      <c r="O78" s="3" t="s">
        <v>2286</v>
      </c>
      <c r="P78" s="43" t="s">
        <v>2287</v>
      </c>
      <c r="Q78" s="3" t="s">
        <v>2288</v>
      </c>
      <c r="R78" s="3" t="s">
        <v>1701</v>
      </c>
      <c r="S78" s="3" t="s">
        <v>2289</v>
      </c>
      <c r="T78" s="3" t="s">
        <v>1687</v>
      </c>
      <c r="U78" s="3" t="s">
        <v>2290</v>
      </c>
      <c r="V78" s="3" t="s">
        <v>1715</v>
      </c>
      <c r="W78" s="3" t="s">
        <v>2291</v>
      </c>
      <c r="X78" s="3" t="s">
        <v>2292</v>
      </c>
    </row>
    <row r="79" spans="1:24" ht="42.75" customHeight="1" x14ac:dyDescent="0.25">
      <c r="A79" s="38" t="s">
        <v>1270</v>
      </c>
      <c r="B79" s="39" t="str">
        <f>IF($A79="","",IFERROR(INDEX(Références!$C$2:$C$201,MATCH($A79,Références!$A$2:$A$201,0)),""))</f>
        <v>Al-Khoury et al. (2001)</v>
      </c>
      <c r="C79" s="39" t="str">
        <f>IF($A79="","",IFERROR(INDEX(Références!$D$2:$D$201,MATCH($A79,Références!$A$2:$A$201,0)),""))</f>
        <v>Spectral element technique for efficient parameter identification of layered media. I. Forward calculation</v>
      </c>
      <c r="D79" s="40">
        <f>IF($A79="","",IFERROR(INDEX(Références!$G$2:$G$201,MATCH($A79,Références!$A$2:$A$201,0)),""))</f>
        <v>5</v>
      </c>
      <c r="E79" s="40" t="str">
        <f>IF($A79="","",IFERROR(INDEX(Références!$H$2:$H$201,MATCH($A79,Références!$A$2:$A$201,0)),""))</f>
        <v>Important</v>
      </c>
      <c r="F79" s="40">
        <f>IF($A79="","",IFERROR(INDEX(Références!$I$2:$I$201,MATCH($A79,Références!$A$2:$A$201,0)),""))</f>
        <v>5</v>
      </c>
      <c r="G79" s="40" t="str">
        <f>IF($A79="","",IFERROR(INDEX(Références!$F$2:$F$201,MATCH($A79,Références!$A$2:$A$201,0)),""))</f>
        <v>Non</v>
      </c>
      <c r="H79" s="40" t="str">
        <f>IF($A79="","",IFERROR(INDEX(Références!$J$2:$J$201,MATCH($A79,Références!$A$2:$A$201,0)),""))</f>
        <v>À lire</v>
      </c>
      <c r="I79" s="41" t="str">
        <f>IF($A79="","",IFERROR(IF(INDEX(Références!$AF$2:$AF$201,MATCH($A79,Références!$A$2:$A$201,0))="","",HYPERLINK(INDEX(Références!$AF$2:$AF$201,MATCH($A79,Références!$A$2:$A$201,0)),"Ouvrir")),""))</f>
        <v>Ouvrir</v>
      </c>
      <c r="J79" s="42" t="s">
        <v>1692</v>
      </c>
      <c r="K79" s="3" t="s">
        <v>1693</v>
      </c>
      <c r="L79" s="3" t="s">
        <v>2293</v>
      </c>
      <c r="M79" s="3" t="s">
        <v>2294</v>
      </c>
      <c r="N79" s="3" t="s">
        <v>2295</v>
      </c>
      <c r="O79" s="3" t="s">
        <v>2296</v>
      </c>
      <c r="P79" s="43" t="s">
        <v>2297</v>
      </c>
      <c r="Q79" s="3" t="s">
        <v>2298</v>
      </c>
      <c r="R79" s="3" t="s">
        <v>1701</v>
      </c>
      <c r="S79" s="3" t="s">
        <v>2161</v>
      </c>
      <c r="T79" s="3" t="s">
        <v>2299</v>
      </c>
      <c r="U79" s="3" t="s">
        <v>2300</v>
      </c>
      <c r="V79" s="3" t="s">
        <v>2207</v>
      </c>
      <c r="W79" s="3" t="s">
        <v>2153</v>
      </c>
      <c r="X79" s="3" t="s">
        <v>1701</v>
      </c>
    </row>
    <row r="80" spans="1:24" ht="69" customHeight="1" x14ac:dyDescent="0.25">
      <c r="A80" s="38" t="s">
        <v>1281</v>
      </c>
      <c r="B80" s="39" t="str">
        <f>IF($A80="","",IFERROR(INDEX(Références!$C$2:$C$201,MATCH($A80,Références!$A$2:$A$201,0)),""))</f>
        <v>Hopman (1996)</v>
      </c>
      <c r="C80" s="39" t="str">
        <f>IF($A80="","",IFERROR(INDEX(Références!$D$2:$D$201,MATCH($A80,Références!$A$2:$A$201,0)),""))</f>
        <v>VEROAD: A viscoelastic multilayer computer program</v>
      </c>
      <c r="D80" s="40">
        <f>IF($A80="","",IFERROR(INDEX(Références!$G$2:$G$201,MATCH($A80,Références!$A$2:$A$201,0)),""))</f>
        <v>5</v>
      </c>
      <c r="E80" s="40" t="str">
        <f>IF($A80="","",IFERROR(INDEX(Références!$H$2:$H$201,MATCH($A80,Références!$A$2:$A$201,0)),""))</f>
        <v>Important</v>
      </c>
      <c r="F80" s="40">
        <f>IF($A80="","",IFERROR(INDEX(Références!$I$2:$I$201,MATCH($A80,Références!$A$2:$A$201,0)),""))</f>
        <v>5</v>
      </c>
      <c r="G80" s="40" t="str">
        <f>IF($A80="","",IFERROR(INDEX(Références!$F$2:$F$201,MATCH($A80,Références!$A$2:$A$201,0)),""))</f>
        <v>Non</v>
      </c>
      <c r="H80" s="40" t="str">
        <f>IF($A80="","",IFERROR(INDEX(Références!$J$2:$J$201,MATCH($A80,Références!$A$2:$A$201,0)),""))</f>
        <v>À lire</v>
      </c>
      <c r="I80" s="41" t="str">
        <f>IF($A80="","",IFERROR(IF(INDEX(Références!$AF$2:$AF$201,MATCH($A80,Références!$A$2:$A$201,0))="","",HYPERLINK(INDEX(Références!$AF$2:$AF$201,MATCH($A80,Références!$A$2:$A$201,0)),"Ouvrir")),""))</f>
        <v>Ouvrir</v>
      </c>
      <c r="J80" s="42" t="s">
        <v>1692</v>
      </c>
      <c r="K80" s="3" t="s">
        <v>1751</v>
      </c>
      <c r="L80" s="3" t="s">
        <v>2301</v>
      </c>
      <c r="M80" s="3" t="s">
        <v>2302</v>
      </c>
      <c r="N80" s="3" t="s">
        <v>2303</v>
      </c>
      <c r="O80" s="3" t="s">
        <v>2304</v>
      </c>
      <c r="P80" s="43" t="s">
        <v>2305</v>
      </c>
      <c r="Q80" s="3" t="s">
        <v>2306</v>
      </c>
      <c r="R80" s="3" t="s">
        <v>1701</v>
      </c>
      <c r="S80" s="3" t="s">
        <v>2072</v>
      </c>
      <c r="T80" s="3" t="s">
        <v>2307</v>
      </c>
      <c r="U80" s="3" t="s">
        <v>2308</v>
      </c>
      <c r="V80" s="3" t="s">
        <v>1703</v>
      </c>
      <c r="W80" s="3" t="s">
        <v>2075</v>
      </c>
      <c r="X80" s="3" t="s">
        <v>1701</v>
      </c>
    </row>
    <row r="81" spans="1:24" ht="69" customHeight="1" x14ac:dyDescent="0.25">
      <c r="A81" s="38" t="s">
        <v>1291</v>
      </c>
      <c r="B81" s="39" t="str">
        <f>IF($A81="","",IFERROR(INDEX(Références!$C$2:$C$201,MATCH($A81,Références!$A$2:$A$201,0)),""))</f>
        <v>Jacq et al. (2002)</v>
      </c>
      <c r="C81" s="39" t="str">
        <f>IF($A81="","",IFERROR(INDEX(Références!$D$2:$D$201,MATCH($A81,Références!$A$2:$A$201,0)),""))</f>
        <v>Development of a three-dimensional semi-analytical elastic-plastic contact code</v>
      </c>
      <c r="D81" s="40">
        <f>IF($A81="","",IFERROR(INDEX(Références!$G$2:$G$201,MATCH($A81,Références!$A$2:$A$201,0)),""))</f>
        <v>5</v>
      </c>
      <c r="E81" s="40" t="str">
        <f>IF($A81="","",IFERROR(INDEX(Références!$H$2:$H$201,MATCH($A81,Références!$A$2:$A$201,0)),""))</f>
        <v>Important</v>
      </c>
      <c r="F81" s="40">
        <f>IF($A81="","",IFERROR(INDEX(Références!$I$2:$I$201,MATCH($A81,Références!$A$2:$A$201,0)),""))</f>
        <v>5</v>
      </c>
      <c r="G81" s="40" t="str">
        <f>IF($A81="","",IFERROR(INDEX(Références!$F$2:$F$201,MATCH($A81,Références!$A$2:$A$201,0)),""))</f>
        <v>Non</v>
      </c>
      <c r="H81" s="40" t="str">
        <f>IF($A81="","",IFERROR(INDEX(Références!$J$2:$J$201,MATCH($A81,Références!$A$2:$A$201,0)),""))</f>
        <v>À lire</v>
      </c>
      <c r="I81" s="41" t="str">
        <f>IF($A81="","",IFERROR(IF(INDEX(Références!$AF$2:$AF$201,MATCH($A81,Références!$A$2:$A$201,0))="","",HYPERLINK(INDEX(Références!$AF$2:$AF$201,MATCH($A81,Références!$A$2:$A$201,0)),"Ouvrir")),""))</f>
        <v>Ouvrir</v>
      </c>
      <c r="J81" s="42" t="s">
        <v>1692</v>
      </c>
      <c r="K81" s="3" t="s">
        <v>1751</v>
      </c>
      <c r="L81" s="3" t="s">
        <v>2309</v>
      </c>
      <c r="M81" s="3" t="s">
        <v>2310</v>
      </c>
      <c r="N81" s="3" t="s">
        <v>2311</v>
      </c>
      <c r="O81" s="3" t="s">
        <v>2312</v>
      </c>
      <c r="P81" s="43" t="s">
        <v>2313</v>
      </c>
      <c r="Q81" s="3" t="s">
        <v>2314</v>
      </c>
      <c r="R81" s="3" t="s">
        <v>1701</v>
      </c>
      <c r="S81" s="3" t="s">
        <v>2315</v>
      </c>
      <c r="T81" s="3" t="s">
        <v>2316</v>
      </c>
      <c r="U81" s="3" t="s">
        <v>2317</v>
      </c>
      <c r="V81" s="3" t="s">
        <v>1836</v>
      </c>
      <c r="W81" s="3" t="s">
        <v>2291</v>
      </c>
      <c r="X81" s="3" t="s">
        <v>2318</v>
      </c>
    </row>
    <row r="82" spans="1:24" ht="55.5" customHeight="1" x14ac:dyDescent="0.25">
      <c r="A82" s="38" t="s">
        <v>1305</v>
      </c>
      <c r="B82" s="39" t="str">
        <f>IF($A82="","",IFERROR(INDEX(Références!$C$2:$C$201,MATCH($A82,Références!$A$2:$A$201,0)),""))</f>
        <v>Johnson (1985)</v>
      </c>
      <c r="C82" s="39" t="str">
        <f>IF($A82="","",IFERROR(INDEX(Références!$D$2:$D$201,MATCH($A82,Références!$A$2:$A$201,0)),""))</f>
        <v>Contact mechanics</v>
      </c>
      <c r="D82" s="40">
        <f>IF($A82="","",IFERROR(INDEX(Références!$G$2:$G$201,MATCH($A82,Références!$A$2:$A$201,0)),""))</f>
        <v>5</v>
      </c>
      <c r="E82" s="40" t="str">
        <f>IF($A82="","",IFERROR(INDEX(Références!$H$2:$H$201,MATCH($A82,Références!$A$2:$A$201,0)),""))</f>
        <v>Important</v>
      </c>
      <c r="F82" s="40">
        <f>IF($A82="","",IFERROR(INDEX(Références!$I$2:$I$201,MATCH($A82,Références!$A$2:$A$201,0)),""))</f>
        <v>5</v>
      </c>
      <c r="G82" s="40" t="str">
        <f>IF($A82="","",IFERROR(INDEX(Références!$F$2:$F$201,MATCH($A82,Références!$A$2:$A$201,0)),""))</f>
        <v>Non</v>
      </c>
      <c r="H82" s="40" t="str">
        <f>IF($A82="","",IFERROR(INDEX(Références!$J$2:$J$201,MATCH($A82,Références!$A$2:$A$201,0)),""))</f>
        <v>À lire</v>
      </c>
      <c r="I82" s="41" t="str">
        <f>IF($A82="","",IFERROR(IF(INDEX(Références!$AF$2:$AF$201,MATCH($A82,Références!$A$2:$A$201,0))="","",HYPERLINK(INDEX(Références!$AF$2:$AF$201,MATCH($A82,Références!$A$2:$A$201,0)),"Ouvrir")),""))</f>
        <v>Ouvrir</v>
      </c>
      <c r="J82" s="42" t="s">
        <v>1716</v>
      </c>
      <c r="K82" s="3" t="s">
        <v>2015</v>
      </c>
      <c r="L82" s="3" t="s">
        <v>2319</v>
      </c>
      <c r="M82" s="3" t="s">
        <v>1701</v>
      </c>
      <c r="N82" s="3" t="s">
        <v>1701</v>
      </c>
      <c r="O82" s="3" t="s">
        <v>1720</v>
      </c>
      <c r="P82" s="43" t="s">
        <v>2320</v>
      </c>
      <c r="Q82" s="3" t="s">
        <v>2321</v>
      </c>
      <c r="R82" s="3" t="s">
        <v>1701</v>
      </c>
      <c r="S82" s="3" t="s">
        <v>2322</v>
      </c>
      <c r="T82" s="3" t="s">
        <v>2323</v>
      </c>
      <c r="U82" s="3" t="s">
        <v>2020</v>
      </c>
      <c r="V82" s="3" t="s">
        <v>1701</v>
      </c>
      <c r="W82" s="3" t="s">
        <v>2291</v>
      </c>
      <c r="X82" s="3" t="s">
        <v>1701</v>
      </c>
    </row>
    <row r="83" spans="1:24" ht="42.75" customHeight="1" x14ac:dyDescent="0.25">
      <c r="A83" s="38" t="s">
        <v>1316</v>
      </c>
      <c r="B83" s="39" t="str">
        <f>IF($A83="","",IFERROR(INDEX(Références!$C$2:$C$201,MATCH($A83,Références!$A$2:$A$201,0)),""))</f>
        <v>Love (1929)</v>
      </c>
      <c r="C83" s="39" t="str">
        <f>IF($A83="","",IFERROR(INDEX(Références!$D$2:$D$201,MATCH($A83,Références!$A$2:$A$201,0)),""))</f>
        <v>The stress produced in a semi-infinite solid by pressure on part of the boundary</v>
      </c>
      <c r="D83" s="40">
        <f>IF($A83="","",IFERROR(INDEX(Références!$G$2:$G$201,MATCH($A83,Références!$A$2:$A$201,0)),""))</f>
        <v>5</v>
      </c>
      <c r="E83" s="40" t="str">
        <f>IF($A83="","",IFERROR(INDEX(Références!$H$2:$H$201,MATCH($A83,Références!$A$2:$A$201,0)),""))</f>
        <v>Important</v>
      </c>
      <c r="F83" s="40">
        <f>IF($A83="","",IFERROR(INDEX(Références!$I$2:$I$201,MATCH($A83,Références!$A$2:$A$201,0)),""))</f>
        <v>5</v>
      </c>
      <c r="G83" s="40" t="str">
        <f>IF($A83="","",IFERROR(INDEX(Références!$F$2:$F$201,MATCH($A83,Références!$A$2:$A$201,0)),""))</f>
        <v>Non</v>
      </c>
      <c r="H83" s="40" t="str">
        <f>IF($A83="","",IFERROR(INDEX(Références!$J$2:$J$201,MATCH($A83,Références!$A$2:$A$201,0)),""))</f>
        <v>À lire</v>
      </c>
      <c r="I83" s="41" t="str">
        <f>IF($A83="","",IFERROR(IF(INDEX(Références!$AF$2:$AF$201,MATCH($A83,Références!$A$2:$A$201,0))="","",HYPERLINK(INDEX(Références!$AF$2:$AF$201,MATCH($A83,Références!$A$2:$A$201,0)),"Ouvrir")),""))</f>
        <v>Ouvrir</v>
      </c>
      <c r="J83" s="42" t="s">
        <v>1692</v>
      </c>
      <c r="K83" s="3" t="s">
        <v>1751</v>
      </c>
      <c r="L83" s="3" t="s">
        <v>2324</v>
      </c>
      <c r="M83" s="3" t="s">
        <v>2325</v>
      </c>
      <c r="N83" s="3" t="s">
        <v>2326</v>
      </c>
      <c r="O83" s="3" t="s">
        <v>2327</v>
      </c>
      <c r="P83" s="43" t="s">
        <v>2328</v>
      </c>
      <c r="Q83" s="3" t="s">
        <v>2329</v>
      </c>
      <c r="R83" s="3" t="s">
        <v>1701</v>
      </c>
      <c r="S83" s="3" t="s">
        <v>2330</v>
      </c>
      <c r="T83" s="3" t="s">
        <v>1687</v>
      </c>
      <c r="U83" s="3" t="s">
        <v>2261</v>
      </c>
      <c r="V83" s="3" t="s">
        <v>1715</v>
      </c>
      <c r="W83" s="3" t="s">
        <v>2331</v>
      </c>
      <c r="X83" s="3" t="s">
        <v>1701</v>
      </c>
    </row>
    <row r="84" spans="1:24" ht="55.5" customHeight="1" x14ac:dyDescent="0.25">
      <c r="A84" s="38" t="s">
        <v>1329</v>
      </c>
      <c r="B84" s="39" t="str">
        <f>IF($A84="","",IFERROR(INDEX(Références!$C$2:$C$201,MATCH($A84,Références!$A$2:$A$201,0)),""))</f>
        <v>Manyo et al. (2021)</v>
      </c>
      <c r="C84" s="39" t="str">
        <f>IF($A84="","",IFERROR(INDEX(Références!$D$2:$D$201,MATCH($A84,Références!$A$2:$A$201,0)),""))</f>
        <v>Approach of pavement surface layer degradation caused by tire contact using semi-analytical model</v>
      </c>
      <c r="D84" s="40">
        <f>IF($A84="","",IFERROR(INDEX(Références!$G$2:$G$201,MATCH($A84,Références!$A$2:$A$201,0)),""))</f>
        <v>5</v>
      </c>
      <c r="E84" s="40" t="str">
        <f>IF($A84="","",IFERROR(INDEX(Références!$H$2:$H$201,MATCH($A84,Références!$A$2:$A$201,0)),""))</f>
        <v>Important</v>
      </c>
      <c r="F84" s="40">
        <f>IF($A84="","",IFERROR(INDEX(Références!$I$2:$I$201,MATCH($A84,Références!$A$2:$A$201,0)),""))</f>
        <v>5</v>
      </c>
      <c r="G84" s="40" t="str">
        <f>IF($A84="","",IFERROR(INDEX(Références!$F$2:$F$201,MATCH($A84,Références!$A$2:$A$201,0)),""))</f>
        <v>Oui</v>
      </c>
      <c r="H84" s="40" t="str">
        <f>IF($A84="","",IFERROR(INDEX(Références!$J$2:$J$201,MATCH($A84,Références!$A$2:$A$201,0)),""))</f>
        <v>À lire</v>
      </c>
      <c r="I84" s="41" t="str">
        <f>IF($A84="","",IFERROR(IF(INDEX(Références!$AF$2:$AF$201,MATCH($A84,Références!$A$2:$A$201,0))="","",HYPERLINK(INDEX(Références!$AF$2:$AF$201,MATCH($A84,Références!$A$2:$A$201,0)),"Ouvrir")),""))</f>
        <v>Ouvrir</v>
      </c>
      <c r="J84" s="42" t="s">
        <v>1692</v>
      </c>
      <c r="K84" s="3" t="s">
        <v>1735</v>
      </c>
      <c r="L84" s="3" t="s">
        <v>2332</v>
      </c>
      <c r="M84" s="3" t="s">
        <v>2333</v>
      </c>
      <c r="N84" s="3" t="s">
        <v>2334</v>
      </c>
      <c r="O84" s="3" t="s">
        <v>2335</v>
      </c>
      <c r="P84" s="43" t="s">
        <v>2336</v>
      </c>
      <c r="Q84" s="3" t="s">
        <v>2337</v>
      </c>
      <c r="R84" s="3" t="s">
        <v>2338</v>
      </c>
      <c r="S84" s="3" t="s">
        <v>2339</v>
      </c>
      <c r="T84" s="3" t="s">
        <v>1687</v>
      </c>
      <c r="U84" s="3" t="s">
        <v>2317</v>
      </c>
      <c r="V84" s="3" t="s">
        <v>2340</v>
      </c>
      <c r="W84" s="3" t="s">
        <v>2341</v>
      </c>
      <c r="X84" s="3" t="s">
        <v>1701</v>
      </c>
    </row>
    <row r="85" spans="1:24" ht="94.5" customHeight="1" x14ac:dyDescent="0.25">
      <c r="A85" s="38" t="s">
        <v>1341</v>
      </c>
      <c r="B85" s="39" t="str">
        <f>IF($A85="","",IFERROR(INDEX(Références!$C$2:$C$201,MATCH($A85,Références!$A$2:$A$201,0)),""))</f>
        <v>Roussel et al. (2020)</v>
      </c>
      <c r="C85" s="39" t="str">
        <f>IF($A85="","",IFERROR(INDEX(Références!$D$2:$D$201,MATCH($A85,Références!$A$2:$A$201,0)),""))</f>
        <v>Simulation of heavy weight deflectometer test: spectral element method vs finite element method</v>
      </c>
      <c r="D85" s="40">
        <f>IF($A85="","",IFERROR(INDEX(Références!$G$2:$G$201,MATCH($A85,Références!$A$2:$A$201,0)),""))</f>
        <v>5</v>
      </c>
      <c r="E85" s="40" t="str">
        <f>IF($A85="","",IFERROR(INDEX(Références!$H$2:$H$201,MATCH($A85,Références!$A$2:$A$201,0)),""))</f>
        <v>Important</v>
      </c>
      <c r="F85" s="40">
        <f>IF($A85="","",IFERROR(INDEX(Références!$I$2:$I$201,MATCH($A85,Références!$A$2:$A$201,0)),""))</f>
        <v>5</v>
      </c>
      <c r="G85" s="40" t="str">
        <f>IF($A85="","",IFERROR(INDEX(Références!$F$2:$F$201,MATCH($A85,Références!$A$2:$A$201,0)),""))</f>
        <v>Non</v>
      </c>
      <c r="H85" s="40" t="str">
        <f>IF($A85="","",IFERROR(INDEX(Références!$J$2:$J$201,MATCH($A85,Références!$A$2:$A$201,0)),""))</f>
        <v>À lire</v>
      </c>
      <c r="I85" s="41" t="str">
        <f>IF($A85="","",IFERROR(IF(INDEX(Références!$AF$2:$AF$201,MATCH($A85,Références!$A$2:$A$201,0))="","",HYPERLINK(INDEX(Références!$AF$2:$AF$201,MATCH($A85,Références!$A$2:$A$201,0)),"Ouvrir")),""))</f>
        <v>Ouvrir</v>
      </c>
      <c r="J85" s="42" t="s">
        <v>1692</v>
      </c>
      <c r="K85" s="3" t="s">
        <v>2342</v>
      </c>
      <c r="L85" s="3" t="s">
        <v>2343</v>
      </c>
      <c r="M85" s="3" t="s">
        <v>2344</v>
      </c>
      <c r="N85" s="3" t="s">
        <v>2345</v>
      </c>
      <c r="O85" s="3" t="s">
        <v>2346</v>
      </c>
      <c r="P85" s="43" t="s">
        <v>2347</v>
      </c>
      <c r="Q85" s="3" t="s">
        <v>2348</v>
      </c>
      <c r="R85" s="3" t="s">
        <v>1701</v>
      </c>
      <c r="S85" s="3" t="s">
        <v>2150</v>
      </c>
      <c r="T85" s="3" t="s">
        <v>2349</v>
      </c>
      <c r="U85" s="3" t="s">
        <v>2300</v>
      </c>
      <c r="V85" s="3" t="s">
        <v>2152</v>
      </c>
      <c r="W85" s="3" t="s">
        <v>2153</v>
      </c>
      <c r="X85" s="3" t="s">
        <v>2350</v>
      </c>
    </row>
    <row r="86" spans="1:24" ht="69" customHeight="1" x14ac:dyDescent="0.25">
      <c r="A86" s="38" t="s">
        <v>1356</v>
      </c>
      <c r="B86" s="39" t="str">
        <f>IF($A86="","",IFERROR(INDEX(Références!$C$2:$C$201,MATCH($A86,Références!$A$2:$A$201,0)),""))</f>
        <v>Siddharthan et al. (1998)</v>
      </c>
      <c r="C86" s="39" t="str">
        <f>IF($A86="","",IFERROR(INDEX(Références!$D$2:$D$201,MATCH($A86,Références!$A$2:$A$201,0)),""))</f>
        <v>Pavement strain from moving dynamic 3D load distribution</v>
      </c>
      <c r="D86" s="40">
        <f>IF($A86="","",IFERROR(INDEX(Références!$G$2:$G$201,MATCH($A86,Références!$A$2:$A$201,0)),""))</f>
        <v>5</v>
      </c>
      <c r="E86" s="40" t="str">
        <f>IF($A86="","",IFERROR(INDEX(Références!$H$2:$H$201,MATCH($A86,Références!$A$2:$A$201,0)),""))</f>
        <v>Important</v>
      </c>
      <c r="F86" s="40">
        <f>IF($A86="","",IFERROR(INDEX(Références!$I$2:$I$201,MATCH($A86,Références!$A$2:$A$201,0)),""))</f>
        <v>5</v>
      </c>
      <c r="G86" s="40" t="str">
        <f>IF($A86="","",IFERROR(INDEX(Références!$F$2:$F$201,MATCH($A86,Références!$A$2:$A$201,0)),""))</f>
        <v>Non</v>
      </c>
      <c r="H86" s="40" t="str">
        <f>IF($A86="","",IFERROR(INDEX(Références!$J$2:$J$201,MATCH($A86,Références!$A$2:$A$201,0)),""))</f>
        <v>À lire</v>
      </c>
      <c r="I86" s="41" t="str">
        <f>IF($A86="","",IFERROR(IF(INDEX(Références!$AF$2:$AF$201,MATCH($A86,Références!$A$2:$A$201,0))="","",HYPERLINK(INDEX(Références!$AF$2:$AF$201,MATCH($A86,Références!$A$2:$A$201,0)),"Ouvrir")),""))</f>
        <v>Ouvrir</v>
      </c>
      <c r="J86" s="42" t="s">
        <v>1692</v>
      </c>
      <c r="K86" s="3" t="s">
        <v>1751</v>
      </c>
      <c r="L86" s="3" t="s">
        <v>2351</v>
      </c>
      <c r="M86" s="3" t="s">
        <v>2352</v>
      </c>
      <c r="N86" s="3" t="s">
        <v>2353</v>
      </c>
      <c r="O86" s="3" t="s">
        <v>2354</v>
      </c>
      <c r="P86" s="43" t="s">
        <v>2355</v>
      </c>
      <c r="Q86" s="3" t="s">
        <v>2356</v>
      </c>
      <c r="R86" s="3" t="s">
        <v>2357</v>
      </c>
      <c r="S86" s="3" t="s">
        <v>2358</v>
      </c>
      <c r="T86" s="3" t="s">
        <v>2109</v>
      </c>
      <c r="U86" s="3" t="s">
        <v>2359</v>
      </c>
      <c r="V86" s="3" t="s">
        <v>2360</v>
      </c>
      <c r="W86" s="3" t="s">
        <v>1761</v>
      </c>
      <c r="X86" s="3" t="s">
        <v>1701</v>
      </c>
    </row>
    <row r="87" spans="1:24" ht="81.75" customHeight="1" x14ac:dyDescent="0.25">
      <c r="A87" s="38" t="s">
        <v>1366</v>
      </c>
      <c r="B87" s="39" t="str">
        <f>IF($A87="","",IFERROR(INDEX(Références!$C$2:$C$201,MATCH($A87,Références!$A$2:$A$201,0)),""))</f>
        <v>Siddharthan et al. (2002)</v>
      </c>
      <c r="C87" s="39" t="str">
        <f>IF($A87="","",IFERROR(INDEX(Références!$D$2:$D$201,MATCH($A87,Références!$A$2:$A$201,0)),""))</f>
        <v>Investigation of tire contact stress distributions on pavement response</v>
      </c>
      <c r="D87" s="40">
        <f>IF($A87="","",IFERROR(INDEX(Références!$G$2:$G$201,MATCH($A87,Références!$A$2:$A$201,0)),""))</f>
        <v>5</v>
      </c>
      <c r="E87" s="40" t="str">
        <f>IF($A87="","",IFERROR(INDEX(Références!$H$2:$H$201,MATCH($A87,Références!$A$2:$A$201,0)),""))</f>
        <v>Important</v>
      </c>
      <c r="F87" s="40">
        <f>IF($A87="","",IFERROR(INDEX(Références!$I$2:$I$201,MATCH($A87,Références!$A$2:$A$201,0)),""))</f>
        <v>5</v>
      </c>
      <c r="G87" s="40" t="str">
        <f>IF($A87="","",IFERROR(INDEX(Références!$F$2:$F$201,MATCH($A87,Références!$A$2:$A$201,0)),""))</f>
        <v>Non</v>
      </c>
      <c r="H87" s="40" t="str">
        <f>IF($A87="","",IFERROR(INDEX(Références!$J$2:$J$201,MATCH($A87,Références!$A$2:$A$201,0)),""))</f>
        <v>À lire</v>
      </c>
      <c r="I87" s="41" t="str">
        <f>IF($A87="","",IFERROR(IF(INDEX(Références!$AF$2:$AF$201,MATCH($A87,Références!$A$2:$A$201,0))="","",HYPERLINK(INDEX(Références!$AF$2:$AF$201,MATCH($A87,Références!$A$2:$A$201,0)),"Ouvrir")),""))</f>
        <v>Ouvrir</v>
      </c>
      <c r="J87" s="42" t="s">
        <v>1692</v>
      </c>
      <c r="K87" s="3" t="s">
        <v>1751</v>
      </c>
      <c r="L87" s="3" t="s">
        <v>2361</v>
      </c>
      <c r="M87" s="3" t="s">
        <v>2362</v>
      </c>
      <c r="N87" s="3" t="s">
        <v>2363</v>
      </c>
      <c r="O87" s="3" t="s">
        <v>2364</v>
      </c>
      <c r="P87" s="43" t="s">
        <v>2365</v>
      </c>
      <c r="Q87" s="3" t="s">
        <v>2366</v>
      </c>
      <c r="R87" s="3" t="s">
        <v>2367</v>
      </c>
      <c r="S87" s="3" t="s">
        <v>2368</v>
      </c>
      <c r="T87" s="3" t="s">
        <v>2369</v>
      </c>
      <c r="U87" s="3" t="s">
        <v>2370</v>
      </c>
      <c r="V87" s="3" t="s">
        <v>1703</v>
      </c>
      <c r="W87" s="3" t="s">
        <v>2371</v>
      </c>
      <c r="X87" s="3" t="s">
        <v>2372</v>
      </c>
    </row>
    <row r="88" spans="1:24" ht="81.75" customHeight="1" x14ac:dyDescent="0.25">
      <c r="A88" s="38" t="s">
        <v>1377</v>
      </c>
      <c r="B88" s="39" t="str">
        <f>IF($A88="","",IFERROR(INDEX(Références!$C$2:$C$201,MATCH($A88,Références!$A$2:$A$201,0)),""))</f>
        <v>Chupin et al. (2010)</v>
      </c>
      <c r="C88" s="39" t="str">
        <f>IF($A88="","",IFERROR(INDEX(Références!$D$2:$D$201,MATCH($A88,Références!$A$2:$A$201,0)),""))</f>
        <v>Influence of sliding interfaces on the response of a layered viscoelastic medium under a moving load</v>
      </c>
      <c r="D88" s="40">
        <f>IF($A88="","",IFERROR(INDEX(Références!$G$2:$G$201,MATCH($A88,Références!$A$2:$A$201,0)),""))</f>
        <v>5</v>
      </c>
      <c r="E88" s="40" t="str">
        <f>IF($A88="","",IFERROR(INDEX(Références!$H$2:$H$201,MATCH($A88,Références!$A$2:$A$201,0)),""))</f>
        <v>A consulter</v>
      </c>
      <c r="F88" s="40">
        <f>IF($A88="","",IFERROR(INDEX(Références!$I$2:$I$201,MATCH($A88,Références!$A$2:$A$201,0)),""))</f>
        <v>5</v>
      </c>
      <c r="G88" s="40" t="str">
        <f>IF($A88="","",IFERROR(INDEX(Références!$F$2:$F$201,MATCH($A88,Références!$A$2:$A$201,0)),""))</f>
        <v>Non</v>
      </c>
      <c r="H88" s="40" t="str">
        <f>IF($A88="","",IFERROR(INDEX(Références!$J$2:$J$201,MATCH($A88,Références!$A$2:$A$201,0)),""))</f>
        <v>À lire</v>
      </c>
      <c r="I88" s="41" t="str">
        <f>IF($A88="","",IFERROR(IF(INDEX(Références!$AF$2:$AF$201,MATCH($A88,Références!$A$2:$A$201,0))="","",HYPERLINK(INDEX(Références!$AF$2:$AF$201,MATCH($A88,Références!$A$2:$A$201,0)),"Ouvrir")),""))</f>
        <v>Ouvrir</v>
      </c>
      <c r="J88" s="42" t="s">
        <v>1692</v>
      </c>
      <c r="K88" s="3" t="s">
        <v>1693</v>
      </c>
      <c r="L88" s="3" t="s">
        <v>2373</v>
      </c>
      <c r="M88" s="3" t="s">
        <v>2374</v>
      </c>
      <c r="N88" s="3" t="s">
        <v>2375</v>
      </c>
      <c r="O88" s="3" t="s">
        <v>2376</v>
      </c>
      <c r="P88" s="43" t="s">
        <v>2377</v>
      </c>
      <c r="Q88" s="3" t="s">
        <v>2378</v>
      </c>
      <c r="R88" s="3" t="s">
        <v>1701</v>
      </c>
      <c r="S88" s="3" t="s">
        <v>2280</v>
      </c>
      <c r="T88" s="3" t="s">
        <v>2109</v>
      </c>
      <c r="U88" s="3" t="s">
        <v>2281</v>
      </c>
      <c r="V88" s="3" t="s">
        <v>1703</v>
      </c>
      <c r="W88" s="3" t="s">
        <v>2379</v>
      </c>
      <c r="X88" s="3" t="s">
        <v>2380</v>
      </c>
    </row>
    <row r="89" spans="1:24" ht="55.5" customHeight="1" x14ac:dyDescent="0.25">
      <c r="A89" s="38" t="s">
        <v>1389</v>
      </c>
      <c r="B89" s="39" t="str">
        <f>IF($A89="","",IFERROR(INDEX(Références!$C$2:$C$201,MATCH($A89,Références!$A$2:$A$201,0)),""))</f>
        <v>Duhamel et al. (2005)</v>
      </c>
      <c r="C89" s="39" t="str">
        <f>IF($A89="","",IFERROR(INDEX(Références!$D$2:$D$201,MATCH($A89,Références!$A$2:$A$201,0)),""))</f>
        <v>ViscoRoute : modélisation des chaussées bitumineuses</v>
      </c>
      <c r="D89" s="40">
        <f>IF($A89="","",IFERROR(INDEX(Références!$G$2:$G$201,MATCH($A89,Références!$A$2:$A$201,0)),""))</f>
        <v>5</v>
      </c>
      <c r="E89" s="40" t="str">
        <f>IF($A89="","",IFERROR(INDEX(Références!$H$2:$H$201,MATCH($A89,Références!$A$2:$A$201,0)),""))</f>
        <v>A consulter</v>
      </c>
      <c r="F89" s="40">
        <f>IF($A89="","",IFERROR(INDEX(Références!$I$2:$I$201,MATCH($A89,Références!$A$2:$A$201,0)),""))</f>
        <v>5</v>
      </c>
      <c r="G89" s="40" t="str">
        <f>IF($A89="","",IFERROR(INDEX(Références!$F$2:$F$201,MATCH($A89,Références!$A$2:$A$201,0)),""))</f>
        <v>Non</v>
      </c>
      <c r="H89" s="40" t="str">
        <f>IF($A89="","",IFERROR(INDEX(Références!$J$2:$J$201,MATCH($A89,Références!$A$2:$A$201,0)),""))</f>
        <v>À lire</v>
      </c>
      <c r="I89" s="41" t="str">
        <f>IF($A89="","",IFERROR(IF(INDEX(Références!$AF$2:$AF$201,MATCH($A89,Références!$A$2:$A$201,0))="","",HYPERLINK(INDEX(Références!$AF$2:$AF$201,MATCH($A89,Références!$A$2:$A$201,0)),"Ouvrir")),""))</f>
        <v>Ouvrir</v>
      </c>
      <c r="J89" s="42" t="s">
        <v>1716</v>
      </c>
      <c r="K89" s="3" t="s">
        <v>2381</v>
      </c>
      <c r="L89" s="3" t="s">
        <v>2382</v>
      </c>
      <c r="M89" s="3" t="s">
        <v>1701</v>
      </c>
      <c r="N89" s="3" t="s">
        <v>1701</v>
      </c>
      <c r="O89" s="3" t="s">
        <v>1720</v>
      </c>
      <c r="P89" s="43" t="s">
        <v>2383</v>
      </c>
      <c r="Q89" s="3" t="s">
        <v>2384</v>
      </c>
      <c r="R89" s="3" t="s">
        <v>1701</v>
      </c>
      <c r="S89" s="3" t="s">
        <v>1701</v>
      </c>
      <c r="T89" s="3" t="s">
        <v>2109</v>
      </c>
      <c r="U89" s="3" t="s">
        <v>2317</v>
      </c>
      <c r="V89" s="3" t="s">
        <v>1703</v>
      </c>
      <c r="W89" s="3" t="s">
        <v>2075</v>
      </c>
      <c r="X89" s="3" t="s">
        <v>1701</v>
      </c>
    </row>
    <row r="90" spans="1:24" ht="55.5" customHeight="1" x14ac:dyDescent="0.25">
      <c r="A90" s="38" t="s">
        <v>1402</v>
      </c>
      <c r="B90" s="39" t="str">
        <f>IF($A90="","",IFERROR(INDEX(Références!$C$2:$C$201,MATCH($A90,Références!$A$2:$A$201,0)),""))</f>
        <v>Grenier et al. (2009)</v>
      </c>
      <c r="C90" s="39" t="str">
        <f>IF($A90="","",IFERROR(INDEX(Références!$D$2:$D$201,MATCH($A90,Références!$A$2:$A$201,0)),""))</f>
        <v>Dynamic simulation of falling weight deflectometer tests on flexible pavements using the spectral element method: forward calculations</v>
      </c>
      <c r="D90" s="40">
        <f>IF($A90="","",IFERROR(INDEX(Références!$G$2:$G$201,MATCH($A90,Références!$A$2:$A$201,0)),""))</f>
        <v>5</v>
      </c>
      <c r="E90" s="40" t="str">
        <f>IF($A90="","",IFERROR(INDEX(Références!$H$2:$H$201,MATCH($A90,Références!$A$2:$A$201,0)),""))</f>
        <v>A consulter</v>
      </c>
      <c r="F90" s="40">
        <f>IF($A90="","",IFERROR(INDEX(Références!$I$2:$I$201,MATCH($A90,Références!$A$2:$A$201,0)),""))</f>
        <v>5</v>
      </c>
      <c r="G90" s="40" t="str">
        <f>IF($A90="","",IFERROR(INDEX(Références!$F$2:$F$201,MATCH($A90,Références!$A$2:$A$201,0)),""))</f>
        <v>Non</v>
      </c>
      <c r="H90" s="40" t="str">
        <f>IF($A90="","",IFERROR(INDEX(Références!$J$2:$J$201,MATCH($A90,Références!$A$2:$A$201,0)),""))</f>
        <v>À lire</v>
      </c>
      <c r="I90" s="41" t="str">
        <f>IF($A90="","",IFERROR(IF(INDEX(Références!$AF$2:$AF$201,MATCH($A90,Références!$A$2:$A$201,0))="","",HYPERLINK(INDEX(Références!$AF$2:$AF$201,MATCH($A90,Références!$A$2:$A$201,0)),"Ouvrir")),""))</f>
        <v>Ouvrir</v>
      </c>
      <c r="J90" s="42" t="s">
        <v>1692</v>
      </c>
      <c r="K90" s="3" t="s">
        <v>1751</v>
      </c>
      <c r="L90" s="3" t="s">
        <v>2385</v>
      </c>
      <c r="M90" s="3" t="s">
        <v>2386</v>
      </c>
      <c r="N90" s="3" t="s">
        <v>2387</v>
      </c>
      <c r="O90" s="3" t="s">
        <v>2388</v>
      </c>
      <c r="P90" s="43" t="s">
        <v>2389</v>
      </c>
      <c r="Q90" s="3" t="s">
        <v>2390</v>
      </c>
      <c r="R90" s="3" t="s">
        <v>1701</v>
      </c>
      <c r="S90" s="3" t="s">
        <v>2161</v>
      </c>
      <c r="T90" s="3" t="s">
        <v>2391</v>
      </c>
      <c r="U90" s="3" t="s">
        <v>2300</v>
      </c>
      <c r="V90" s="3" t="s">
        <v>2392</v>
      </c>
      <c r="W90" s="3" t="s">
        <v>2153</v>
      </c>
      <c r="X90" s="3" t="s">
        <v>1701</v>
      </c>
    </row>
    <row r="91" spans="1:24" ht="69" customHeight="1" x14ac:dyDescent="0.25">
      <c r="A91" s="38" t="s">
        <v>1414</v>
      </c>
      <c r="B91" s="39" t="str">
        <f>IF($A91="","",IFERROR(INDEX(Références!$C$2:$C$201,MATCH($A91,Références!$A$2:$A$201,0)),""))</f>
        <v>Maina &amp; Matsui (2004)</v>
      </c>
      <c r="C91" s="39" t="str">
        <f>IF($A91="","",IFERROR(INDEX(Références!$D$2:$D$201,MATCH($A91,Références!$A$2:$A$201,0)),""))</f>
        <v>Developing software for elastic analysis of pavement structure responses to vertical and horizontal surface loadings</v>
      </c>
      <c r="D91" s="40">
        <f>IF($A91="","",IFERROR(INDEX(Références!$G$2:$G$201,MATCH($A91,Références!$A$2:$A$201,0)),""))</f>
        <v>5</v>
      </c>
      <c r="E91" s="40" t="str">
        <f>IF($A91="","",IFERROR(INDEX(Références!$H$2:$H$201,MATCH($A91,Références!$A$2:$A$201,0)),""))</f>
        <v>A consulter</v>
      </c>
      <c r="F91" s="40">
        <f>IF($A91="","",IFERROR(INDEX(Références!$I$2:$I$201,MATCH($A91,Références!$A$2:$A$201,0)),""))</f>
        <v>5</v>
      </c>
      <c r="G91" s="40" t="str">
        <f>IF($A91="","",IFERROR(INDEX(Références!$F$2:$F$201,MATCH($A91,Références!$A$2:$A$201,0)),""))</f>
        <v>Non</v>
      </c>
      <c r="H91" s="40" t="str">
        <f>IF($A91="","",IFERROR(INDEX(Références!$J$2:$J$201,MATCH($A91,Références!$A$2:$A$201,0)),""))</f>
        <v>À lire</v>
      </c>
      <c r="I91" s="41" t="str">
        <f>IF($A91="","",IFERROR(IF(INDEX(Références!$AF$2:$AF$201,MATCH($A91,Références!$A$2:$A$201,0))="","",HYPERLINK(INDEX(Références!$AF$2:$AF$201,MATCH($A91,Références!$A$2:$A$201,0)),"Ouvrir")),""))</f>
        <v>Ouvrir</v>
      </c>
      <c r="J91" s="42" t="s">
        <v>1692</v>
      </c>
      <c r="K91" s="3" t="s">
        <v>1751</v>
      </c>
      <c r="L91" s="3" t="s">
        <v>2393</v>
      </c>
      <c r="M91" s="3" t="s">
        <v>2394</v>
      </c>
      <c r="N91" s="3" t="s">
        <v>2395</v>
      </c>
      <c r="O91" s="3" t="s">
        <v>2396</v>
      </c>
      <c r="P91" s="43" t="s">
        <v>2397</v>
      </c>
      <c r="Q91" s="3" t="s">
        <v>2398</v>
      </c>
      <c r="R91" s="3" t="s">
        <v>1701</v>
      </c>
      <c r="S91" s="3" t="s">
        <v>2399</v>
      </c>
      <c r="T91" s="3" t="s">
        <v>1687</v>
      </c>
      <c r="U91" s="3" t="s">
        <v>2400</v>
      </c>
      <c r="V91" s="3" t="s">
        <v>1715</v>
      </c>
      <c r="W91" s="3" t="s">
        <v>2075</v>
      </c>
      <c r="X91" s="3" t="s">
        <v>2246</v>
      </c>
    </row>
    <row r="92" spans="1:24" ht="107.25" customHeight="1" x14ac:dyDescent="0.25">
      <c r="A92" s="38" t="s">
        <v>283</v>
      </c>
      <c r="B92" s="39" t="str">
        <f>IF($A92="","",IFERROR(INDEX(Références!$C$2:$C$201,MATCH($A92,Références!$A$2:$A$201,0)),""))</f>
        <v>Sadoun et al. (2022)</v>
      </c>
      <c r="C92" s="39" t="str">
        <f>IF($A92="","",IFERROR(INDEX(Références!$D$2:$D$201,MATCH($A92,Références!$A$2:$A$201,0)),""))</f>
        <v>Top-down cracking in airfield pavement structures—An in-situ test survey</v>
      </c>
      <c r="D92" s="40">
        <f>IF($A92="","",IFERROR(INDEX(Références!$G$2:$G$201,MATCH($A92,Références!$A$2:$A$201,0)),""))</f>
        <v>6</v>
      </c>
      <c r="E92" s="40" t="str">
        <f>IF($A92="","",IFERROR(INDEX(Références!$H$2:$H$201,MATCH($A92,Références!$A$2:$A$201,0)),""))</f>
        <v>INCONTOURNABLE</v>
      </c>
      <c r="F92" s="40">
        <f>IF($A92="","",IFERROR(INDEX(Références!$I$2:$I$201,MATCH($A92,Références!$A$2:$A$201,0)),""))</f>
        <v>1</v>
      </c>
      <c r="G92" s="40" t="str">
        <f>IF($A92="","",IFERROR(INDEX(Références!$F$2:$F$201,MATCH($A92,Références!$A$2:$A$201,0)),""))</f>
        <v>Oui</v>
      </c>
      <c r="H92" s="40" t="str">
        <f>IF($A92="","",IFERROR(INDEX(Références!$J$2:$J$201,MATCH($A92,Références!$A$2:$A$201,0)),""))</f>
        <v>À lire</v>
      </c>
      <c r="I92" s="41" t="str">
        <f>IF($A92="","",IFERROR(IF(INDEX(Références!$AF$2:$AF$201,MATCH($A92,Références!$A$2:$A$201,0))="","",HYPERLINK(INDEX(Références!$AF$2:$AF$201,MATCH($A92,Références!$A$2:$A$201,0)),"Ouvrir")),""))</f>
        <v>Ouvrir</v>
      </c>
      <c r="J92" s="42" t="s">
        <v>1692</v>
      </c>
      <c r="K92" s="3" t="s">
        <v>2401</v>
      </c>
      <c r="L92" s="3" t="s">
        <v>2402</v>
      </c>
      <c r="M92" s="3" t="s">
        <v>2403</v>
      </c>
      <c r="N92" s="3" t="s">
        <v>2404</v>
      </c>
      <c r="O92" s="3" t="s">
        <v>2405</v>
      </c>
      <c r="P92" s="43" t="s">
        <v>2406</v>
      </c>
      <c r="Q92" s="3" t="s">
        <v>2407</v>
      </c>
      <c r="R92" s="3" t="s">
        <v>2408</v>
      </c>
      <c r="S92" s="3" t="s">
        <v>2409</v>
      </c>
      <c r="T92" s="3" t="s">
        <v>2410</v>
      </c>
      <c r="U92" s="3" t="s">
        <v>2411</v>
      </c>
      <c r="V92" s="3" t="s">
        <v>2412</v>
      </c>
      <c r="W92" s="3" t="s">
        <v>2413</v>
      </c>
      <c r="X92" s="3" t="s">
        <v>1734</v>
      </c>
    </row>
    <row r="93" spans="1:24" ht="55.5" customHeight="1" x14ac:dyDescent="0.25">
      <c r="A93" s="38" t="s">
        <v>1425</v>
      </c>
      <c r="B93" s="39" t="str">
        <f>IF($A93="","",IFERROR(INDEX(Références!$C$2:$C$201,MATCH($A93,Références!$A$2:$A$201,0)),""))</f>
        <v>Canestrari &amp; Ingrassia (2020)</v>
      </c>
      <c r="C93" s="39" t="str">
        <f>IF($A93="","",IFERROR(INDEX(Références!$D$2:$D$201,MATCH($A93,Références!$A$2:$A$201,0)),""))</f>
        <v>A review of top-down cracking in asphalt pavements: Causes, models, experimental tools and future challenges</v>
      </c>
      <c r="D93" s="40">
        <f>IF($A93="","",IFERROR(INDEX(Références!$G$2:$G$201,MATCH($A93,Références!$A$2:$A$201,0)),""))</f>
        <v>6</v>
      </c>
      <c r="E93" s="40" t="str">
        <f>IF($A93="","",IFERROR(INDEX(Références!$H$2:$H$201,MATCH($A93,Références!$A$2:$A$201,0)),""))</f>
        <v>INCONTOURNABLE</v>
      </c>
      <c r="F93" s="40">
        <f>IF($A93="","",IFERROR(INDEX(Références!$I$2:$I$201,MATCH($A93,Références!$A$2:$A$201,0)),""))</f>
        <v>6</v>
      </c>
      <c r="G93" s="40" t="str">
        <f>IF($A93="","",IFERROR(INDEX(Références!$F$2:$F$201,MATCH($A93,Références!$A$2:$A$201,0)),""))</f>
        <v>Non</v>
      </c>
      <c r="H93" s="40" t="str">
        <f>IF($A93="","",IFERROR(INDEX(Références!$J$2:$J$201,MATCH($A93,Références!$A$2:$A$201,0)),""))</f>
        <v>À lire</v>
      </c>
      <c r="I93" s="41" t="str">
        <f>IF($A93="","",IFERROR(IF(INDEX(Références!$AF$2:$AF$201,MATCH($A93,Références!$A$2:$A$201,0))="","",HYPERLINK(INDEX(Références!$AF$2:$AF$201,MATCH($A93,Références!$A$2:$A$201,0)),"Ouvrir")),""))</f>
        <v>Ouvrir</v>
      </c>
      <c r="J93" s="42" t="s">
        <v>517</v>
      </c>
      <c r="K93" s="3" t="s">
        <v>2414</v>
      </c>
      <c r="L93" s="3" t="s">
        <v>2415</v>
      </c>
      <c r="M93" s="3" t="s">
        <v>2416</v>
      </c>
      <c r="N93" s="3" t="s">
        <v>2417</v>
      </c>
      <c r="O93" s="3" t="s">
        <v>2418</v>
      </c>
      <c r="P93" s="43" t="s">
        <v>2419</v>
      </c>
      <c r="Q93" s="3" t="s">
        <v>2420</v>
      </c>
      <c r="R93" s="3" t="s">
        <v>1701</v>
      </c>
      <c r="S93" s="3" t="s">
        <v>1701</v>
      </c>
      <c r="T93" s="3" t="s">
        <v>1701</v>
      </c>
      <c r="U93" s="3" t="s">
        <v>1742</v>
      </c>
      <c r="V93" s="3" t="s">
        <v>1701</v>
      </c>
      <c r="W93" s="3" t="s">
        <v>2421</v>
      </c>
      <c r="X93" s="3" t="s">
        <v>2422</v>
      </c>
    </row>
    <row r="94" spans="1:24" ht="145.5" customHeight="1" x14ac:dyDescent="0.25">
      <c r="A94" s="38" t="s">
        <v>1438</v>
      </c>
      <c r="B94" s="39" t="str">
        <f>IF($A94="","",IFERROR(INDEX(Références!$C$2:$C$201,MATCH($A94,Références!$A$2:$A$201,0)),""))</f>
        <v>Wang &amp; Al-Qadi (2010)</v>
      </c>
      <c r="C94" s="39" t="str">
        <f>IF($A94="","",IFERROR(INDEX(Références!$D$2:$D$201,MATCH($A94,Références!$A$2:$A$201,0)),""))</f>
        <v>Near-surface pavement failure under multiaxial stress state in thick asphalt pavement</v>
      </c>
      <c r="D94" s="40">
        <f>IF($A94="","",IFERROR(INDEX(Références!$G$2:$G$201,MATCH($A94,Références!$A$2:$A$201,0)),""))</f>
        <v>6</v>
      </c>
      <c r="E94" s="40" t="str">
        <f>IF($A94="","",IFERROR(INDEX(Références!$H$2:$H$201,MATCH($A94,Références!$A$2:$A$201,0)),""))</f>
        <v>INCONTOURNABLE</v>
      </c>
      <c r="F94" s="40">
        <f>IF($A94="","",IFERROR(INDEX(Références!$I$2:$I$201,MATCH($A94,Références!$A$2:$A$201,0)),""))</f>
        <v>6</v>
      </c>
      <c r="G94" s="40" t="str">
        <f>IF($A94="","",IFERROR(INDEX(Références!$F$2:$F$201,MATCH($A94,Références!$A$2:$A$201,0)),""))</f>
        <v>Oui</v>
      </c>
      <c r="H94" s="40" t="str">
        <f>IF($A94="","",IFERROR(INDEX(Références!$J$2:$J$201,MATCH($A94,Références!$A$2:$A$201,0)),""))</f>
        <v>À lire</v>
      </c>
      <c r="I94" s="41" t="str">
        <f>IF($A94="","",IFERROR(IF(INDEX(Références!$AF$2:$AF$201,MATCH($A94,Références!$A$2:$A$201,0))="","",HYPERLINK(INDEX(Références!$AF$2:$AF$201,MATCH($A94,Références!$A$2:$A$201,0)),"Ouvrir")),""))</f>
        <v>Ouvrir</v>
      </c>
      <c r="J94" s="42" t="s">
        <v>517</v>
      </c>
      <c r="K94" s="3" t="s">
        <v>2423</v>
      </c>
      <c r="L94" s="3" t="s">
        <v>2424</v>
      </c>
      <c r="M94" s="3" t="s">
        <v>2425</v>
      </c>
      <c r="N94" s="3" t="s">
        <v>2426</v>
      </c>
      <c r="O94" s="3" t="s">
        <v>2427</v>
      </c>
      <c r="P94" s="43" t="s">
        <v>2428</v>
      </c>
      <c r="Q94" s="3" t="s">
        <v>2429</v>
      </c>
      <c r="R94" s="3" t="s">
        <v>2430</v>
      </c>
      <c r="S94" s="3" t="s">
        <v>1700</v>
      </c>
      <c r="T94" s="3" t="s">
        <v>2109</v>
      </c>
      <c r="U94" s="3" t="s">
        <v>2217</v>
      </c>
      <c r="V94" s="3" t="s">
        <v>1703</v>
      </c>
      <c r="W94" s="3" t="s">
        <v>2431</v>
      </c>
      <c r="X94" s="3" t="s">
        <v>1701</v>
      </c>
    </row>
    <row r="95" spans="1:24" ht="69" customHeight="1" x14ac:dyDescent="0.25">
      <c r="A95" s="38" t="s">
        <v>1448</v>
      </c>
      <c r="B95" s="39" t="str">
        <f>IF($A95="","",IFERROR(INDEX(Références!$C$2:$C$201,MATCH($A95,Références!$A$2:$A$201,0)),""))</f>
        <v>Di Benedetto et al. (2004)</v>
      </c>
      <c r="C95" s="39" t="str">
        <f>IF($A95="","",IFERROR(INDEX(Références!$D$2:$D$201,MATCH($A95,Références!$A$2:$A$201,0)),""))</f>
        <v>Fatigue of bituminous mixtures</v>
      </c>
      <c r="D95" s="40">
        <f>IF($A95="","",IFERROR(INDEX(Références!$G$2:$G$201,MATCH($A95,Références!$A$2:$A$201,0)),""))</f>
        <v>6</v>
      </c>
      <c r="E95" s="40" t="str">
        <f>IF($A95="","",IFERROR(INDEX(Références!$H$2:$H$201,MATCH($A95,Références!$A$2:$A$201,0)),""))</f>
        <v>Important</v>
      </c>
      <c r="F95" s="40">
        <f>IF($A95="","",IFERROR(INDEX(Références!$I$2:$I$201,MATCH($A95,Références!$A$2:$A$201,0)),""))</f>
        <v>6</v>
      </c>
      <c r="G95" s="40" t="str">
        <f>IF($A95="","",IFERROR(INDEX(Références!$F$2:$F$201,MATCH($A95,Références!$A$2:$A$201,0)),""))</f>
        <v>Non</v>
      </c>
      <c r="H95" s="40" t="str">
        <f>IF($A95="","",IFERROR(INDEX(Références!$J$2:$J$201,MATCH($A95,Références!$A$2:$A$201,0)),""))</f>
        <v>À lire</v>
      </c>
      <c r="I95" s="41" t="str">
        <f>IF($A95="","",IFERROR(IF(INDEX(Références!$AF$2:$AF$201,MATCH($A95,Références!$A$2:$A$201,0))="","",HYPERLINK(INDEX(Références!$AF$2:$AF$201,MATCH($A95,Références!$A$2:$A$201,0)),"Ouvrir")),""))</f>
        <v>Ouvrir</v>
      </c>
      <c r="J95" s="42" t="s">
        <v>1692</v>
      </c>
      <c r="K95" s="3" t="s">
        <v>2432</v>
      </c>
      <c r="L95" s="3" t="s">
        <v>2433</v>
      </c>
      <c r="M95" s="3" t="s">
        <v>2434</v>
      </c>
      <c r="N95" s="3" t="s">
        <v>2435</v>
      </c>
      <c r="O95" s="3" t="s">
        <v>2436</v>
      </c>
      <c r="P95" s="43" t="s">
        <v>2437</v>
      </c>
      <c r="Q95" s="3" t="s">
        <v>2438</v>
      </c>
      <c r="R95" s="3" t="s">
        <v>1701</v>
      </c>
      <c r="S95" s="3" t="s">
        <v>1701</v>
      </c>
      <c r="T95" s="3" t="s">
        <v>2439</v>
      </c>
      <c r="U95" s="3" t="s">
        <v>2110</v>
      </c>
      <c r="V95" s="3" t="s">
        <v>1969</v>
      </c>
      <c r="W95" s="3" t="s">
        <v>2440</v>
      </c>
      <c r="X95" s="3" t="s">
        <v>1777</v>
      </c>
    </row>
    <row r="96" spans="1:24" ht="81.75" customHeight="1" x14ac:dyDescent="0.25">
      <c r="A96" s="38" t="s">
        <v>1459</v>
      </c>
      <c r="B96" s="39" t="str">
        <f>IF($A96="","",IFERROR(INDEX(Références!$C$2:$C$201,MATCH($A96,Références!$A$2:$A$201,0)),""))</f>
        <v>Kim et al. (2009)</v>
      </c>
      <c r="C96" s="39" t="str">
        <f>IF($A96="","",IFERROR(INDEX(Références!$D$2:$D$201,MATCH($A96,Références!$A$2:$A$201,0)),""))</f>
        <v>Viscoelastic analysis of flexible pavements and its effects on top-down cracking</v>
      </c>
      <c r="D96" s="40">
        <f>IF($A96="","",IFERROR(INDEX(Références!$G$2:$G$201,MATCH($A96,Références!$A$2:$A$201,0)),""))</f>
        <v>6</v>
      </c>
      <c r="E96" s="40" t="str">
        <f>IF($A96="","",IFERROR(INDEX(Références!$H$2:$H$201,MATCH($A96,Références!$A$2:$A$201,0)),""))</f>
        <v>Important</v>
      </c>
      <c r="F96" s="40">
        <f>IF($A96="","",IFERROR(INDEX(Références!$I$2:$I$201,MATCH($A96,Références!$A$2:$A$201,0)),""))</f>
        <v>6</v>
      </c>
      <c r="G96" s="40" t="str">
        <f>IF($A96="","",IFERROR(INDEX(Références!$F$2:$F$201,MATCH($A96,Références!$A$2:$A$201,0)),""))</f>
        <v>Non</v>
      </c>
      <c r="H96" s="40" t="str">
        <f>IF($A96="","",IFERROR(INDEX(Références!$J$2:$J$201,MATCH($A96,Références!$A$2:$A$201,0)),""))</f>
        <v>À lire</v>
      </c>
      <c r="I96" s="41" t="str">
        <f>IF($A96="","",IFERROR(IF(INDEX(Références!$AF$2:$AF$201,MATCH($A96,Références!$A$2:$A$201,0))="","",HYPERLINK(INDEX(Références!$AF$2:$AF$201,MATCH($A96,Références!$A$2:$A$201,0)),"Ouvrir")),""))</f>
        <v>Ouvrir</v>
      </c>
      <c r="J96" s="42" t="s">
        <v>1692</v>
      </c>
      <c r="K96" s="3" t="s">
        <v>1751</v>
      </c>
      <c r="L96" s="3" t="s">
        <v>2441</v>
      </c>
      <c r="M96" s="3" t="s">
        <v>2442</v>
      </c>
      <c r="N96" s="3" t="s">
        <v>2443</v>
      </c>
      <c r="O96" s="3" t="s">
        <v>2444</v>
      </c>
      <c r="P96" s="43" t="s">
        <v>2445</v>
      </c>
      <c r="Q96" s="3" t="s">
        <v>2446</v>
      </c>
      <c r="R96" s="3" t="s">
        <v>1701</v>
      </c>
      <c r="S96" s="3" t="s">
        <v>2447</v>
      </c>
      <c r="T96" s="3" t="s">
        <v>2109</v>
      </c>
      <c r="U96" s="3" t="s">
        <v>2448</v>
      </c>
      <c r="V96" s="3" t="s">
        <v>2449</v>
      </c>
      <c r="W96" s="3" t="s">
        <v>2450</v>
      </c>
      <c r="X96" s="3" t="s">
        <v>2451</v>
      </c>
    </row>
    <row r="97" spans="1:24" ht="107.25" customHeight="1" x14ac:dyDescent="0.25">
      <c r="A97" s="38" t="s">
        <v>1470</v>
      </c>
      <c r="B97" s="39" t="str">
        <f>IF($A97="","",IFERROR(INDEX(Références!$C$2:$C$201,MATCH($A97,Références!$A$2:$A$201,0)),""))</f>
        <v>Myers et al. (2001)</v>
      </c>
      <c r="C97" s="39" t="str">
        <f>IF($A97="","",IFERROR(INDEX(Références!$D$2:$D$201,MATCH($A97,Références!$A$2:$A$201,0)),""))</f>
        <v>Propagation mechanisms for surface-initiated longitudinal wheelpath cracks</v>
      </c>
      <c r="D97" s="40">
        <f>IF($A97="","",IFERROR(INDEX(Références!$G$2:$G$201,MATCH($A97,Références!$A$2:$A$201,0)),""))</f>
        <v>6</v>
      </c>
      <c r="E97" s="40" t="str">
        <f>IF($A97="","",IFERROR(INDEX(Références!$H$2:$H$201,MATCH($A97,Références!$A$2:$A$201,0)),""))</f>
        <v>Important</v>
      </c>
      <c r="F97" s="40">
        <f>IF($A97="","",IFERROR(INDEX(Références!$I$2:$I$201,MATCH($A97,Références!$A$2:$A$201,0)),""))</f>
        <v>6</v>
      </c>
      <c r="G97" s="40" t="str">
        <f>IF($A97="","",IFERROR(INDEX(Références!$F$2:$F$201,MATCH($A97,Références!$A$2:$A$201,0)),""))</f>
        <v>Non</v>
      </c>
      <c r="H97" s="40" t="str">
        <f>IF($A97="","",IFERROR(INDEX(Références!$J$2:$J$201,MATCH($A97,Références!$A$2:$A$201,0)),""))</f>
        <v>À lire</v>
      </c>
      <c r="I97" s="41" t="str">
        <f>IF($A97="","",IFERROR(IF(INDEX(Références!$AF$2:$AF$201,MATCH($A97,Références!$A$2:$A$201,0))="","",HYPERLINK(INDEX(Références!$AF$2:$AF$201,MATCH($A97,Références!$A$2:$A$201,0)),"Ouvrir")),""))</f>
        <v>Ouvrir</v>
      </c>
      <c r="J97" s="42" t="s">
        <v>1692</v>
      </c>
      <c r="K97" s="3" t="s">
        <v>1751</v>
      </c>
      <c r="L97" s="3" t="s">
        <v>2452</v>
      </c>
      <c r="M97" s="3" t="s">
        <v>2453</v>
      </c>
      <c r="N97" s="3" t="s">
        <v>2454</v>
      </c>
      <c r="O97" s="3" t="s">
        <v>2455</v>
      </c>
      <c r="P97" s="43" t="s">
        <v>2456</v>
      </c>
      <c r="Q97" s="3" t="s">
        <v>2457</v>
      </c>
      <c r="R97" s="3" t="s">
        <v>1723</v>
      </c>
      <c r="S97" s="3" t="s">
        <v>2447</v>
      </c>
      <c r="T97" s="3" t="s">
        <v>2458</v>
      </c>
      <c r="U97" s="3" t="s">
        <v>2459</v>
      </c>
      <c r="V97" s="3" t="s">
        <v>2460</v>
      </c>
      <c r="W97" s="3" t="s">
        <v>2461</v>
      </c>
      <c r="X97" s="3" t="s">
        <v>2462</v>
      </c>
    </row>
    <row r="98" spans="1:24" ht="81.75" customHeight="1" x14ac:dyDescent="0.25">
      <c r="A98" s="38" t="s">
        <v>1481</v>
      </c>
      <c r="B98" s="39" t="str">
        <f>IF($A98="","",IFERROR(INDEX(Références!$C$2:$C$201,MATCH($A98,Références!$A$2:$A$201,0)),""))</f>
        <v>Oubahdou et al. (2021)</v>
      </c>
      <c r="C98" s="39" t="str">
        <f>IF($A98="","",IFERROR(INDEX(Références!$D$2:$D$201,MATCH($A98,Références!$A$2:$A$201,0)),""))</f>
        <v>Effect of the tire – pavement contact at the surface layer when the tire is tilted in bend</v>
      </c>
      <c r="D98" s="40">
        <f>IF($A98="","",IFERROR(INDEX(Références!$G$2:$G$201,MATCH($A98,Références!$A$2:$A$201,0)),""))</f>
        <v>6</v>
      </c>
      <c r="E98" s="40" t="str">
        <f>IF($A98="","",IFERROR(INDEX(Références!$H$2:$H$201,MATCH($A98,Références!$A$2:$A$201,0)),""))</f>
        <v>Important</v>
      </c>
      <c r="F98" s="40">
        <f>IF($A98="","",IFERROR(INDEX(Références!$I$2:$I$201,MATCH($A98,Références!$A$2:$A$201,0)),""))</f>
        <v>6</v>
      </c>
      <c r="G98" s="40" t="str">
        <f>IF($A98="","",IFERROR(INDEX(Références!$F$2:$F$201,MATCH($A98,Références!$A$2:$A$201,0)),""))</f>
        <v>Oui</v>
      </c>
      <c r="H98" s="40" t="str">
        <f>IF($A98="","",IFERROR(INDEX(Références!$J$2:$J$201,MATCH($A98,Références!$A$2:$A$201,0)),""))</f>
        <v>À lire</v>
      </c>
      <c r="I98" s="41" t="str">
        <f>IF($A98="","",IFERROR(IF(INDEX(Références!$AF$2:$AF$201,MATCH($A98,Références!$A$2:$A$201,0))="","",HYPERLINK(INDEX(Références!$AF$2:$AF$201,MATCH($A98,Références!$A$2:$A$201,0)),"Ouvrir")),""))</f>
        <v>Ouvrir</v>
      </c>
      <c r="J98" s="42" t="s">
        <v>1692</v>
      </c>
      <c r="K98" s="3" t="s">
        <v>2463</v>
      </c>
      <c r="L98" s="3" t="s">
        <v>2464</v>
      </c>
      <c r="M98" s="3" t="s">
        <v>2465</v>
      </c>
      <c r="N98" s="3" t="s">
        <v>2466</v>
      </c>
      <c r="O98" s="3" t="s">
        <v>2467</v>
      </c>
      <c r="P98" s="43" t="s">
        <v>2468</v>
      </c>
      <c r="Q98" s="3" t="s">
        <v>2469</v>
      </c>
      <c r="R98" s="3" t="s">
        <v>2470</v>
      </c>
      <c r="S98" s="3" t="s">
        <v>2471</v>
      </c>
      <c r="T98" s="3" t="s">
        <v>2472</v>
      </c>
      <c r="U98" s="3" t="s">
        <v>2473</v>
      </c>
      <c r="V98" s="3" t="s">
        <v>2474</v>
      </c>
      <c r="W98" s="3" t="s">
        <v>1815</v>
      </c>
      <c r="X98" s="3" t="s">
        <v>2475</v>
      </c>
    </row>
    <row r="99" spans="1:24" ht="81.75" customHeight="1" x14ac:dyDescent="0.25">
      <c r="A99" s="38" t="s">
        <v>1493</v>
      </c>
      <c r="B99" s="39" t="str">
        <f>IF($A99="","",IFERROR(INDEX(Références!$C$2:$C$201,MATCH($A99,Références!$A$2:$A$201,0)),""))</f>
        <v>Roque et al. (2010)</v>
      </c>
      <c r="C99" s="39" t="str">
        <f>IF($A99="","",IFERROR(INDEX(Références!$D$2:$D$201,MATCH($A99,Références!$A$2:$A$201,0)),""))</f>
        <v>Top-down cracking of hot-mix asphalt layers: Models for initiation and propagation</v>
      </c>
      <c r="D99" s="40">
        <f>IF($A99="","",IFERROR(INDEX(Références!$G$2:$G$201,MATCH($A99,Références!$A$2:$A$201,0)),""))</f>
        <v>6</v>
      </c>
      <c r="E99" s="40" t="str">
        <f>IF($A99="","",IFERROR(INDEX(Références!$H$2:$H$201,MATCH($A99,Références!$A$2:$A$201,0)),""))</f>
        <v>Important</v>
      </c>
      <c r="F99" s="40">
        <f>IF($A99="","",IFERROR(INDEX(Références!$I$2:$I$201,MATCH($A99,Références!$A$2:$A$201,0)),""))</f>
        <v>6</v>
      </c>
      <c r="G99" s="40" t="str">
        <f>IF($A99="","",IFERROR(INDEX(Références!$F$2:$F$201,MATCH($A99,Références!$A$2:$A$201,0)),""))</f>
        <v>Non</v>
      </c>
      <c r="H99" s="40" t="str">
        <f>IF($A99="","",IFERROR(INDEX(Références!$J$2:$J$201,MATCH($A99,Références!$A$2:$A$201,0)),""))</f>
        <v>À lire</v>
      </c>
      <c r="I99" s="41" t="str">
        <f>IF($A99="","",IFERROR(IF(INDEX(Références!$AF$2:$AF$201,MATCH($A99,Références!$A$2:$A$201,0))="","",HYPERLINK(INDEX(Références!$AF$2:$AF$201,MATCH($A99,Références!$A$2:$A$201,0)),"Ouvrir")),""))</f>
        <v>Ouvrir</v>
      </c>
      <c r="J99" s="42" t="s">
        <v>517</v>
      </c>
      <c r="K99" s="3" t="s">
        <v>1743</v>
      </c>
      <c r="L99" s="3" t="s">
        <v>2476</v>
      </c>
      <c r="M99" s="3" t="s">
        <v>2477</v>
      </c>
      <c r="N99" s="3" t="s">
        <v>2478</v>
      </c>
      <c r="O99" s="3" t="s">
        <v>2479</v>
      </c>
      <c r="P99" s="43" t="s">
        <v>2480</v>
      </c>
      <c r="Q99" s="3" t="s">
        <v>2481</v>
      </c>
      <c r="R99" s="3" t="s">
        <v>1701</v>
      </c>
      <c r="S99" s="3" t="s">
        <v>1701</v>
      </c>
      <c r="T99" s="3" t="s">
        <v>2482</v>
      </c>
      <c r="U99" s="3" t="s">
        <v>2483</v>
      </c>
      <c r="V99" s="3" t="s">
        <v>1701</v>
      </c>
      <c r="W99" s="3" t="s">
        <v>2421</v>
      </c>
      <c r="X99" s="3" t="s">
        <v>2484</v>
      </c>
    </row>
    <row r="100" spans="1:24" ht="107.25" customHeight="1" x14ac:dyDescent="0.25">
      <c r="A100" s="38" t="s">
        <v>1505</v>
      </c>
      <c r="B100" s="39" t="str">
        <f>IF($A100="","",IFERROR(INDEX(Références!$C$2:$C$201,MATCH($A100,Références!$A$2:$A$201,0)),""))</f>
        <v>Weissman (1999)</v>
      </c>
      <c r="C100" s="39" t="str">
        <f>IF($A100="","",IFERROR(INDEX(Références!$D$2:$D$201,MATCH($A100,Références!$A$2:$A$201,0)),""))</f>
        <v>Influence of tire-pavement contact stress distribution on development of distress mechanisms in pavements</v>
      </c>
      <c r="D100" s="40">
        <f>IF($A100="","",IFERROR(INDEX(Références!$G$2:$G$201,MATCH($A100,Références!$A$2:$A$201,0)),""))</f>
        <v>6</v>
      </c>
      <c r="E100" s="40" t="str">
        <f>IF($A100="","",IFERROR(INDEX(Références!$H$2:$H$201,MATCH($A100,Références!$A$2:$A$201,0)),""))</f>
        <v>Important</v>
      </c>
      <c r="F100" s="40">
        <f>IF($A100="","",IFERROR(INDEX(Références!$I$2:$I$201,MATCH($A100,Références!$A$2:$A$201,0)),""))</f>
        <v>6</v>
      </c>
      <c r="G100" s="40" t="str">
        <f>IF($A100="","",IFERROR(INDEX(Références!$F$2:$F$201,MATCH($A100,Références!$A$2:$A$201,0)),""))</f>
        <v>Non</v>
      </c>
      <c r="H100" s="40" t="str">
        <f>IF($A100="","",IFERROR(INDEX(Références!$J$2:$J$201,MATCH($A100,Références!$A$2:$A$201,0)),""))</f>
        <v>À lire</v>
      </c>
      <c r="I100" s="41" t="str">
        <f>IF($A100="","",IFERROR(IF(INDEX(Références!$AF$2:$AF$201,MATCH($A100,Références!$A$2:$A$201,0))="","",HYPERLINK(INDEX(Références!$AF$2:$AF$201,MATCH($A100,Références!$A$2:$A$201,0)),"Ouvrir")),""))</f>
        <v>Ouvrir</v>
      </c>
      <c r="J100" s="42" t="s">
        <v>517</v>
      </c>
      <c r="K100" s="3" t="s">
        <v>2423</v>
      </c>
      <c r="L100" s="3" t="s">
        <v>2485</v>
      </c>
      <c r="M100" s="3" t="s">
        <v>2486</v>
      </c>
      <c r="N100" s="3" t="s">
        <v>2487</v>
      </c>
      <c r="O100" s="3" t="s">
        <v>2488</v>
      </c>
      <c r="P100" s="43" t="s">
        <v>2489</v>
      </c>
      <c r="Q100" s="3" t="s">
        <v>2490</v>
      </c>
      <c r="R100" s="3" t="s">
        <v>1685</v>
      </c>
      <c r="S100" s="3" t="s">
        <v>2491</v>
      </c>
      <c r="T100" s="3" t="s">
        <v>1687</v>
      </c>
      <c r="U100" s="3" t="s">
        <v>2492</v>
      </c>
      <c r="V100" s="3" t="s">
        <v>1715</v>
      </c>
      <c r="W100" s="3" t="s">
        <v>2493</v>
      </c>
      <c r="X100" s="3" t="s">
        <v>2494</v>
      </c>
    </row>
    <row r="101" spans="1:24" ht="42.75" customHeight="1" x14ac:dyDescent="0.25">
      <c r="A101" s="38" t="s">
        <v>1592</v>
      </c>
      <c r="B101" s="39" t="str">
        <f>IF($A101="","",IFERROR(INDEX(Références!$C$2:$C$201,MATCH($A101,Références!$A$2:$A$201,0)),""))</f>
        <v>AFNOR (2019)</v>
      </c>
      <c r="C101" s="39" t="str">
        <f>IF($A101="","",IFERROR(INDEX(Références!$D$2:$D$201,MATCH($A101,Références!$A$2:$A$201,0)),""))</f>
        <v>NF EN 12697-24 — Mélanges bitumineux — Méthodes d'essai — Partie 24 : résistance à la fatigue</v>
      </c>
      <c r="D101" s="40">
        <f>IF($A101="","",IFERROR(INDEX(Références!$G$2:$G$201,MATCH($A101,Références!$A$2:$A$201,0)),""))</f>
        <v>6</v>
      </c>
      <c r="E101" s="40" t="str">
        <f>IF($A101="","",IFERROR(INDEX(Références!$H$2:$H$201,MATCH($A101,Références!$A$2:$A$201,0)),""))</f>
        <v>A consulter</v>
      </c>
      <c r="F101" s="40">
        <f>IF($A101="","",IFERROR(INDEX(Références!$I$2:$I$201,MATCH($A101,Références!$A$2:$A$201,0)),""))</f>
        <v>6</v>
      </c>
      <c r="G101" s="40" t="str">
        <f>IF($A101="","",IFERROR(INDEX(Références!$F$2:$F$201,MATCH($A101,Références!$A$2:$A$201,0)),""))</f>
        <v>Non</v>
      </c>
      <c r="H101" s="40" t="str">
        <f>IF($A101="","",IFERROR(INDEX(Références!$J$2:$J$201,MATCH($A101,Références!$A$2:$A$201,0)),""))</f>
        <v>À lire</v>
      </c>
      <c r="I101" s="41" t="str">
        <f>IF($A101="","",IFERROR(IF(INDEX(Références!$AF$2:$AF$201,MATCH($A101,Références!$A$2:$A$201,0))="","",HYPERLINK(INDEX(Références!$AF$2:$AF$201,MATCH($A101,Références!$A$2:$A$201,0)),"Ouvrir")),""))</f>
        <v>Ouvrir</v>
      </c>
      <c r="J101" s="42" t="s">
        <v>1716</v>
      </c>
      <c r="K101" s="3" t="s">
        <v>2084</v>
      </c>
      <c r="L101" s="3" t="s">
        <v>2495</v>
      </c>
      <c r="M101" s="3" t="s">
        <v>1701</v>
      </c>
      <c r="N101" s="3" t="s">
        <v>1701</v>
      </c>
      <c r="O101" s="3" t="s">
        <v>1720</v>
      </c>
      <c r="P101" s="43" t="s">
        <v>2496</v>
      </c>
      <c r="Q101" s="3" t="s">
        <v>2497</v>
      </c>
      <c r="R101" s="3" t="s">
        <v>1701</v>
      </c>
      <c r="S101" s="3" t="s">
        <v>1701</v>
      </c>
      <c r="T101" s="3" t="s">
        <v>1701</v>
      </c>
      <c r="U101" s="3" t="s">
        <v>2088</v>
      </c>
      <c r="V101" s="3" t="s">
        <v>1969</v>
      </c>
      <c r="W101" s="3" t="s">
        <v>2440</v>
      </c>
      <c r="X101" s="3" t="s">
        <v>1701</v>
      </c>
    </row>
    <row r="102" spans="1:24" ht="94.5" customHeight="1" x14ac:dyDescent="0.25">
      <c r="A102" s="38" t="s">
        <v>1601</v>
      </c>
      <c r="B102" s="39" t="str">
        <f>IF($A102="","",IFERROR(INDEX(Références!$C$2:$C$201,MATCH($A102,Références!$A$2:$A$201,0)),""))</f>
        <v>Garg et al. (2018)</v>
      </c>
      <c r="C102" s="39" t="str">
        <f>IF($A102="","",IFERROR(INDEX(Références!$D$2:$D$201,MATCH($A102,Références!$A$2:$A$201,0)),""))</f>
        <v>Rutting evaluation of hot and warm mix asphalt concrete under high aircraft tire pressure and temperature at National Airport Pavement and Materials Research Center</v>
      </c>
      <c r="D102" s="40">
        <f>IF($A102="","",IFERROR(INDEX(Références!$G$2:$G$201,MATCH($A102,Références!$A$2:$A$201,0)),""))</f>
        <v>6</v>
      </c>
      <c r="E102" s="40" t="str">
        <f>IF($A102="","",IFERROR(INDEX(Références!$H$2:$H$201,MATCH($A102,Références!$A$2:$A$201,0)),""))</f>
        <v>A consulter</v>
      </c>
      <c r="F102" s="40">
        <f>IF($A102="","",IFERROR(INDEX(Références!$I$2:$I$201,MATCH($A102,Références!$A$2:$A$201,0)),""))</f>
        <v>6</v>
      </c>
      <c r="G102" s="40" t="str">
        <f>IF($A102="","",IFERROR(INDEX(Références!$F$2:$F$201,MATCH($A102,Références!$A$2:$A$201,0)),""))</f>
        <v>Non</v>
      </c>
      <c r="H102" s="40" t="str">
        <f>IF($A102="","",IFERROR(INDEX(Références!$J$2:$J$201,MATCH($A102,Références!$A$2:$A$201,0)),""))</f>
        <v>À lire</v>
      </c>
      <c r="I102" s="41" t="str">
        <f>IF($A102="","",IFERROR(IF(INDEX(Références!$AF$2:$AF$201,MATCH($A102,Références!$A$2:$A$201,0))="","",HYPERLINK(INDEX(Références!$AF$2:$AF$201,MATCH($A102,Références!$A$2:$A$201,0)),"Ouvrir")),""))</f>
        <v>Ouvrir</v>
      </c>
      <c r="J102" s="42" t="s">
        <v>517</v>
      </c>
      <c r="K102" s="3" t="s">
        <v>2498</v>
      </c>
      <c r="L102" s="3" t="s">
        <v>2499</v>
      </c>
      <c r="M102" s="3" t="s">
        <v>2500</v>
      </c>
      <c r="N102" s="3" t="s">
        <v>2501</v>
      </c>
      <c r="O102" s="3" t="s">
        <v>2502</v>
      </c>
      <c r="P102" s="43" t="s">
        <v>2503</v>
      </c>
      <c r="Q102" s="3" t="s">
        <v>2504</v>
      </c>
      <c r="R102" s="3" t="s">
        <v>2505</v>
      </c>
      <c r="S102" s="3" t="s">
        <v>1701</v>
      </c>
      <c r="T102" s="3" t="s">
        <v>1701</v>
      </c>
      <c r="U102" s="3" t="s">
        <v>2506</v>
      </c>
      <c r="V102" s="3" t="s">
        <v>2507</v>
      </c>
      <c r="W102" s="3" t="s">
        <v>2508</v>
      </c>
      <c r="X102" s="3" t="s">
        <v>2154</v>
      </c>
    </row>
    <row r="103" spans="1:24" ht="81.75" customHeight="1" x14ac:dyDescent="0.25">
      <c r="A103" s="38" t="s">
        <v>1612</v>
      </c>
      <c r="B103" s="39" t="str">
        <f>IF($A103="","",IFERROR(INDEX(Références!$C$2:$C$201,MATCH($A103,Références!$A$2:$A$201,0)),""))</f>
        <v>Guo et al. (2025)</v>
      </c>
      <c r="C103" s="39" t="str">
        <f>IF($A103="","",IFERROR(INDEX(Références!$D$2:$D$201,MATCH($A103,Références!$A$2:$A$201,0)),""))</f>
        <v>Analysis of tire contact stresses and asphalt pavement rutting under gradient temperature and typical driving conditions</v>
      </c>
      <c r="D103" s="40">
        <f>IF($A103="","",IFERROR(INDEX(Références!$G$2:$G$201,MATCH($A103,Références!$A$2:$A$201,0)),""))</f>
        <v>6</v>
      </c>
      <c r="E103" s="40" t="str">
        <f>IF($A103="","",IFERROR(INDEX(Références!$H$2:$H$201,MATCH($A103,Références!$A$2:$A$201,0)),""))</f>
        <v>A consulter</v>
      </c>
      <c r="F103" s="40">
        <f>IF($A103="","",IFERROR(INDEX(Références!$I$2:$I$201,MATCH($A103,Références!$A$2:$A$201,0)),""))</f>
        <v>6</v>
      </c>
      <c r="G103" s="40" t="str">
        <f>IF($A103="","",IFERROR(INDEX(Références!$F$2:$F$201,MATCH($A103,Références!$A$2:$A$201,0)),""))</f>
        <v>Oui</v>
      </c>
      <c r="H103" s="40" t="str">
        <f>IF($A103="","",IFERROR(INDEX(Références!$J$2:$J$201,MATCH($A103,Références!$A$2:$A$201,0)),""))</f>
        <v>À lire</v>
      </c>
      <c r="I103" s="41" t="str">
        <f>IF($A103="","",IFERROR(IF(INDEX(Références!$AF$2:$AF$201,MATCH($A103,Références!$A$2:$A$201,0))="","",HYPERLINK(INDEX(Références!$AF$2:$AF$201,MATCH($A103,Références!$A$2:$A$201,0)),"Ouvrir")),""))</f>
        <v>Ouvrir</v>
      </c>
      <c r="J103" s="42" t="s">
        <v>1692</v>
      </c>
      <c r="K103" s="3" t="s">
        <v>2509</v>
      </c>
      <c r="L103" s="3" t="s">
        <v>2510</v>
      </c>
      <c r="M103" s="3" t="s">
        <v>2511</v>
      </c>
      <c r="N103" s="3" t="s">
        <v>2512</v>
      </c>
      <c r="O103" s="3" t="s">
        <v>2513</v>
      </c>
      <c r="P103" s="43" t="s">
        <v>2514</v>
      </c>
      <c r="Q103" s="3" t="s">
        <v>2515</v>
      </c>
      <c r="R103" s="3" t="s">
        <v>2516</v>
      </c>
      <c r="S103" s="3" t="s">
        <v>2517</v>
      </c>
      <c r="T103" s="3" t="s">
        <v>2518</v>
      </c>
      <c r="U103" s="3" t="s">
        <v>2519</v>
      </c>
      <c r="V103" s="3" t="s">
        <v>2520</v>
      </c>
      <c r="W103" s="3" t="s">
        <v>2521</v>
      </c>
      <c r="X103" s="3" t="s">
        <v>1777</v>
      </c>
    </row>
    <row r="104" spans="1:24" ht="81.75" customHeight="1" x14ac:dyDescent="0.25">
      <c r="A104" s="38" t="s">
        <v>1625</v>
      </c>
      <c r="B104" s="39" t="str">
        <f>IF($A104="","",IFERROR(INDEX(Références!$C$2:$C$201,MATCH($A104,Références!$A$2:$A$201,0)),""))</f>
        <v>Miner (1945)</v>
      </c>
      <c r="C104" s="39" t="str">
        <f>IF($A104="","",IFERROR(INDEX(Références!$D$2:$D$201,MATCH($A104,Références!$A$2:$A$201,0)),""))</f>
        <v>Cumulative damage in fatigue</v>
      </c>
      <c r="D104" s="40">
        <f>IF($A104="","",IFERROR(INDEX(Références!$G$2:$G$201,MATCH($A104,Références!$A$2:$A$201,0)),""))</f>
        <v>6</v>
      </c>
      <c r="E104" s="40" t="str">
        <f>IF($A104="","",IFERROR(INDEX(Références!$H$2:$H$201,MATCH($A104,Références!$A$2:$A$201,0)),""))</f>
        <v>A consulter</v>
      </c>
      <c r="F104" s="40">
        <f>IF($A104="","",IFERROR(INDEX(Références!$I$2:$I$201,MATCH($A104,Références!$A$2:$A$201,0)),""))</f>
        <v>6</v>
      </c>
      <c r="G104" s="40" t="str">
        <f>IF($A104="","",IFERROR(INDEX(Références!$F$2:$F$201,MATCH($A104,Références!$A$2:$A$201,0)),""))</f>
        <v>Non</v>
      </c>
      <c r="H104" s="40" t="str">
        <f>IF($A104="","",IFERROR(INDEX(Références!$J$2:$J$201,MATCH($A104,Références!$A$2:$A$201,0)),""))</f>
        <v>À lire</v>
      </c>
      <c r="I104" s="41" t="str">
        <f>IF($A104="","",IFERROR(IF(INDEX(Références!$AF$2:$AF$201,MATCH($A104,Références!$A$2:$A$201,0))="","",HYPERLINK(INDEX(Références!$AF$2:$AF$201,MATCH($A104,Références!$A$2:$A$201,0)),"Ouvrir")),""))</f>
        <v>Ouvrir</v>
      </c>
      <c r="J104" s="42" t="s">
        <v>1692</v>
      </c>
      <c r="K104" s="3" t="s">
        <v>1751</v>
      </c>
      <c r="L104" s="3" t="s">
        <v>2522</v>
      </c>
      <c r="M104" s="3" t="s">
        <v>2523</v>
      </c>
      <c r="N104" s="3" t="s">
        <v>2524</v>
      </c>
      <c r="O104" s="3" t="s">
        <v>2525</v>
      </c>
      <c r="P104" s="43" t="s">
        <v>2526</v>
      </c>
      <c r="Q104" s="3" t="s">
        <v>2527</v>
      </c>
      <c r="R104" s="3" t="s">
        <v>1701</v>
      </c>
      <c r="S104" s="3" t="s">
        <v>1701</v>
      </c>
      <c r="T104" s="3" t="s">
        <v>2528</v>
      </c>
      <c r="U104" s="3" t="s">
        <v>2083</v>
      </c>
      <c r="V104" s="3" t="s">
        <v>1969</v>
      </c>
      <c r="W104" s="3" t="s">
        <v>2529</v>
      </c>
      <c r="X104" s="3" t="s">
        <v>2530</v>
      </c>
    </row>
    <row r="105" spans="1:24" ht="171" customHeight="1" x14ac:dyDescent="0.25">
      <c r="A105" s="38" t="s">
        <v>300</v>
      </c>
      <c r="B105" s="39" t="str">
        <f>IF($A105="","",IFERROR(INDEX(Références!$C$2:$C$201,MATCH($A105,Références!$A$2:$A$201,0)),""))</f>
        <v>Airbus S.A.S. (2010)</v>
      </c>
      <c r="C105" s="39" t="str">
        <f>IF($A105="","",IFERROR(INDEX(Références!$D$2:$D$201,MATCH($A105,Références!$A$2:$A$201,0)),""))</f>
        <v>High Tire Pressure Test (HTPT) — Final report</v>
      </c>
      <c r="D105" s="40">
        <f>IF($A105="","",IFERROR(INDEX(Références!$G$2:$G$201,MATCH($A105,Références!$A$2:$A$201,0)),""))</f>
        <v>7</v>
      </c>
      <c r="E105" s="40" t="str">
        <f>IF($A105="","",IFERROR(INDEX(Références!$H$2:$H$201,MATCH($A105,Références!$A$2:$A$201,0)),""))</f>
        <v>INCONTOURNABLE</v>
      </c>
      <c r="F105" s="40">
        <f>IF($A105="","",IFERROR(INDEX(Références!$I$2:$I$201,MATCH($A105,Références!$A$2:$A$201,0)),""))</f>
        <v>1</v>
      </c>
      <c r="G105" s="40" t="str">
        <f>IF($A105="","",IFERROR(INDEX(Références!$F$2:$F$201,MATCH($A105,Références!$A$2:$A$201,0)),""))</f>
        <v>Oui</v>
      </c>
      <c r="H105" s="40" t="str">
        <f>IF($A105="","",IFERROR(INDEX(Références!$J$2:$J$201,MATCH($A105,Références!$A$2:$A$201,0)),""))</f>
        <v>À lire</v>
      </c>
      <c r="I105" s="41" t="str">
        <f>IF($A105="","",IFERROR(IF(INDEX(Références!$AF$2:$AF$201,MATCH($A105,Références!$A$2:$A$201,0))="","",HYPERLINK(INDEX(Références!$AF$2:$AF$201,MATCH($A105,Références!$A$2:$A$201,0)),"Ouvrir")),""))</f>
        <v>Ouvrir</v>
      </c>
      <c r="J105" s="42" t="s">
        <v>517</v>
      </c>
      <c r="K105" s="3" t="s">
        <v>2531</v>
      </c>
      <c r="L105" s="3" t="s">
        <v>2532</v>
      </c>
      <c r="M105" s="3" t="s">
        <v>2533</v>
      </c>
      <c r="N105" s="3" t="s">
        <v>2534</v>
      </c>
      <c r="O105" s="3" t="s">
        <v>2535</v>
      </c>
      <c r="P105" s="43" t="s">
        <v>2536</v>
      </c>
      <c r="Q105" s="3" t="s">
        <v>2537</v>
      </c>
      <c r="R105" s="3" t="s">
        <v>2538</v>
      </c>
      <c r="S105" s="3" t="s">
        <v>1713</v>
      </c>
      <c r="T105" s="3" t="s">
        <v>1701</v>
      </c>
      <c r="U105" s="3" t="s">
        <v>2539</v>
      </c>
      <c r="V105" s="3" t="s">
        <v>2507</v>
      </c>
      <c r="W105" s="3" t="s">
        <v>2540</v>
      </c>
      <c r="X105" s="3" t="s">
        <v>1734</v>
      </c>
    </row>
    <row r="106" spans="1:24" ht="120" customHeight="1" x14ac:dyDescent="0.25">
      <c r="A106" s="38" t="s">
        <v>312</v>
      </c>
      <c r="B106" s="39" t="str">
        <f>IF($A106="","",IFERROR(INDEX(Références!$C$2:$C$201,MATCH($A106,Références!$A$2:$A$201,0)),""))</f>
        <v>Petitjean et al. (2001)</v>
      </c>
      <c r="C106" s="39" t="str">
        <f>IF($A106="","",IFERROR(INDEX(Références!$D$2:$D$201,MATCH($A106,Références!$A$2:$A$201,0)),""))</f>
        <v>LCPC / Airbus / STBA A380 Pavement Experimental Programme</v>
      </c>
      <c r="D106" s="40">
        <f>IF($A106="","",IFERROR(INDEX(Références!$G$2:$G$201,MATCH($A106,Références!$A$2:$A$201,0)),""))</f>
        <v>7</v>
      </c>
      <c r="E106" s="40" t="str">
        <f>IF($A106="","",IFERROR(INDEX(Références!$H$2:$H$201,MATCH($A106,Références!$A$2:$A$201,0)),""))</f>
        <v>INCONTOURNABLE</v>
      </c>
      <c r="F106" s="40">
        <f>IF($A106="","",IFERROR(INDEX(Références!$I$2:$I$201,MATCH($A106,Références!$A$2:$A$201,0)),""))</f>
        <v>1</v>
      </c>
      <c r="G106" s="40" t="str">
        <f>IF($A106="","",IFERROR(INDEX(Références!$F$2:$F$201,MATCH($A106,Références!$A$2:$A$201,0)),""))</f>
        <v>Oui</v>
      </c>
      <c r="H106" s="40" t="str">
        <f>IF($A106="","",IFERROR(INDEX(Références!$J$2:$J$201,MATCH($A106,Références!$A$2:$A$201,0)),""))</f>
        <v>À lire</v>
      </c>
      <c r="I106" s="41" t="str">
        <f>IF($A106="","",IFERROR(IF(INDEX(Références!$AF$2:$AF$201,MATCH($A106,Références!$A$2:$A$201,0))="","",HYPERLINK(INDEX(Références!$AF$2:$AF$201,MATCH($A106,Références!$A$2:$A$201,0)),"Ouvrir")),""))</f>
        <v>Ouvrir</v>
      </c>
      <c r="J106" s="42" t="s">
        <v>517</v>
      </c>
      <c r="K106" s="3" t="s">
        <v>2541</v>
      </c>
      <c r="L106" s="3" t="s">
        <v>2542</v>
      </c>
      <c r="M106" s="3" t="s">
        <v>2543</v>
      </c>
      <c r="N106" s="3" t="s">
        <v>2544</v>
      </c>
      <c r="O106" s="3" t="s">
        <v>2545</v>
      </c>
      <c r="P106" s="43" t="s">
        <v>2546</v>
      </c>
      <c r="Q106" s="3" t="s">
        <v>2547</v>
      </c>
      <c r="R106" s="3" t="s">
        <v>2548</v>
      </c>
      <c r="S106" s="3" t="s">
        <v>1701</v>
      </c>
      <c r="T106" s="3" t="s">
        <v>2549</v>
      </c>
      <c r="U106" s="3" t="s">
        <v>1800</v>
      </c>
      <c r="V106" s="3" t="s">
        <v>2550</v>
      </c>
      <c r="W106" s="3" t="s">
        <v>2551</v>
      </c>
      <c r="X106" s="3" t="s">
        <v>1734</v>
      </c>
    </row>
    <row r="107" spans="1:24" ht="94.5" customHeight="1" x14ac:dyDescent="0.25">
      <c r="A107" s="38" t="s">
        <v>324</v>
      </c>
      <c r="B107" s="39" t="str">
        <f>IF($A107="","",IFERROR(INDEX(Références!$C$2:$C$201,MATCH($A107,Références!$A$2:$A$201,0)),""))</f>
        <v>STAC (2011)</v>
      </c>
      <c r="C107" s="39" t="str">
        <f>IF($A107="","",IFERROR(INDEX(Références!$D$2:$D$201,MATCH($A107,Références!$A$2:$A$201,0)),""))</f>
        <v>High tire pressure test — Rapport d'étude (version 1)</v>
      </c>
      <c r="D107" s="40">
        <f>IF($A107="","",IFERROR(INDEX(Références!$G$2:$G$201,MATCH($A107,Références!$A$2:$A$201,0)),""))</f>
        <v>7</v>
      </c>
      <c r="E107" s="40" t="str">
        <f>IF($A107="","",IFERROR(INDEX(Références!$H$2:$H$201,MATCH($A107,Références!$A$2:$A$201,0)),""))</f>
        <v>INCONTOURNABLE</v>
      </c>
      <c r="F107" s="40">
        <f>IF($A107="","",IFERROR(INDEX(Références!$I$2:$I$201,MATCH($A107,Références!$A$2:$A$201,0)),""))</f>
        <v>1</v>
      </c>
      <c r="G107" s="40" t="str">
        <f>IF($A107="","",IFERROR(INDEX(Références!$F$2:$F$201,MATCH($A107,Références!$A$2:$A$201,0)),""))</f>
        <v>Non</v>
      </c>
      <c r="H107" s="40" t="str">
        <f>IF($A107="","",IFERROR(INDEX(Références!$J$2:$J$201,MATCH($A107,Références!$A$2:$A$201,0)),""))</f>
        <v>À lire</v>
      </c>
      <c r="I107" s="41" t="str">
        <f>IF($A107="","",IFERROR(IF(INDEX(Références!$AF$2:$AF$201,MATCH($A107,Références!$A$2:$A$201,0))="","",HYPERLINK(INDEX(Références!$AF$2:$AF$201,MATCH($A107,Références!$A$2:$A$201,0)),"Ouvrir")),""))</f>
        <v>Ouvrir</v>
      </c>
      <c r="J107" s="42" t="s">
        <v>517</v>
      </c>
      <c r="K107" s="3" t="s">
        <v>2552</v>
      </c>
      <c r="L107" s="3" t="s">
        <v>2553</v>
      </c>
      <c r="M107" s="3" t="s">
        <v>2554</v>
      </c>
      <c r="N107" s="3" t="s">
        <v>2555</v>
      </c>
      <c r="O107" s="3" t="s">
        <v>2556</v>
      </c>
      <c r="P107" s="43" t="s">
        <v>2557</v>
      </c>
      <c r="Q107" s="3" t="s">
        <v>2558</v>
      </c>
      <c r="R107" s="3" t="s">
        <v>2559</v>
      </c>
      <c r="S107" s="3" t="s">
        <v>1701</v>
      </c>
      <c r="T107" s="3" t="s">
        <v>1701</v>
      </c>
      <c r="U107" s="3" t="s">
        <v>1800</v>
      </c>
      <c r="V107" s="3" t="s">
        <v>2507</v>
      </c>
      <c r="W107" s="3" t="s">
        <v>2560</v>
      </c>
      <c r="X107" s="3" t="s">
        <v>1734</v>
      </c>
    </row>
    <row r="108" spans="1:24" ht="42.75" customHeight="1" x14ac:dyDescent="0.25">
      <c r="A108" s="38" t="s">
        <v>985</v>
      </c>
      <c r="B108" s="39" t="str">
        <f>IF($A108="","",IFERROR(INDEX(Références!$C$2:$C$201,MATCH($A108,Références!$A$2:$A$201,0)),""))</f>
        <v>STAC (2016)</v>
      </c>
      <c r="C108" s="39" t="str">
        <f>IF($A108="","",IFERROR(INDEX(Références!$D$2:$D$201,MATCH($A108,Références!$A$2:$A$201,0)),""))</f>
        <v>Méthode rationnelle de dimensionnement des chaussées aéronautiques souples — Guide technique</v>
      </c>
      <c r="D108" s="40">
        <f>IF($A108="","",IFERROR(INDEX(Références!$G$2:$G$201,MATCH($A108,Références!$A$2:$A$201,0)),""))</f>
        <v>7</v>
      </c>
      <c r="E108" s="40" t="str">
        <f>IF($A108="","",IFERROR(INDEX(Références!$H$2:$H$201,MATCH($A108,Références!$A$2:$A$201,0)),""))</f>
        <v>INCONTOURNABLE</v>
      </c>
      <c r="F108" s="40">
        <f>IF($A108="","",IFERROR(INDEX(Références!$I$2:$I$201,MATCH($A108,Références!$A$2:$A$201,0)),""))</f>
        <v>4</v>
      </c>
      <c r="G108" s="40" t="str">
        <f>IF($A108="","",IFERROR(INDEX(Références!$F$2:$F$201,MATCH($A108,Références!$A$2:$A$201,0)),""))</f>
        <v>Non</v>
      </c>
      <c r="H108" s="40" t="str">
        <f>IF($A108="","",IFERROR(INDEX(Références!$J$2:$J$201,MATCH($A108,Références!$A$2:$A$201,0)),""))</f>
        <v>À lire</v>
      </c>
      <c r="I108" s="41" t="str">
        <f>IF($A108="","",IFERROR(IF(INDEX(Références!$AF$2:$AF$201,MATCH($A108,Références!$A$2:$A$201,0))="","",HYPERLINK(INDEX(Références!$AF$2:$AF$201,MATCH($A108,Références!$A$2:$A$201,0)),"Ouvrir")),""))</f>
        <v>Ouvrir</v>
      </c>
      <c r="J108" s="42" t="s">
        <v>1716</v>
      </c>
      <c r="K108" s="3" t="s">
        <v>2561</v>
      </c>
      <c r="L108" s="3" t="s">
        <v>2562</v>
      </c>
      <c r="M108" s="3" t="s">
        <v>2563</v>
      </c>
      <c r="N108" s="3" t="s">
        <v>1701</v>
      </c>
      <c r="O108" s="3" t="s">
        <v>1720</v>
      </c>
      <c r="P108" s="43" t="s">
        <v>2564</v>
      </c>
      <c r="Q108" s="3" t="s">
        <v>2565</v>
      </c>
      <c r="R108" s="3" t="s">
        <v>1793</v>
      </c>
      <c r="S108" s="3" t="s">
        <v>1701</v>
      </c>
      <c r="T108" s="3" t="s">
        <v>1687</v>
      </c>
      <c r="U108" s="3" t="s">
        <v>2566</v>
      </c>
      <c r="V108" s="3" t="s">
        <v>1701</v>
      </c>
      <c r="W108" s="3" t="s">
        <v>2567</v>
      </c>
      <c r="X108" s="3" t="s">
        <v>1701</v>
      </c>
    </row>
    <row r="109" spans="1:24" ht="42.75" customHeight="1" x14ac:dyDescent="0.25">
      <c r="A109" s="38" t="s">
        <v>1103</v>
      </c>
      <c r="B109" s="39" t="str">
        <f>IF($A109="","",IFERROR(INDEX(Références!$C$2:$C$201,MATCH($A109,Références!$A$2:$A$201,0)),""))</f>
        <v>Blanc et al. (2016)</v>
      </c>
      <c r="C109" s="39" t="str">
        <f>IF($A109="","",IFERROR(INDEX(Références!$D$2:$D$201,MATCH($A109,Références!$A$2:$A$201,0)),""))</f>
        <v>Alizé-Aéronautique, version 1.5 — Manuel d'utilisation</v>
      </c>
      <c r="D109" s="40">
        <f>IF($A109="","",IFERROR(INDEX(Références!$G$2:$G$201,MATCH($A109,Références!$A$2:$A$201,0)),""))</f>
        <v>7</v>
      </c>
      <c r="E109" s="40" t="str">
        <f>IF($A109="","",IFERROR(INDEX(Références!$H$2:$H$201,MATCH($A109,Références!$A$2:$A$201,0)),""))</f>
        <v>Important</v>
      </c>
      <c r="F109" s="40">
        <f>IF($A109="","",IFERROR(INDEX(Références!$I$2:$I$201,MATCH($A109,Références!$A$2:$A$201,0)),""))</f>
        <v>4</v>
      </c>
      <c r="G109" s="40" t="str">
        <f>IF($A109="","",IFERROR(INDEX(Références!$F$2:$F$201,MATCH($A109,Références!$A$2:$A$201,0)),""))</f>
        <v>Non</v>
      </c>
      <c r="H109" s="40" t="str">
        <f>IF($A109="","",IFERROR(INDEX(Références!$J$2:$J$201,MATCH($A109,Références!$A$2:$A$201,0)),""))</f>
        <v>À lire</v>
      </c>
      <c r="I109" s="41" t="str">
        <f>IF($A109="","",IFERROR(IF(INDEX(Références!$AF$2:$AF$201,MATCH($A109,Références!$A$2:$A$201,0))="","",HYPERLINK(INDEX(Références!$AF$2:$AF$201,MATCH($A109,Références!$A$2:$A$201,0)),"Ouvrir")),""))</f>
        <v>Ouvrir</v>
      </c>
      <c r="J109" s="42" t="s">
        <v>1716</v>
      </c>
      <c r="K109" s="3" t="s">
        <v>2568</v>
      </c>
      <c r="L109" s="3" t="s">
        <v>2569</v>
      </c>
      <c r="M109" s="3" t="s">
        <v>1701</v>
      </c>
      <c r="N109" s="3" t="s">
        <v>1701</v>
      </c>
      <c r="O109" s="3" t="s">
        <v>1720</v>
      </c>
      <c r="P109" s="43" t="s">
        <v>2570</v>
      </c>
      <c r="Q109" s="3" t="s">
        <v>2571</v>
      </c>
      <c r="R109" s="3" t="s">
        <v>1793</v>
      </c>
      <c r="S109" s="3" t="s">
        <v>1701</v>
      </c>
      <c r="T109" s="3" t="s">
        <v>1687</v>
      </c>
      <c r="U109" s="3" t="s">
        <v>2572</v>
      </c>
      <c r="V109" s="3" t="s">
        <v>1701</v>
      </c>
      <c r="W109" s="3" t="s">
        <v>1666</v>
      </c>
      <c r="X109" s="3" t="s">
        <v>1701</v>
      </c>
    </row>
    <row r="110" spans="1:24" ht="81.75" customHeight="1" x14ac:dyDescent="0.25">
      <c r="A110" s="38" t="s">
        <v>1116</v>
      </c>
      <c r="B110" s="39" t="str">
        <f>IF($A110="","",IFERROR(INDEX(Références!$C$2:$C$201,MATCH($A110,Références!$A$2:$A$201,0)),""))</f>
        <v>Broutin (2010)</v>
      </c>
      <c r="C110" s="39" t="str">
        <f>IF($A110="","",IFERROR(INDEX(Références!$D$2:$D$201,MATCH($A110,Références!$A$2:$A$201,0)),""))</f>
        <v>Évaluation des chaussées souples aéroportuaires à l'aide du déflectomètre à masse tombante (HWD) : développement d'une méthode d'analyse dynamique temporelle par éléments finis pour le calcul inverse des propriétés structurelles</v>
      </c>
      <c r="D110" s="40">
        <f>IF($A110="","",IFERROR(INDEX(Références!$G$2:$G$201,MATCH($A110,Références!$A$2:$A$201,0)),""))</f>
        <v>7</v>
      </c>
      <c r="E110" s="40" t="str">
        <f>IF($A110="","",IFERROR(INDEX(Références!$H$2:$H$201,MATCH($A110,Références!$A$2:$A$201,0)),""))</f>
        <v>Important</v>
      </c>
      <c r="F110" s="40">
        <f>IF($A110="","",IFERROR(INDEX(Références!$I$2:$I$201,MATCH($A110,Références!$A$2:$A$201,0)),""))</f>
        <v>4</v>
      </c>
      <c r="G110" s="40" t="str">
        <f>IF($A110="","",IFERROR(INDEX(Références!$F$2:$F$201,MATCH($A110,Références!$A$2:$A$201,0)),""))</f>
        <v>Non</v>
      </c>
      <c r="H110" s="40" t="str">
        <f>IF($A110="","",IFERROR(INDEX(Références!$J$2:$J$201,MATCH($A110,Références!$A$2:$A$201,0)),""))</f>
        <v>À lire</v>
      </c>
      <c r="I110" s="41" t="str">
        <f>IF($A110="","",IFERROR(IF(INDEX(Références!$AF$2:$AF$201,MATCH($A110,Références!$A$2:$A$201,0))="","",HYPERLINK(INDEX(Références!$AF$2:$AF$201,MATCH($A110,Références!$A$2:$A$201,0)),"Ouvrir")),""))</f>
        <v>Ouvrir</v>
      </c>
      <c r="J110" s="42" t="s">
        <v>1716</v>
      </c>
      <c r="K110" s="3" t="s">
        <v>2573</v>
      </c>
      <c r="L110" s="3" t="s">
        <v>2574</v>
      </c>
      <c r="M110" s="3" t="s">
        <v>1701</v>
      </c>
      <c r="N110" s="3" t="s">
        <v>1701</v>
      </c>
      <c r="O110" s="3" t="s">
        <v>1720</v>
      </c>
      <c r="P110" s="43" t="s">
        <v>2575</v>
      </c>
      <c r="Q110" s="3" t="s">
        <v>2576</v>
      </c>
      <c r="R110" s="3" t="s">
        <v>1701</v>
      </c>
      <c r="S110" s="3" t="s">
        <v>2150</v>
      </c>
      <c r="T110" s="3" t="s">
        <v>1701</v>
      </c>
      <c r="U110" s="3" t="s">
        <v>2577</v>
      </c>
      <c r="V110" s="3" t="s">
        <v>2152</v>
      </c>
      <c r="W110" s="3" t="s">
        <v>2153</v>
      </c>
      <c r="X110" s="3" t="s">
        <v>1701</v>
      </c>
    </row>
    <row r="111" spans="1:24" ht="55.5" customHeight="1" x14ac:dyDescent="0.25">
      <c r="A111" s="38" t="s">
        <v>1128</v>
      </c>
      <c r="B111" s="39" t="str">
        <f>IF($A111="","",IFERROR(INDEX(Références!$C$2:$C$201,MATCH($A111,Références!$A$2:$A$201,0)),""))</f>
        <v>Clavel &amp; Courant (2018)</v>
      </c>
      <c r="C111" s="39" t="str">
        <f>IF($A111="","",IFERROR(INDEX(Références!$D$2:$D$201,MATCH($A111,Références!$A$2:$A$201,0)),""))</f>
        <v>Conception étape par étape avec utilisation d'Alizé-aéro — Méthode rationnelle de dimensionnement des chaussées aéronautiques souples</v>
      </c>
      <c r="D111" s="40">
        <f>IF($A111="","",IFERROR(INDEX(Références!$G$2:$G$201,MATCH($A111,Références!$A$2:$A$201,0)),""))</f>
        <v>7</v>
      </c>
      <c r="E111" s="40" t="str">
        <f>IF($A111="","",IFERROR(INDEX(Références!$H$2:$H$201,MATCH($A111,Références!$A$2:$A$201,0)),""))</f>
        <v>Important</v>
      </c>
      <c r="F111" s="40">
        <f>IF($A111="","",IFERROR(INDEX(Références!$I$2:$I$201,MATCH($A111,Références!$A$2:$A$201,0)),""))</f>
        <v>4</v>
      </c>
      <c r="G111" s="40" t="str">
        <f>IF($A111="","",IFERROR(INDEX(Références!$F$2:$F$201,MATCH($A111,Références!$A$2:$A$201,0)),""))</f>
        <v>Non</v>
      </c>
      <c r="H111" s="40" t="str">
        <f>IF($A111="","",IFERROR(INDEX(Références!$J$2:$J$201,MATCH($A111,Références!$A$2:$A$201,0)),""))</f>
        <v>À lire</v>
      </c>
      <c r="I111" s="41" t="str">
        <f>IF($A111="","",IFERROR(IF(INDEX(Références!$AF$2:$AF$201,MATCH($A111,Références!$A$2:$A$201,0))="","",HYPERLINK(INDEX(Références!$AF$2:$AF$201,MATCH($A111,Références!$A$2:$A$201,0)),"Ouvrir")),""))</f>
        <v>Ouvrir</v>
      </c>
      <c r="J111" s="42" t="s">
        <v>1716</v>
      </c>
      <c r="K111" s="3" t="s">
        <v>2578</v>
      </c>
      <c r="L111" s="3" t="s">
        <v>2579</v>
      </c>
      <c r="M111" s="3" t="s">
        <v>1701</v>
      </c>
      <c r="N111" s="3" t="s">
        <v>1701</v>
      </c>
      <c r="O111" s="3" t="s">
        <v>1720</v>
      </c>
      <c r="P111" s="43" t="s">
        <v>2580</v>
      </c>
      <c r="Q111" s="3" t="s">
        <v>2581</v>
      </c>
      <c r="R111" s="3" t="s">
        <v>1793</v>
      </c>
      <c r="S111" s="3" t="s">
        <v>1701</v>
      </c>
      <c r="T111" s="3" t="s">
        <v>1687</v>
      </c>
      <c r="U111" s="3" t="s">
        <v>2566</v>
      </c>
      <c r="V111" s="3" t="s">
        <v>1701</v>
      </c>
      <c r="W111" s="3" t="s">
        <v>1666</v>
      </c>
      <c r="X111" s="3" t="s">
        <v>1701</v>
      </c>
    </row>
    <row r="112" spans="1:24" ht="94.5" customHeight="1" x14ac:dyDescent="0.25">
      <c r="A112" s="38" t="s">
        <v>1138</v>
      </c>
      <c r="B112" s="39" t="str">
        <f>IF($A112="","",IFERROR(INDEX(Références!$C$2:$C$201,MATCH($A112,Références!$A$2:$A$201,0)),""))</f>
        <v>Wang et al. (2013)</v>
      </c>
      <c r="C112" s="39" t="str">
        <f>IF($A112="","",IFERROR(INDEX(Références!$D$2:$D$201,MATCH($A112,Références!$A$2:$A$201,0)),""))</f>
        <v>Three-dimensional finite element modeling of instrumented airport runway pavement responses</v>
      </c>
      <c r="D112" s="40">
        <f>IF($A112="","",IFERROR(INDEX(Références!$G$2:$G$201,MATCH($A112,Références!$A$2:$A$201,0)),""))</f>
        <v>7</v>
      </c>
      <c r="E112" s="40" t="str">
        <f>IF($A112="","",IFERROR(INDEX(Références!$H$2:$H$201,MATCH($A112,Références!$A$2:$A$201,0)),""))</f>
        <v>Important</v>
      </c>
      <c r="F112" s="40">
        <f>IF($A112="","",IFERROR(INDEX(Références!$I$2:$I$201,MATCH($A112,Références!$A$2:$A$201,0)),""))</f>
        <v>4</v>
      </c>
      <c r="G112" s="40" t="str">
        <f>IF($A112="","",IFERROR(INDEX(Références!$F$2:$F$201,MATCH($A112,Références!$A$2:$A$201,0)),""))</f>
        <v>Non</v>
      </c>
      <c r="H112" s="40" t="str">
        <f>IF($A112="","",IFERROR(INDEX(Références!$J$2:$J$201,MATCH($A112,Références!$A$2:$A$201,0)),""))</f>
        <v>À lire</v>
      </c>
      <c r="I112" s="41" t="str">
        <f>IF($A112="","",IFERROR(IF(INDEX(Références!$AF$2:$AF$201,MATCH($A112,Références!$A$2:$A$201,0))="","",HYPERLINK(INDEX(Références!$AF$2:$AF$201,MATCH($A112,Références!$A$2:$A$201,0)),"Ouvrir")),""))</f>
        <v>Ouvrir</v>
      </c>
      <c r="J112" s="42" t="s">
        <v>1692</v>
      </c>
      <c r="K112" s="3" t="s">
        <v>1751</v>
      </c>
      <c r="L112" s="3" t="s">
        <v>2582</v>
      </c>
      <c r="M112" s="3" t="s">
        <v>2583</v>
      </c>
      <c r="N112" s="3" t="s">
        <v>2584</v>
      </c>
      <c r="O112" s="3" t="s">
        <v>2585</v>
      </c>
      <c r="P112" s="43" t="s">
        <v>2586</v>
      </c>
      <c r="Q112" s="3" t="s">
        <v>2587</v>
      </c>
      <c r="R112" s="3" t="s">
        <v>2588</v>
      </c>
      <c r="S112" s="3" t="s">
        <v>2589</v>
      </c>
      <c r="T112" s="3" t="s">
        <v>2109</v>
      </c>
      <c r="U112" s="3" t="s">
        <v>2170</v>
      </c>
      <c r="V112" s="3" t="s">
        <v>1703</v>
      </c>
      <c r="W112" s="3" t="s">
        <v>2590</v>
      </c>
      <c r="X112" s="3" t="s">
        <v>1734</v>
      </c>
    </row>
    <row r="113" spans="1:24" ht="55.5" customHeight="1" x14ac:dyDescent="0.25">
      <c r="A113" s="38" t="s">
        <v>1184</v>
      </c>
      <c r="B113" s="39" t="str">
        <f>IF($A113="","",IFERROR(INDEX(Références!$C$2:$C$201,MATCH($A113,Références!$A$2:$A$201,0)),""))</f>
        <v>Airbus S.A.S. (2025)</v>
      </c>
      <c r="C113" s="39" t="str">
        <f>IF($A113="","",IFERROR(INDEX(Références!$D$2:$D$201,MATCH($A113,Références!$A$2:$A$201,0)),""))</f>
        <v>A340-200/-300 Aircraft Characteristics – Airport and Maintenance Planning</v>
      </c>
      <c r="D113" s="40">
        <f>IF($A113="","",IFERROR(INDEX(Références!$G$2:$G$201,MATCH($A113,Références!$A$2:$A$201,0)),""))</f>
        <v>7</v>
      </c>
      <c r="E113" s="40" t="str">
        <f>IF($A113="","",IFERROR(INDEX(Références!$H$2:$H$201,MATCH($A113,Références!$A$2:$A$201,0)),""))</f>
        <v>A consulter</v>
      </c>
      <c r="F113" s="40">
        <f>IF($A113="","",IFERROR(INDEX(Références!$I$2:$I$201,MATCH($A113,Références!$A$2:$A$201,0)),""))</f>
        <v>4</v>
      </c>
      <c r="G113" s="40" t="str">
        <f>IF($A113="","",IFERROR(INDEX(Références!$F$2:$F$201,MATCH($A113,Références!$A$2:$A$201,0)),""))</f>
        <v>Non</v>
      </c>
      <c r="H113" s="40" t="str">
        <f>IF($A113="","",IFERROR(INDEX(Références!$J$2:$J$201,MATCH($A113,Références!$A$2:$A$201,0)),""))</f>
        <v>À lire</v>
      </c>
      <c r="I113" s="41" t="str">
        <f>IF($A113="","",IFERROR(IF(INDEX(Références!$AF$2:$AF$201,MATCH($A113,Références!$A$2:$A$201,0))="","",HYPERLINK(INDEX(Références!$AF$2:$AF$201,MATCH($A113,Références!$A$2:$A$201,0)),"Ouvrir")),""))</f>
        <v>Ouvrir</v>
      </c>
      <c r="J113" s="42" t="s">
        <v>1716</v>
      </c>
      <c r="K113" s="3" t="s">
        <v>2591</v>
      </c>
      <c r="L113" s="3" t="s">
        <v>2592</v>
      </c>
      <c r="M113" s="3" t="s">
        <v>1701</v>
      </c>
      <c r="N113" s="3" t="s">
        <v>1701</v>
      </c>
      <c r="O113" s="3" t="s">
        <v>1720</v>
      </c>
      <c r="P113" s="43" t="s">
        <v>2593</v>
      </c>
      <c r="Q113" s="3" t="s">
        <v>2594</v>
      </c>
      <c r="R113" s="3" t="s">
        <v>2595</v>
      </c>
      <c r="S113" s="3" t="s">
        <v>2596</v>
      </c>
      <c r="T113" s="3" t="s">
        <v>1701</v>
      </c>
      <c r="U113" s="3" t="s">
        <v>2597</v>
      </c>
      <c r="V113" s="3" t="s">
        <v>1701</v>
      </c>
      <c r="W113" s="3" t="s">
        <v>2598</v>
      </c>
      <c r="X113" s="3" t="s">
        <v>1701</v>
      </c>
    </row>
    <row r="114" spans="1:24" ht="69" customHeight="1" x14ac:dyDescent="0.25">
      <c r="A114" s="38" t="s">
        <v>1193</v>
      </c>
      <c r="B114" s="39" t="str">
        <f>IF($A114="","",IFERROR(INDEX(Références!$C$2:$C$201,MATCH($A114,Références!$A$2:$A$201,0)),""))</f>
        <v>Gharbi et al. (2022)</v>
      </c>
      <c r="C114" s="39" t="str">
        <f>IF($A114="","",IFERROR(INDEX(Références!$D$2:$D$201,MATCH($A114,Références!$A$2:$A$201,0)),""))</f>
        <v>Analysis of ovalization measurements on flexible airfield pavement under HWD dynamic impulse load</v>
      </c>
      <c r="D114" s="40">
        <f>IF($A114="","",IFERROR(INDEX(Références!$G$2:$G$201,MATCH($A114,Références!$A$2:$A$201,0)),""))</f>
        <v>7</v>
      </c>
      <c r="E114" s="40" t="str">
        <f>IF($A114="","",IFERROR(INDEX(Références!$H$2:$H$201,MATCH($A114,Références!$A$2:$A$201,0)),""))</f>
        <v>A consulter</v>
      </c>
      <c r="F114" s="40">
        <f>IF($A114="","",IFERROR(INDEX(Références!$I$2:$I$201,MATCH($A114,Références!$A$2:$A$201,0)),""))</f>
        <v>4</v>
      </c>
      <c r="G114" s="40" t="str">
        <f>IF($A114="","",IFERROR(INDEX(Références!$F$2:$F$201,MATCH($A114,Références!$A$2:$A$201,0)),""))</f>
        <v>Non</v>
      </c>
      <c r="H114" s="40" t="str">
        <f>IF($A114="","",IFERROR(INDEX(Références!$J$2:$J$201,MATCH($A114,Références!$A$2:$A$201,0)),""))</f>
        <v>À lire</v>
      </c>
      <c r="I114" s="41" t="str">
        <f>IF($A114="","",IFERROR(IF(INDEX(Références!$AF$2:$AF$201,MATCH($A114,Références!$A$2:$A$201,0))="","",HYPERLINK(INDEX(Références!$AF$2:$AF$201,MATCH($A114,Références!$A$2:$A$201,0)),"Ouvrir")),""))</f>
        <v>Ouvrir</v>
      </c>
      <c r="J114" s="42" t="s">
        <v>1692</v>
      </c>
      <c r="K114" s="3" t="s">
        <v>2599</v>
      </c>
      <c r="L114" s="3" t="s">
        <v>2600</v>
      </c>
      <c r="M114" s="3" t="s">
        <v>2601</v>
      </c>
      <c r="N114" s="3" t="s">
        <v>2602</v>
      </c>
      <c r="O114" s="3" t="s">
        <v>2603</v>
      </c>
      <c r="P114" s="43" t="s">
        <v>2604</v>
      </c>
      <c r="Q114" s="3" t="s">
        <v>2605</v>
      </c>
      <c r="R114" s="3" t="s">
        <v>1701</v>
      </c>
      <c r="S114" s="3" t="s">
        <v>2150</v>
      </c>
      <c r="T114" s="3" t="s">
        <v>1701</v>
      </c>
      <c r="U114" s="3" t="s">
        <v>2606</v>
      </c>
      <c r="V114" s="3" t="s">
        <v>2152</v>
      </c>
      <c r="W114" s="3" t="s">
        <v>2607</v>
      </c>
      <c r="X114" s="3" t="s">
        <v>1734</v>
      </c>
    </row>
    <row r="115" spans="1:24" ht="55.5" customHeight="1" x14ac:dyDescent="0.25">
      <c r="A115" s="38" t="s">
        <v>1516</v>
      </c>
      <c r="B115" s="39" t="str">
        <f>IF($A115="","",IFERROR(INDEX(Références!$C$2:$C$201,MATCH($A115,Références!$A$2:$A$201,0)),""))</f>
        <v>FAA (2021)</v>
      </c>
      <c r="C115" s="39" t="str">
        <f>IF($A115="","",IFERROR(INDEX(Références!$D$2:$D$201,MATCH($A115,Références!$A$2:$A$201,0)),""))</f>
        <v>Airport Pavement Design and Evaluation</v>
      </c>
      <c r="D115" s="40">
        <f>IF($A115="","",IFERROR(INDEX(Références!$G$2:$G$201,MATCH($A115,Références!$A$2:$A$201,0)),""))</f>
        <v>7</v>
      </c>
      <c r="E115" s="40" t="str">
        <f>IF($A115="","",IFERROR(INDEX(Références!$H$2:$H$201,MATCH($A115,Références!$A$2:$A$201,0)),""))</f>
        <v>Important</v>
      </c>
      <c r="F115" s="40">
        <f>IF($A115="","",IFERROR(INDEX(Références!$I$2:$I$201,MATCH($A115,Références!$A$2:$A$201,0)),""))</f>
        <v>6</v>
      </c>
      <c r="G115" s="40" t="str">
        <f>IF($A115="","",IFERROR(INDEX(Références!$F$2:$F$201,MATCH($A115,Références!$A$2:$A$201,0)),""))</f>
        <v>Non</v>
      </c>
      <c r="H115" s="40" t="str">
        <f>IF($A115="","",IFERROR(INDEX(Références!$J$2:$J$201,MATCH($A115,Références!$A$2:$A$201,0)),""))</f>
        <v>À lire</v>
      </c>
      <c r="I115" s="41" t="str">
        <f>IF($A115="","",IFERROR(IF(INDEX(Références!$AF$2:$AF$201,MATCH($A115,Références!$A$2:$A$201,0))="","",HYPERLINK(INDEX(Références!$AF$2:$AF$201,MATCH($A115,Références!$A$2:$A$201,0)),"Ouvrir")),""))</f>
        <v>Ouvrir</v>
      </c>
      <c r="J115" s="42" t="s">
        <v>1716</v>
      </c>
      <c r="K115" s="3" t="s">
        <v>2608</v>
      </c>
      <c r="L115" s="3" t="s">
        <v>2609</v>
      </c>
      <c r="M115" s="3" t="s">
        <v>1701</v>
      </c>
      <c r="N115" s="3" t="s">
        <v>1701</v>
      </c>
      <c r="O115" s="3" t="s">
        <v>1720</v>
      </c>
      <c r="P115" s="43" t="s">
        <v>2610</v>
      </c>
      <c r="Q115" s="3" t="s">
        <v>2611</v>
      </c>
      <c r="R115" s="3" t="s">
        <v>1793</v>
      </c>
      <c r="S115" s="3" t="s">
        <v>1701</v>
      </c>
      <c r="T115" s="3" t="s">
        <v>1701</v>
      </c>
      <c r="U115" s="3" t="s">
        <v>2612</v>
      </c>
      <c r="V115" s="3" t="s">
        <v>1701</v>
      </c>
      <c r="W115" s="3" t="s">
        <v>2567</v>
      </c>
      <c r="X115" s="3" t="s">
        <v>1701</v>
      </c>
    </row>
    <row r="116" spans="1:24" ht="42.75" customHeight="1" x14ac:dyDescent="0.25">
      <c r="A116" s="38" t="s">
        <v>1528</v>
      </c>
      <c r="B116" s="39" t="str">
        <f>IF($A116="","",IFERROR(INDEX(Références!$C$2:$C$201,MATCH($A116,Références!$A$2:$A$201,0)),""))</f>
        <v>FAA (2022)</v>
      </c>
      <c r="C116" s="39" t="str">
        <f>IF($A116="","",IFERROR(INDEX(Références!$D$2:$D$201,MATCH($A116,Références!$A$2:$A$201,0)),""))</f>
        <v>Standardized Method of Reporting Airport Pavement Strength – PCR</v>
      </c>
      <c r="D116" s="40">
        <f>IF($A116="","",IFERROR(INDEX(Références!$G$2:$G$201,MATCH($A116,Références!$A$2:$A$201,0)),""))</f>
        <v>7</v>
      </c>
      <c r="E116" s="40" t="str">
        <f>IF($A116="","",IFERROR(INDEX(Références!$H$2:$H$201,MATCH($A116,Références!$A$2:$A$201,0)),""))</f>
        <v>Important</v>
      </c>
      <c r="F116" s="40">
        <f>IF($A116="","",IFERROR(INDEX(Références!$I$2:$I$201,MATCH($A116,Références!$A$2:$A$201,0)),""))</f>
        <v>6</v>
      </c>
      <c r="G116" s="40" t="str">
        <f>IF($A116="","",IFERROR(INDEX(Références!$F$2:$F$201,MATCH($A116,Références!$A$2:$A$201,0)),""))</f>
        <v>Non</v>
      </c>
      <c r="H116" s="40" t="str">
        <f>IF($A116="","",IFERROR(INDEX(Références!$J$2:$J$201,MATCH($A116,Références!$A$2:$A$201,0)),""))</f>
        <v>À lire</v>
      </c>
      <c r="I116" s="41" t="str">
        <f>IF($A116="","",IFERROR(IF(INDEX(Références!$AF$2:$AF$201,MATCH($A116,Références!$A$2:$A$201,0))="","",HYPERLINK(INDEX(Références!$AF$2:$AF$201,MATCH($A116,Références!$A$2:$A$201,0)),"Ouvrir")),""))</f>
        <v>Ouvrir</v>
      </c>
      <c r="J116" s="42" t="s">
        <v>1716</v>
      </c>
      <c r="K116" s="3" t="s">
        <v>2608</v>
      </c>
      <c r="L116" s="3" t="s">
        <v>2613</v>
      </c>
      <c r="M116" s="3" t="s">
        <v>1701</v>
      </c>
      <c r="N116" s="3" t="s">
        <v>1701</v>
      </c>
      <c r="O116" s="3" t="s">
        <v>1720</v>
      </c>
      <c r="P116" s="43" t="s">
        <v>2614</v>
      </c>
      <c r="Q116" s="3" t="s">
        <v>2615</v>
      </c>
      <c r="R116" s="3" t="s">
        <v>1793</v>
      </c>
      <c r="S116" s="3" t="s">
        <v>1701</v>
      </c>
      <c r="T116" s="3" t="s">
        <v>1701</v>
      </c>
      <c r="U116" s="3" t="s">
        <v>2616</v>
      </c>
      <c r="V116" s="3" t="s">
        <v>1701</v>
      </c>
      <c r="W116" s="3" t="s">
        <v>1666</v>
      </c>
      <c r="X116" s="3" t="s">
        <v>1701</v>
      </c>
    </row>
    <row r="117" spans="1:24" ht="42.75" customHeight="1" x14ac:dyDescent="0.25">
      <c r="A117" s="38" t="s">
        <v>1537</v>
      </c>
      <c r="B117" s="39" t="str">
        <f>IF($A117="","",IFERROR(INDEX(Références!$C$2:$C$201,MATCH($A117,Références!$A$2:$A$201,0)),""))</f>
        <v>HoSang (1975)</v>
      </c>
      <c r="C117" s="39" t="str">
        <f>IF($A117="","",IFERROR(INDEX(Références!$D$2:$D$201,MATCH($A117,Références!$A$2:$A$201,0)),""))</f>
        <v>Field survey and analysis of aircraft distribution on airport pavements</v>
      </c>
      <c r="D117" s="40">
        <f>IF($A117="","",IFERROR(INDEX(Références!$G$2:$G$201,MATCH($A117,Références!$A$2:$A$201,0)),""))</f>
        <v>7</v>
      </c>
      <c r="E117" s="40" t="str">
        <f>IF($A117="","",IFERROR(INDEX(Références!$H$2:$H$201,MATCH($A117,Références!$A$2:$A$201,0)),""))</f>
        <v>Important</v>
      </c>
      <c r="F117" s="40">
        <f>IF($A117="","",IFERROR(INDEX(Références!$I$2:$I$201,MATCH($A117,Références!$A$2:$A$201,0)),""))</f>
        <v>6</v>
      </c>
      <c r="G117" s="40" t="str">
        <f>IF($A117="","",IFERROR(INDEX(Références!$F$2:$F$201,MATCH($A117,Références!$A$2:$A$201,0)),""))</f>
        <v>Non</v>
      </c>
      <c r="H117" s="40" t="str">
        <f>IF($A117="","",IFERROR(INDEX(Références!$J$2:$J$201,MATCH($A117,Références!$A$2:$A$201,0)),""))</f>
        <v>À lire</v>
      </c>
      <c r="I117" s="41" t="str">
        <f>IF($A117="","",IFERROR(IF(INDEX(Références!$AF$2:$AF$201,MATCH($A117,Références!$A$2:$A$201,0))="","",HYPERLINK(INDEX(Références!$AF$2:$AF$201,MATCH($A117,Références!$A$2:$A$201,0)),"Ouvrir")),""))</f>
        <v>Ouvrir</v>
      </c>
      <c r="J117" s="42" t="s">
        <v>1716</v>
      </c>
      <c r="K117" s="3" t="s">
        <v>2617</v>
      </c>
      <c r="L117" s="3" t="s">
        <v>2618</v>
      </c>
      <c r="M117" s="3" t="s">
        <v>1701</v>
      </c>
      <c r="N117" s="3" t="s">
        <v>1701</v>
      </c>
      <c r="O117" s="3" t="s">
        <v>1720</v>
      </c>
      <c r="P117" s="43" t="s">
        <v>2619</v>
      </c>
      <c r="Q117" s="3" t="s">
        <v>2620</v>
      </c>
      <c r="R117" s="3" t="s">
        <v>1793</v>
      </c>
      <c r="S117" s="3" t="s">
        <v>1701</v>
      </c>
      <c r="T117" s="3" t="s">
        <v>1701</v>
      </c>
      <c r="U117" s="3" t="s">
        <v>2422</v>
      </c>
      <c r="V117" s="3" t="s">
        <v>2621</v>
      </c>
      <c r="W117" s="3" t="s">
        <v>2622</v>
      </c>
      <c r="X117" s="3" t="s">
        <v>1701</v>
      </c>
    </row>
    <row r="118" spans="1:24" ht="42.75" customHeight="1" x14ac:dyDescent="0.25">
      <c r="A118" s="38" t="s">
        <v>1548</v>
      </c>
      <c r="B118" s="39" t="str">
        <f>IF($A118="","",IFERROR(INDEX(Références!$C$2:$C$201,MATCH($A118,Références!$A$2:$A$201,0)),""))</f>
        <v>OACI (2022)</v>
      </c>
      <c r="C118" s="39" t="str">
        <f>IF($A118="","",IFERROR(INDEX(Références!$D$2:$D$201,MATCH($A118,Références!$A$2:$A$201,0)),""))</f>
        <v>Annexe 14 — Aérodromes, Volume I : Conception et exploitation technique des aérodromes (9e édition)</v>
      </c>
      <c r="D118" s="40">
        <f>IF($A118="","",IFERROR(INDEX(Références!$G$2:$G$201,MATCH($A118,Références!$A$2:$A$201,0)),""))</f>
        <v>7</v>
      </c>
      <c r="E118" s="40" t="str">
        <f>IF($A118="","",IFERROR(INDEX(Références!$H$2:$H$201,MATCH($A118,Références!$A$2:$A$201,0)),""))</f>
        <v>Important</v>
      </c>
      <c r="F118" s="40">
        <f>IF($A118="","",IFERROR(INDEX(Références!$I$2:$I$201,MATCH($A118,Références!$A$2:$A$201,0)),""))</f>
        <v>6</v>
      </c>
      <c r="G118" s="40" t="str">
        <f>IF($A118="","",IFERROR(INDEX(Références!$F$2:$F$201,MATCH($A118,Références!$A$2:$A$201,0)),""))</f>
        <v>Non</v>
      </c>
      <c r="H118" s="40" t="str">
        <f>IF($A118="","",IFERROR(INDEX(Références!$J$2:$J$201,MATCH($A118,Références!$A$2:$A$201,0)),""))</f>
        <v>À lire</v>
      </c>
      <c r="I118" s="41" t="str">
        <f>IF($A118="","",IFERROR(IF(INDEX(Références!$AF$2:$AF$201,MATCH($A118,Références!$A$2:$A$201,0))="","",HYPERLINK(INDEX(Références!$AF$2:$AF$201,MATCH($A118,Références!$A$2:$A$201,0)),"Ouvrir")),""))</f>
        <v>Ouvrir</v>
      </c>
      <c r="J118" s="42" t="s">
        <v>1716</v>
      </c>
      <c r="K118" s="3" t="s">
        <v>2623</v>
      </c>
      <c r="L118" s="3" t="s">
        <v>2624</v>
      </c>
      <c r="M118" s="3" t="s">
        <v>1701</v>
      </c>
      <c r="N118" s="3" t="s">
        <v>1701</v>
      </c>
      <c r="O118" s="3" t="s">
        <v>1720</v>
      </c>
      <c r="P118" s="43" t="s">
        <v>2625</v>
      </c>
      <c r="Q118" s="3" t="s">
        <v>2626</v>
      </c>
      <c r="R118" s="3" t="s">
        <v>1793</v>
      </c>
      <c r="S118" s="3" t="s">
        <v>1701</v>
      </c>
      <c r="T118" s="3" t="s">
        <v>1701</v>
      </c>
      <c r="U118" s="3" t="s">
        <v>2627</v>
      </c>
      <c r="V118" s="3" t="s">
        <v>1701</v>
      </c>
      <c r="W118" s="3" t="s">
        <v>1666</v>
      </c>
      <c r="X118" s="3" t="s">
        <v>1701</v>
      </c>
    </row>
    <row r="119" spans="1:24" ht="42.75" customHeight="1" x14ac:dyDescent="0.25">
      <c r="A119" s="38" t="s">
        <v>1560</v>
      </c>
      <c r="B119" s="39" t="str">
        <f>IF($A119="","",IFERROR(INDEX(Références!$C$2:$C$201,MATCH($A119,Références!$A$2:$A$201,0)),""))</f>
        <v>OACI (2022)</v>
      </c>
      <c r="C119" s="39" t="str">
        <f>IF($A119="","",IFERROR(INDEX(Références!$D$2:$D$201,MATCH($A119,Références!$A$2:$A$201,0)),""))</f>
        <v>Aerodrome Design Manual, Part 3 — Pavements (3rd edition)</v>
      </c>
      <c r="D119" s="40">
        <f>IF($A119="","",IFERROR(INDEX(Références!$G$2:$G$201,MATCH($A119,Références!$A$2:$A$201,0)),""))</f>
        <v>7</v>
      </c>
      <c r="E119" s="40" t="str">
        <f>IF($A119="","",IFERROR(INDEX(Références!$H$2:$H$201,MATCH($A119,Références!$A$2:$A$201,0)),""))</f>
        <v>Important</v>
      </c>
      <c r="F119" s="40">
        <f>IF($A119="","",IFERROR(INDEX(Références!$I$2:$I$201,MATCH($A119,Références!$A$2:$A$201,0)),""))</f>
        <v>6</v>
      </c>
      <c r="G119" s="40" t="str">
        <f>IF($A119="","",IFERROR(INDEX(Références!$F$2:$F$201,MATCH($A119,Références!$A$2:$A$201,0)),""))</f>
        <v>Non</v>
      </c>
      <c r="H119" s="40" t="str">
        <f>IF($A119="","",IFERROR(INDEX(Références!$J$2:$J$201,MATCH($A119,Références!$A$2:$A$201,0)),""))</f>
        <v>À lire</v>
      </c>
      <c r="I119" s="41" t="str">
        <f>IF($A119="","",IFERROR(IF(INDEX(Références!$AF$2:$AF$201,MATCH($A119,Références!$A$2:$A$201,0))="","",HYPERLINK(INDEX(Références!$AF$2:$AF$201,MATCH($A119,Références!$A$2:$A$201,0)),"Ouvrir")),""))</f>
        <v>Ouvrir</v>
      </c>
      <c r="J119" s="42" t="s">
        <v>1716</v>
      </c>
      <c r="K119" s="3" t="s">
        <v>2628</v>
      </c>
      <c r="L119" s="3" t="s">
        <v>2629</v>
      </c>
      <c r="M119" s="3" t="s">
        <v>1701</v>
      </c>
      <c r="N119" s="3" t="s">
        <v>1701</v>
      </c>
      <c r="O119" s="3" t="s">
        <v>1720</v>
      </c>
      <c r="P119" s="43" t="s">
        <v>2630</v>
      </c>
      <c r="Q119" s="3" t="s">
        <v>2631</v>
      </c>
      <c r="R119" s="3" t="s">
        <v>1793</v>
      </c>
      <c r="S119" s="3" t="s">
        <v>1701</v>
      </c>
      <c r="T119" s="3" t="s">
        <v>1701</v>
      </c>
      <c r="U119" s="3" t="s">
        <v>2632</v>
      </c>
      <c r="V119" s="3" t="s">
        <v>1701</v>
      </c>
      <c r="W119" s="3" t="s">
        <v>1666</v>
      </c>
      <c r="X119" s="3" t="s">
        <v>1701</v>
      </c>
    </row>
    <row r="120" spans="1:24" ht="81.75" customHeight="1" x14ac:dyDescent="0.25">
      <c r="A120" s="38" t="s">
        <v>1568</v>
      </c>
      <c r="B120" s="39" t="str">
        <f>IF($A120="","",IFERROR(INDEX(Références!$C$2:$C$201,MATCH($A120,Références!$A$2:$A$201,0)),""))</f>
        <v>Roginski (2007)</v>
      </c>
      <c r="C120" s="39" t="str">
        <f>IF($A120="","",IFERROR(INDEX(Références!$D$2:$D$201,MATCH($A120,Références!$A$2:$A$201,0)),""))</f>
        <v>Effects of aircraft tire pressures on flexible pavements</v>
      </c>
      <c r="D120" s="40">
        <f>IF($A120="","",IFERROR(INDEX(Références!$G$2:$G$201,MATCH($A120,Références!$A$2:$A$201,0)),""))</f>
        <v>7</v>
      </c>
      <c r="E120" s="40" t="str">
        <f>IF($A120="","",IFERROR(INDEX(Références!$H$2:$H$201,MATCH($A120,Références!$A$2:$A$201,0)),""))</f>
        <v>Important</v>
      </c>
      <c r="F120" s="40">
        <f>IF($A120="","",IFERROR(INDEX(Références!$I$2:$I$201,MATCH($A120,Références!$A$2:$A$201,0)),""))</f>
        <v>6</v>
      </c>
      <c r="G120" s="40" t="str">
        <f>IF($A120="","",IFERROR(INDEX(Références!$F$2:$F$201,MATCH($A120,Références!$A$2:$A$201,0)),""))</f>
        <v>Non</v>
      </c>
      <c r="H120" s="40" t="str">
        <f>IF($A120="","",IFERROR(INDEX(Références!$J$2:$J$201,MATCH($A120,Références!$A$2:$A$201,0)),""))</f>
        <v>À lire</v>
      </c>
      <c r="I120" s="41" t="str">
        <f>IF($A120="","",IFERROR(IF(INDEX(Références!$AF$2:$AF$201,MATCH($A120,Références!$A$2:$A$201,0))="","",HYPERLINK(INDEX(Références!$AF$2:$AF$201,MATCH($A120,Références!$A$2:$A$201,0)),"Ouvrir")),""))</f>
        <v>Ouvrir</v>
      </c>
      <c r="J120" s="42" t="s">
        <v>517</v>
      </c>
      <c r="K120" s="3" t="s">
        <v>2633</v>
      </c>
      <c r="L120" s="3" t="s">
        <v>2634</v>
      </c>
      <c r="M120" s="3" t="s">
        <v>2635</v>
      </c>
      <c r="N120" s="3" t="s">
        <v>2636</v>
      </c>
      <c r="O120" s="3" t="s">
        <v>2637</v>
      </c>
      <c r="P120" s="43" t="s">
        <v>2638</v>
      </c>
      <c r="Q120" s="3" t="s">
        <v>2639</v>
      </c>
      <c r="R120" s="3" t="s">
        <v>2640</v>
      </c>
      <c r="S120" s="3" t="s">
        <v>1701</v>
      </c>
      <c r="T120" s="3" t="s">
        <v>1701</v>
      </c>
      <c r="U120" s="3" t="s">
        <v>1800</v>
      </c>
      <c r="V120" s="3" t="s">
        <v>2641</v>
      </c>
      <c r="W120" s="3" t="s">
        <v>2642</v>
      </c>
      <c r="X120" s="3" t="s">
        <v>1734</v>
      </c>
    </row>
    <row r="121" spans="1:24" ht="42.75" customHeight="1" x14ac:dyDescent="0.25">
      <c r="A121" s="38" t="s">
        <v>1580</v>
      </c>
      <c r="B121" s="39" t="str">
        <f>IF($A121="","",IFERROR(INDEX(Références!$C$2:$C$201,MATCH($A121,Références!$A$2:$A$201,0)),""))</f>
        <v>Travailleur &amp; Broutin (2022)</v>
      </c>
      <c r="C121" s="39" t="str">
        <f>IF($A121="","",IFERROR(INDEX(Références!$D$2:$D$201,MATCH($A121,Références!$A$2:$A$201,0)),""))</f>
        <v>Méthode ACR/PCR d'admissibilité des aéronefs</v>
      </c>
      <c r="D121" s="40">
        <f>IF($A121="","",IFERROR(INDEX(Références!$G$2:$G$201,MATCH($A121,Références!$A$2:$A$201,0)),""))</f>
        <v>7</v>
      </c>
      <c r="E121" s="40" t="str">
        <f>IF($A121="","",IFERROR(INDEX(Références!$H$2:$H$201,MATCH($A121,Références!$A$2:$A$201,0)),""))</f>
        <v>Important</v>
      </c>
      <c r="F121" s="40">
        <f>IF($A121="","",IFERROR(INDEX(Références!$I$2:$I$201,MATCH($A121,Références!$A$2:$A$201,0)),""))</f>
        <v>6</v>
      </c>
      <c r="G121" s="40" t="str">
        <f>IF($A121="","",IFERROR(INDEX(Références!$F$2:$F$201,MATCH($A121,Références!$A$2:$A$201,0)),""))</f>
        <v>Non</v>
      </c>
      <c r="H121" s="40" t="str">
        <f>IF($A121="","",IFERROR(INDEX(Références!$J$2:$J$201,MATCH($A121,Références!$A$2:$A$201,0)),""))</f>
        <v>À lire</v>
      </c>
      <c r="I121" s="41" t="str">
        <f>IF($A121="","",IFERROR(IF(INDEX(Références!$AF$2:$AF$201,MATCH($A121,Références!$A$2:$A$201,0))="","",HYPERLINK(INDEX(Références!$AF$2:$AF$201,MATCH($A121,Références!$A$2:$A$201,0)),"Ouvrir")),""))</f>
        <v>Ouvrir</v>
      </c>
      <c r="J121" s="42" t="s">
        <v>517</v>
      </c>
      <c r="K121" s="3" t="s">
        <v>2643</v>
      </c>
      <c r="L121" s="3" t="s">
        <v>2644</v>
      </c>
      <c r="M121" s="3" t="s">
        <v>2645</v>
      </c>
      <c r="N121" s="3" t="s">
        <v>2646</v>
      </c>
      <c r="O121" s="3" t="s">
        <v>2647</v>
      </c>
      <c r="P121" s="43" t="s">
        <v>2648</v>
      </c>
      <c r="Q121" s="3" t="s">
        <v>2649</v>
      </c>
      <c r="R121" s="3" t="s">
        <v>1793</v>
      </c>
      <c r="S121" s="3" t="s">
        <v>1701</v>
      </c>
      <c r="T121" s="3" t="s">
        <v>1701</v>
      </c>
      <c r="U121" s="3" t="s">
        <v>2616</v>
      </c>
      <c r="V121" s="3" t="s">
        <v>1701</v>
      </c>
      <c r="W121" s="3" t="s">
        <v>1666</v>
      </c>
      <c r="X121" s="3" t="s">
        <v>1701</v>
      </c>
    </row>
    <row r="122" spans="1:24" ht="94.5" customHeight="1" x14ac:dyDescent="0.25">
      <c r="A122" s="38" t="s">
        <v>1637</v>
      </c>
      <c r="B122" s="39" t="str">
        <f>IF($A122="","",IFERROR(INDEX(Références!$C$2:$C$201,MATCH($A122,Références!$A$2:$A$201,0)),""))</f>
        <v>Bazi et al. (2021)</v>
      </c>
      <c r="C122" s="39" t="str">
        <f>IF($A122="","",IFERROR(INDEX(Références!$D$2:$D$201,MATCH($A122,Références!$A$2:$A$201,0)),""))</f>
        <v>Instrumented flexible pavement responses under aircraft loading</v>
      </c>
      <c r="D122" s="40">
        <f>IF($A122="","",IFERROR(INDEX(Références!$G$2:$G$201,MATCH($A122,Références!$A$2:$A$201,0)),""))</f>
        <v>7</v>
      </c>
      <c r="E122" s="40" t="str">
        <f>IF($A122="","",IFERROR(INDEX(Références!$H$2:$H$201,MATCH($A122,Références!$A$2:$A$201,0)),""))</f>
        <v>A consulter</v>
      </c>
      <c r="F122" s="40">
        <f>IF($A122="","",IFERROR(INDEX(Références!$I$2:$I$201,MATCH($A122,Références!$A$2:$A$201,0)),""))</f>
        <v>6</v>
      </c>
      <c r="G122" s="40" t="str">
        <f>IF($A122="","",IFERROR(INDEX(Références!$F$2:$F$201,MATCH($A122,Références!$A$2:$A$201,0)),""))</f>
        <v>Non</v>
      </c>
      <c r="H122" s="40" t="str">
        <f>IF($A122="","",IFERROR(INDEX(Références!$J$2:$J$201,MATCH($A122,Références!$A$2:$A$201,0)),""))</f>
        <v>À lire</v>
      </c>
      <c r="I122" s="41" t="str">
        <f>IF($A122="","",IFERROR(IF(INDEX(Références!$AF$2:$AF$201,MATCH($A122,Références!$A$2:$A$201,0))="","",HYPERLINK(INDEX(Références!$AF$2:$AF$201,MATCH($A122,Références!$A$2:$A$201,0)),"Ouvrir")),""))</f>
        <v>Ouvrir</v>
      </c>
      <c r="J122" s="42" t="s">
        <v>1692</v>
      </c>
      <c r="K122" s="3" t="s">
        <v>1751</v>
      </c>
      <c r="L122" s="3" t="s">
        <v>2650</v>
      </c>
      <c r="M122" s="3" t="s">
        <v>2651</v>
      </c>
      <c r="N122" s="3" t="s">
        <v>2652</v>
      </c>
      <c r="O122" s="3" t="s">
        <v>2653</v>
      </c>
      <c r="P122" s="43" t="s">
        <v>2654</v>
      </c>
      <c r="Q122" s="3" t="s">
        <v>2655</v>
      </c>
      <c r="R122" s="3" t="s">
        <v>2656</v>
      </c>
      <c r="S122" s="3" t="s">
        <v>2447</v>
      </c>
      <c r="T122" s="3" t="s">
        <v>2657</v>
      </c>
      <c r="U122" s="3" t="s">
        <v>2658</v>
      </c>
      <c r="V122" s="3" t="s">
        <v>2659</v>
      </c>
      <c r="W122" s="3" t="s">
        <v>2660</v>
      </c>
      <c r="X122" s="3" t="s">
        <v>1734</v>
      </c>
    </row>
    <row r="123" spans="1:24" ht="42.75" customHeight="1" x14ac:dyDescent="0.25">
      <c r="A123" s="38" t="s">
        <v>1648</v>
      </c>
      <c r="B123" s="39" t="str">
        <f>IF($A123="","",IFERROR(INDEX(Références!$C$2:$C$201,MATCH($A123,Références!$A$2:$A$201,0)),""))</f>
        <v>FAA (2024)</v>
      </c>
      <c r="C123" s="39" t="str">
        <f>IF($A123="","",IFERROR(INDEX(Références!$D$2:$D$201,MATCH($A123,Références!$A$2:$A$201,0)),""))</f>
        <v>FAARFIELD 2.1 — Airport pavement thickness design and evaluation software</v>
      </c>
      <c r="D123" s="40">
        <f>IF($A123="","",IFERROR(INDEX(Références!$G$2:$G$201,MATCH($A123,Références!$A$2:$A$201,0)),""))</f>
        <v>7</v>
      </c>
      <c r="E123" s="40" t="str">
        <f>IF($A123="","",IFERROR(INDEX(Références!$H$2:$H$201,MATCH($A123,Références!$A$2:$A$201,0)),""))</f>
        <v>A consulter</v>
      </c>
      <c r="F123" s="40">
        <f>IF($A123="","",IFERROR(INDEX(Références!$I$2:$I$201,MATCH($A123,Références!$A$2:$A$201,0)),""))</f>
        <v>6</v>
      </c>
      <c r="G123" s="40" t="str">
        <f>IF($A123="","",IFERROR(INDEX(Références!$F$2:$F$201,MATCH($A123,Références!$A$2:$A$201,0)),""))</f>
        <v>Non</v>
      </c>
      <c r="H123" s="40" t="str">
        <f>IF($A123="","",IFERROR(INDEX(Références!$J$2:$J$201,MATCH($A123,Références!$A$2:$A$201,0)),""))</f>
        <v>À lire</v>
      </c>
      <c r="I123" s="41" t="str">
        <f>IF($A123="","",IFERROR(IF(INDEX(Références!$AF$2:$AF$201,MATCH($A123,Références!$A$2:$A$201,0))="","",HYPERLINK(INDEX(Références!$AF$2:$AF$201,MATCH($A123,Références!$A$2:$A$201,0)),"Ouvrir")),""))</f>
        <v>Ouvrir</v>
      </c>
      <c r="J123" s="42" t="s">
        <v>1716</v>
      </c>
      <c r="K123" s="3" t="s">
        <v>2661</v>
      </c>
      <c r="L123" s="3" t="s">
        <v>2662</v>
      </c>
      <c r="M123" s="3" t="s">
        <v>1701</v>
      </c>
      <c r="N123" s="3" t="s">
        <v>1701</v>
      </c>
      <c r="O123" s="3" t="s">
        <v>1720</v>
      </c>
      <c r="P123" s="43" t="s">
        <v>2663</v>
      </c>
      <c r="Q123" s="3" t="s">
        <v>2664</v>
      </c>
      <c r="R123" s="3" t="s">
        <v>1793</v>
      </c>
      <c r="S123" s="3" t="s">
        <v>1701</v>
      </c>
      <c r="T123" s="3" t="s">
        <v>1701</v>
      </c>
      <c r="U123" s="3" t="s">
        <v>2665</v>
      </c>
      <c r="V123" s="3" t="s">
        <v>1701</v>
      </c>
      <c r="W123" s="3" t="s">
        <v>1666</v>
      </c>
      <c r="X123" s="3" t="s">
        <v>1701</v>
      </c>
    </row>
    <row r="124" spans="1:24" ht="55.5" customHeight="1" x14ac:dyDescent="0.25">
      <c r="A124" s="38" t="s">
        <v>1149</v>
      </c>
      <c r="B124" s="39" t="str">
        <f>IF($A124="","",IFERROR(INDEX(Références!$C$2:$C$201,MATCH($A124,Références!$A$2:$A$201,0)),""))</f>
        <v>LCPC &amp; SETRA (1994)</v>
      </c>
      <c r="C124" s="39" t="str">
        <f>IF($A124="","",IFERROR(INDEX(Références!$D$2:$D$201,MATCH($A124,Références!$A$2:$A$201,0)),""))</f>
        <v>Conception et dimensionnement des structures de chaussée : guide technique</v>
      </c>
      <c r="D124" s="40">
        <f>IF($A124="","",IFERROR(INDEX(Références!$G$2:$G$201,MATCH($A124,Références!$A$2:$A$201,0)),""))</f>
        <v>8</v>
      </c>
      <c r="E124" s="40" t="str">
        <f>IF($A124="","",IFERROR(INDEX(Références!$H$2:$H$201,MATCH($A124,Références!$A$2:$A$201,0)),""))</f>
        <v>Important</v>
      </c>
      <c r="F124" s="40">
        <f>IF($A124="","",IFERROR(INDEX(Références!$I$2:$I$201,MATCH($A124,Références!$A$2:$A$201,0)),""))</f>
        <v>4</v>
      </c>
      <c r="G124" s="40" t="str">
        <f>IF($A124="","",IFERROR(INDEX(Références!$F$2:$F$201,MATCH($A124,Références!$A$2:$A$201,0)),""))</f>
        <v>Oui</v>
      </c>
      <c r="H124" s="40" t="str">
        <f>IF($A124="","",IFERROR(INDEX(Références!$J$2:$J$201,MATCH($A124,Références!$A$2:$A$201,0)),""))</f>
        <v>À lire</v>
      </c>
      <c r="I124" s="41" t="str">
        <f>IF($A124="","",IFERROR(IF(INDEX(Références!$AF$2:$AF$201,MATCH($A124,Références!$A$2:$A$201,0))="","",HYPERLINK(INDEX(Références!$AF$2:$AF$201,MATCH($A124,Références!$A$2:$A$201,0)),"Ouvrir")),""))</f>
        <v>Ouvrir</v>
      </c>
      <c r="J124" s="42" t="s">
        <v>1716</v>
      </c>
      <c r="K124" s="3" t="s">
        <v>2561</v>
      </c>
      <c r="L124" s="3" t="s">
        <v>2666</v>
      </c>
      <c r="M124" s="3" t="s">
        <v>1701</v>
      </c>
      <c r="N124" s="3" t="s">
        <v>1701</v>
      </c>
      <c r="O124" s="3" t="s">
        <v>1720</v>
      </c>
      <c r="P124" s="43" t="s">
        <v>2667</v>
      </c>
      <c r="Q124" s="3" t="s">
        <v>2668</v>
      </c>
      <c r="R124" s="3" t="s">
        <v>2669</v>
      </c>
      <c r="S124" s="3" t="s">
        <v>1701</v>
      </c>
      <c r="T124" s="3" t="s">
        <v>1687</v>
      </c>
      <c r="U124" s="3" t="s">
        <v>2566</v>
      </c>
      <c r="V124" s="3" t="s">
        <v>1701</v>
      </c>
      <c r="W124" s="3" t="s">
        <v>2567</v>
      </c>
      <c r="X124" s="3" t="s">
        <v>1701</v>
      </c>
    </row>
    <row r="125" spans="1:24" ht="42.75" customHeight="1" x14ac:dyDescent="0.25">
      <c r="A125" s="38" t="s">
        <v>1203</v>
      </c>
      <c r="B125" s="39" t="str">
        <f>IF($A125="","",IFERROR(INDEX(Références!$C$2:$C$201,MATCH($A125,Références!$A$2:$A$201,0)),""))</f>
        <v>AFNOR (2019)</v>
      </c>
      <c r="C125" s="39" t="str">
        <f>IF($A125="","",IFERROR(INDEX(Références!$D$2:$D$201,MATCH($A125,Références!$A$2:$A$201,0)),""))</f>
        <v>NF P98-086 — Dimensionnement structurel des chaussées routières — Application aux chaussées neuves</v>
      </c>
      <c r="D125" s="40">
        <f>IF($A125="","",IFERROR(INDEX(Références!$G$2:$G$201,MATCH($A125,Références!$A$2:$A$201,0)),""))</f>
        <v>8</v>
      </c>
      <c r="E125" s="40" t="str">
        <f>IF($A125="","",IFERROR(INDEX(Références!$H$2:$H$201,MATCH($A125,Références!$A$2:$A$201,0)),""))</f>
        <v>A consulter</v>
      </c>
      <c r="F125" s="40">
        <f>IF($A125="","",IFERROR(INDEX(Références!$I$2:$I$201,MATCH($A125,Références!$A$2:$A$201,0)),""))</f>
        <v>4</v>
      </c>
      <c r="G125" s="40" t="str">
        <f>IF($A125="","",IFERROR(INDEX(Références!$F$2:$F$201,MATCH($A125,Références!$A$2:$A$201,0)),""))</f>
        <v>Non</v>
      </c>
      <c r="H125" s="40" t="str">
        <f>IF($A125="","",IFERROR(INDEX(Références!$J$2:$J$201,MATCH($A125,Références!$A$2:$A$201,0)),""))</f>
        <v>À lire</v>
      </c>
      <c r="I125" s="41" t="str">
        <f>IF($A125="","",IFERROR(IF(INDEX(Références!$AF$2:$AF$201,MATCH($A125,Références!$A$2:$A$201,0))="","",HYPERLINK(INDEX(Références!$AF$2:$AF$201,MATCH($A125,Références!$A$2:$A$201,0)),"Ouvrir")),""))</f>
        <v>Ouvrir</v>
      </c>
      <c r="J125" s="42" t="s">
        <v>1716</v>
      </c>
      <c r="K125" s="3" t="s">
        <v>2084</v>
      </c>
      <c r="L125" s="3" t="s">
        <v>2670</v>
      </c>
      <c r="M125" s="3" t="s">
        <v>1701</v>
      </c>
      <c r="N125" s="3" t="s">
        <v>1701</v>
      </c>
      <c r="O125" s="3" t="s">
        <v>1720</v>
      </c>
      <c r="P125" s="43" t="s">
        <v>2671</v>
      </c>
      <c r="Q125" s="3" t="s">
        <v>2672</v>
      </c>
      <c r="R125" s="3" t="s">
        <v>2669</v>
      </c>
      <c r="S125" s="3" t="s">
        <v>1701</v>
      </c>
      <c r="T125" s="3" t="s">
        <v>1687</v>
      </c>
      <c r="U125" s="3" t="s">
        <v>2566</v>
      </c>
      <c r="V125" s="3" t="s">
        <v>1701</v>
      </c>
      <c r="W125" s="3" t="s">
        <v>2567</v>
      </c>
      <c r="X125" s="3" t="s">
        <v>1701</v>
      </c>
    </row>
    <row r="126" spans="1:24" ht="42.75" customHeight="1" x14ac:dyDescent="0.25">
      <c r="A126" s="38" t="s">
        <v>1211</v>
      </c>
      <c r="B126" s="39" t="str">
        <f>IF($A126="","",IFERROR(INDEX(Références!$C$2:$C$201,MATCH($A126,Références!$A$2:$A$201,0)),""))</f>
        <v>IFSTTAR (2016)</v>
      </c>
      <c r="C126" s="39" t="str">
        <f>IF($A126="","",IFERROR(INDEX(Références!$D$2:$D$201,MATCH($A126,Références!$A$2:$A$201,0)),""))</f>
        <v>Alizé-Lcpc, version 1.5 — Manuel d'utilisation</v>
      </c>
      <c r="D126" s="40">
        <f>IF($A126="","",IFERROR(INDEX(Références!$G$2:$G$201,MATCH($A126,Références!$A$2:$A$201,0)),""))</f>
        <v>8</v>
      </c>
      <c r="E126" s="40" t="str">
        <f>IF($A126="","",IFERROR(INDEX(Références!$H$2:$H$201,MATCH($A126,Références!$A$2:$A$201,0)),""))</f>
        <v>A consulter</v>
      </c>
      <c r="F126" s="40">
        <f>IF($A126="","",IFERROR(INDEX(Références!$I$2:$I$201,MATCH($A126,Références!$A$2:$A$201,0)),""))</f>
        <v>4</v>
      </c>
      <c r="G126" s="40" t="str">
        <f>IF($A126="","",IFERROR(INDEX(Références!$F$2:$F$201,MATCH($A126,Références!$A$2:$A$201,0)),""))</f>
        <v>Oui</v>
      </c>
      <c r="H126" s="40" t="str">
        <f>IF($A126="","",IFERROR(INDEX(Références!$J$2:$J$201,MATCH($A126,Références!$A$2:$A$201,0)),""))</f>
        <v>À lire</v>
      </c>
      <c r="I126" s="41" t="str">
        <f>IF($A126="","",IFERROR(IF(INDEX(Références!$AF$2:$AF$201,MATCH($A126,Références!$A$2:$A$201,0))="","",HYPERLINK(INDEX(Références!$AF$2:$AF$201,MATCH($A126,Références!$A$2:$A$201,0)),"Ouvrir")),""))</f>
        <v>Ouvrir</v>
      </c>
      <c r="J126" s="42" t="s">
        <v>1716</v>
      </c>
      <c r="K126" s="3" t="s">
        <v>2568</v>
      </c>
      <c r="L126" s="3" t="s">
        <v>2673</v>
      </c>
      <c r="M126" s="3" t="s">
        <v>1701</v>
      </c>
      <c r="N126" s="3" t="s">
        <v>1701</v>
      </c>
      <c r="O126" s="3" t="s">
        <v>1720</v>
      </c>
      <c r="P126" s="43" t="s">
        <v>2674</v>
      </c>
      <c r="Q126" s="3" t="s">
        <v>2675</v>
      </c>
      <c r="R126" s="3" t="s">
        <v>1701</v>
      </c>
      <c r="S126" s="3" t="s">
        <v>1701</v>
      </c>
      <c r="T126" s="3" t="s">
        <v>1687</v>
      </c>
      <c r="U126" s="3" t="s">
        <v>2572</v>
      </c>
      <c r="V126" s="3" t="s">
        <v>1701</v>
      </c>
      <c r="W126" s="3" t="s">
        <v>2075</v>
      </c>
      <c r="X126" s="3" t="s">
        <v>1701</v>
      </c>
    </row>
    <row r="127" spans="1:24" ht="42.75" customHeight="1" x14ac:dyDescent="0.25">
      <c r="A127" s="38" t="s">
        <v>3522</v>
      </c>
      <c r="B127" s="39" t="str">
        <f>IF($A127="","",IFERROR(INDEX(Références!$C$2:$C$201,MATCH($A127,Références!$A$2:$A$201,0)),""))</f>
        <v>Wriggers (2006)</v>
      </c>
      <c r="C127" s="39" t="str">
        <f>IF($A127="","",IFERROR(INDEX(Références!$D$2:$D$201,MATCH($A127,Références!$A$2:$A$201,0)),""))</f>
        <v>Computational contact mechanics (2nd edition)</v>
      </c>
      <c r="D127" s="40">
        <f>IF($A127="","",IFERROR(INDEX(Références!$G$2:$G$201,MATCH($A127,Références!$A$2:$A$201,0)),""))</f>
        <v>2</v>
      </c>
      <c r="E127" s="40" t="str">
        <f>IF($A127="","",IFERROR(INDEX(Références!$H$2:$H$201,MATCH($A127,Références!$A$2:$A$201,0)),""))</f>
        <v>A consulter</v>
      </c>
      <c r="F127" s="40">
        <f>IF($A127="","",IFERROR(INDEX(Références!$I$2:$I$201,MATCH($A127,Références!$A$2:$A$201,0)),""))</f>
        <v>4</v>
      </c>
      <c r="G127" s="40" t="str">
        <f>IF($A127="","",IFERROR(INDEX(Références!$F$2:$F$201,MATCH($A127,Références!$A$2:$A$201,0)),""))</f>
        <v>Non</v>
      </c>
      <c r="H127" s="40" t="str">
        <f>IF($A127="","",IFERROR(INDEX(Références!$J$2:$J$201,MATCH($A127,Références!$A$2:$A$201,0)),""))</f>
        <v>À lire</v>
      </c>
      <c r="I127" s="41" t="str">
        <f>IF($A127="","",IFERROR(IF(INDEX(Références!$AF$2:$AF$201,MATCH($A127,Références!$A$2:$A$201,0))="","",HYPERLINK(INDEX(Références!$AF$2:$AF$201,MATCH($A127,Références!$A$2:$A$201,0)),"Ouvrir")),""))</f>
        <v>Ouvrir</v>
      </c>
      <c r="J127" s="42" t="s">
        <v>1716</v>
      </c>
      <c r="K127" s="3" t="s">
        <v>3771</v>
      </c>
      <c r="L127" s="3" t="s">
        <v>3772</v>
      </c>
      <c r="M127" s="3" t="s">
        <v>3773</v>
      </c>
      <c r="N127" s="3" t="s">
        <v>1720</v>
      </c>
      <c r="O127" s="3" t="s">
        <v>1701</v>
      </c>
      <c r="P127" s="43" t="s">
        <v>3774</v>
      </c>
      <c r="Q127" s="3" t="s">
        <v>3775</v>
      </c>
      <c r="R127" s="3" t="s">
        <v>1701</v>
      </c>
      <c r="S127" s="3" t="s">
        <v>1856</v>
      </c>
      <c r="T127" s="3" t="s">
        <v>1687</v>
      </c>
      <c r="U127" s="3" t="s">
        <v>2198</v>
      </c>
      <c r="V127" s="3" t="s">
        <v>1715</v>
      </c>
      <c r="W127" s="3" t="s">
        <v>3776</v>
      </c>
      <c r="X127" s="3" t="s">
        <v>1701</v>
      </c>
    </row>
    <row r="128" spans="1:24" ht="42.75" customHeight="1" x14ac:dyDescent="0.25">
      <c r="A128" s="38" t="s">
        <v>3372</v>
      </c>
      <c r="B128" s="39" t="str">
        <f>IF($A128="","",IFERROR(INDEX(Références!$C$2:$C$201,MATCH($A128,Références!$A$2:$A$201,0)),""))</f>
        <v>Polonsky &amp; Keer (1999)</v>
      </c>
      <c r="C128" s="39" t="str">
        <f>IF($A128="","",IFERROR(INDEX(Références!$D$2:$D$201,MATCH($A128,Références!$A$2:$A$201,0)),""))</f>
        <v>A numerical method for solving rough contact problems based on the multi-level multi-summation and conjugate gradient techniques</v>
      </c>
      <c r="D128" s="40">
        <f>IF($A128="","",IFERROR(INDEX(Références!$G$2:$G$201,MATCH($A128,Références!$A$2:$A$201,0)),""))</f>
        <v>2</v>
      </c>
      <c r="E128" s="40" t="str">
        <f>IF($A128="","",IFERROR(INDEX(Références!$H$2:$H$201,MATCH($A128,Références!$A$2:$A$201,0)),""))</f>
        <v>INCONTOURNABLE</v>
      </c>
      <c r="F128" s="40">
        <f>IF($A128="","",IFERROR(INDEX(Références!$I$2:$I$201,MATCH($A128,Références!$A$2:$A$201,0)),""))</f>
        <v>5</v>
      </c>
      <c r="G128" s="40" t="str">
        <f>IF($A128="","",IFERROR(INDEX(Références!$F$2:$F$201,MATCH($A128,Références!$A$2:$A$201,0)),""))</f>
        <v>Non</v>
      </c>
      <c r="H128" s="40" t="str">
        <f>IF($A128="","",IFERROR(INDEX(Références!$J$2:$J$201,MATCH($A128,Références!$A$2:$A$201,0)),""))</f>
        <v>À lire</v>
      </c>
      <c r="I128" s="41" t="str">
        <f>IF($A128="","",IFERROR(IF(INDEX(Références!$AF$2:$AF$201,MATCH($A128,Références!$A$2:$A$201,0))="","",HYPERLINK(INDEX(Références!$AF$2:$AF$201,MATCH($A128,Références!$A$2:$A$201,0)),"Ouvrir")),""))</f>
        <v>Ouvrir</v>
      </c>
      <c r="J128" s="42" t="s">
        <v>1716</v>
      </c>
      <c r="K128" s="3" t="s">
        <v>3771</v>
      </c>
      <c r="L128" s="3" t="s">
        <v>3777</v>
      </c>
      <c r="M128" s="3" t="s">
        <v>3778</v>
      </c>
      <c r="N128" s="3" t="s">
        <v>3779</v>
      </c>
      <c r="O128" s="3" t="s">
        <v>3780</v>
      </c>
      <c r="P128" s="43" t="s">
        <v>3781</v>
      </c>
      <c r="Q128" s="3" t="s">
        <v>3782</v>
      </c>
      <c r="R128" s="3" t="s">
        <v>1701</v>
      </c>
      <c r="S128" s="3" t="s">
        <v>1856</v>
      </c>
      <c r="T128" s="3" t="s">
        <v>1687</v>
      </c>
      <c r="U128" s="3" t="s">
        <v>2317</v>
      </c>
      <c r="V128" s="3" t="s">
        <v>1715</v>
      </c>
      <c r="W128" s="3" t="s">
        <v>2698</v>
      </c>
      <c r="X128" s="3" t="s">
        <v>1825</v>
      </c>
    </row>
    <row r="129" spans="1:24" ht="42.75" customHeight="1" x14ac:dyDescent="0.25">
      <c r="A129" s="38" t="s">
        <v>3384</v>
      </c>
      <c r="B129" s="39" t="str">
        <f>IF($A129="","",IFERROR(INDEX(Références!$C$2:$C$201,MATCH($A129,Références!$A$2:$A$201,0)),""))</f>
        <v>Polonsky &amp; Keer (2000)</v>
      </c>
      <c r="C129" s="39" t="str">
        <f>IF($A129="","",IFERROR(INDEX(Références!$D$2:$D$201,MATCH($A129,Références!$A$2:$A$201,0)),""))</f>
        <v>A fast and accurate method for numerical analysis of elastic layered contacts</v>
      </c>
      <c r="D129" s="40">
        <f>IF($A129="","",IFERROR(INDEX(Références!$G$2:$G$201,MATCH($A129,Références!$A$2:$A$201,0)),""))</f>
        <v>2</v>
      </c>
      <c r="E129" s="40" t="str">
        <f>IF($A129="","",IFERROR(INDEX(Références!$H$2:$H$201,MATCH($A129,Références!$A$2:$A$201,0)),""))</f>
        <v>Important</v>
      </c>
      <c r="F129" s="40">
        <f>IF($A129="","",IFERROR(INDEX(Références!$I$2:$I$201,MATCH($A129,Références!$A$2:$A$201,0)),""))</f>
        <v>5</v>
      </c>
      <c r="G129" s="40" t="str">
        <f>IF($A129="","",IFERROR(INDEX(Références!$F$2:$F$201,MATCH($A129,Références!$A$2:$A$201,0)),""))</f>
        <v>Non</v>
      </c>
      <c r="H129" s="40" t="str">
        <f>IF($A129="","",IFERROR(INDEX(Références!$J$2:$J$201,MATCH($A129,Références!$A$2:$A$201,0)),""))</f>
        <v>À lire</v>
      </c>
      <c r="I129" s="41" t="str">
        <f>IF($A129="","",IFERROR(IF(INDEX(Références!$AF$2:$AF$201,MATCH($A129,Références!$A$2:$A$201,0))="","",HYPERLINK(INDEX(Références!$AF$2:$AF$201,MATCH($A129,Références!$A$2:$A$201,0)),"Ouvrir")),""))</f>
        <v>Ouvrir</v>
      </c>
      <c r="J129" s="42" t="s">
        <v>1716</v>
      </c>
      <c r="K129" s="3" t="s">
        <v>3771</v>
      </c>
      <c r="L129" s="3" t="s">
        <v>3783</v>
      </c>
      <c r="M129" s="3" t="s">
        <v>3784</v>
      </c>
      <c r="N129" s="3" t="s">
        <v>1720</v>
      </c>
      <c r="O129" s="3" t="s">
        <v>1701</v>
      </c>
      <c r="P129" s="43" t="s">
        <v>3785</v>
      </c>
      <c r="Q129" s="3" t="s">
        <v>3786</v>
      </c>
      <c r="R129" s="3" t="s">
        <v>1701</v>
      </c>
      <c r="S129" s="3" t="s">
        <v>1856</v>
      </c>
      <c r="T129" s="3" t="s">
        <v>1687</v>
      </c>
      <c r="U129" s="3" t="s">
        <v>2317</v>
      </c>
      <c r="V129" s="3" t="s">
        <v>1715</v>
      </c>
      <c r="W129" s="3" t="s">
        <v>2698</v>
      </c>
      <c r="X129" s="3" t="s">
        <v>1701</v>
      </c>
    </row>
    <row r="130" spans="1:24" ht="42.75" customHeight="1" x14ac:dyDescent="0.25">
      <c r="A130" s="38" t="s">
        <v>3396</v>
      </c>
      <c r="B130" s="39" t="str">
        <f>IF($A130="","",IFERROR(INDEX(Références!$C$2:$C$201,MATCH($A130,Références!$A$2:$A$201,0)),""))</f>
        <v>Westergaard (1939)</v>
      </c>
      <c r="C130" s="39" t="str">
        <f>IF($A130="","",IFERROR(INDEX(Références!$D$2:$D$201,MATCH($A130,Références!$A$2:$A$201,0)),""))</f>
        <v>Bearing pressures and cracks</v>
      </c>
      <c r="D130" s="40">
        <f>IF($A130="","",IFERROR(INDEX(Références!$G$2:$G$201,MATCH($A130,Références!$A$2:$A$201,0)),""))</f>
        <v>2</v>
      </c>
      <c r="E130" s="40" t="str">
        <f>IF($A130="","",IFERROR(INDEX(Références!$H$2:$H$201,MATCH($A130,Références!$A$2:$A$201,0)),""))</f>
        <v>Important</v>
      </c>
      <c r="F130" s="40">
        <f>IF($A130="","",IFERROR(INDEX(Références!$I$2:$I$201,MATCH($A130,Références!$A$2:$A$201,0)),""))</f>
        <v>5</v>
      </c>
      <c r="G130" s="40" t="str">
        <f>IF($A130="","",IFERROR(INDEX(Références!$F$2:$F$201,MATCH($A130,Références!$A$2:$A$201,0)),""))</f>
        <v>Non</v>
      </c>
      <c r="H130" s="40" t="str">
        <f>IF($A130="","",IFERROR(INDEX(Références!$J$2:$J$201,MATCH($A130,Références!$A$2:$A$201,0)),""))</f>
        <v>À lire</v>
      </c>
      <c r="I130" s="41" t="str">
        <f>IF($A130="","",IFERROR(IF(INDEX(Références!$AF$2:$AF$201,MATCH($A130,Références!$A$2:$A$201,0))="","",HYPERLINK(INDEX(Références!$AF$2:$AF$201,MATCH($A130,Références!$A$2:$A$201,0)),"Ouvrir")),""))</f>
        <v>Ouvrir</v>
      </c>
      <c r="J130" s="42" t="s">
        <v>1716</v>
      </c>
      <c r="K130" s="3" t="s">
        <v>3771</v>
      </c>
      <c r="L130" s="3" t="s">
        <v>3787</v>
      </c>
      <c r="M130" s="3" t="s">
        <v>3788</v>
      </c>
      <c r="N130" s="3" t="s">
        <v>3789</v>
      </c>
      <c r="O130" s="3" t="s">
        <v>3790</v>
      </c>
      <c r="P130" s="43" t="s">
        <v>3791</v>
      </c>
      <c r="Q130" s="3" t="s">
        <v>3792</v>
      </c>
      <c r="R130" s="3" t="s">
        <v>1701</v>
      </c>
      <c r="S130" s="3" t="s">
        <v>1856</v>
      </c>
      <c r="T130" s="3" t="s">
        <v>1687</v>
      </c>
      <c r="U130" s="3" t="s">
        <v>2317</v>
      </c>
      <c r="V130" s="3" t="s">
        <v>1715</v>
      </c>
      <c r="W130" s="3" t="s">
        <v>2698</v>
      </c>
      <c r="X130" s="3" t="s">
        <v>1825</v>
      </c>
    </row>
    <row r="131" spans="1:24" ht="42.75" customHeight="1" x14ac:dyDescent="0.25">
      <c r="A131" s="38" t="s">
        <v>3408</v>
      </c>
      <c r="B131" s="39" t="str">
        <f>IF($A131="","",IFERROR(INDEX(Références!$C$2:$C$201,MATCH($A131,Références!$A$2:$A$201,0)),""))</f>
        <v>Johnson et al. (1985)</v>
      </c>
      <c r="C131" s="39" t="str">
        <f>IF($A131="","",IFERROR(INDEX(Références!$D$2:$D$201,MATCH($A131,Références!$A$2:$A$201,0)),""))</f>
        <v>The contact of elastic regular wavy surfaces</v>
      </c>
      <c r="D131" s="40">
        <f>IF($A131="","",IFERROR(INDEX(Références!$G$2:$G$201,MATCH($A131,Références!$A$2:$A$201,0)),""))</f>
        <v>2</v>
      </c>
      <c r="E131" s="40" t="str">
        <f>IF($A131="","",IFERROR(INDEX(Références!$H$2:$H$201,MATCH($A131,Références!$A$2:$A$201,0)),""))</f>
        <v>A consulter</v>
      </c>
      <c r="F131" s="40">
        <f>IF($A131="","",IFERROR(INDEX(Références!$I$2:$I$201,MATCH($A131,Références!$A$2:$A$201,0)),""))</f>
        <v>5</v>
      </c>
      <c r="G131" s="40" t="str">
        <f>IF($A131="","",IFERROR(INDEX(Références!$F$2:$F$201,MATCH($A131,Références!$A$2:$A$201,0)),""))</f>
        <v>Non</v>
      </c>
      <c r="H131" s="40" t="str">
        <f>IF($A131="","",IFERROR(INDEX(Références!$J$2:$J$201,MATCH($A131,Références!$A$2:$A$201,0)),""))</f>
        <v>À lire</v>
      </c>
      <c r="I131" s="41" t="str">
        <f>IF($A131="","",IFERROR(IF(INDEX(Références!$AF$2:$AF$201,MATCH($A131,Références!$A$2:$A$201,0))="","",HYPERLINK(INDEX(Références!$AF$2:$AF$201,MATCH($A131,Références!$A$2:$A$201,0)),"Ouvrir")),""))</f>
        <v>Ouvrir</v>
      </c>
      <c r="J131" s="42" t="s">
        <v>1716</v>
      </c>
      <c r="K131" s="3" t="s">
        <v>3771</v>
      </c>
      <c r="L131" s="3" t="s">
        <v>3793</v>
      </c>
      <c r="M131" s="3" t="s">
        <v>3794</v>
      </c>
      <c r="N131" s="3" t="s">
        <v>1720</v>
      </c>
      <c r="O131" s="3" t="s">
        <v>1701</v>
      </c>
      <c r="P131" s="43" t="s">
        <v>3795</v>
      </c>
      <c r="Q131" s="3" t="s">
        <v>3796</v>
      </c>
      <c r="R131" s="3" t="s">
        <v>1701</v>
      </c>
      <c r="S131" s="3" t="s">
        <v>1856</v>
      </c>
      <c r="T131" s="3" t="s">
        <v>1687</v>
      </c>
      <c r="U131" s="3" t="s">
        <v>2317</v>
      </c>
      <c r="V131" s="3" t="s">
        <v>1715</v>
      </c>
      <c r="W131" s="3" t="s">
        <v>2698</v>
      </c>
      <c r="X131" s="3" t="s">
        <v>1825</v>
      </c>
    </row>
    <row r="132" spans="1:24" ht="42.75" customHeight="1" x14ac:dyDescent="0.25">
      <c r="A132" s="38" t="s">
        <v>3418</v>
      </c>
      <c r="B132" s="39" t="str">
        <f>IF($A132="","",IFERROR(INDEX(Références!$C$2:$C$201,MATCH($A132,Références!$A$2:$A$201,0)),""))</f>
        <v>Greenwood &amp; Williamson (1966)</v>
      </c>
      <c r="C132" s="39" t="str">
        <f>IF($A132="","",IFERROR(INDEX(Références!$D$2:$D$201,MATCH($A132,Références!$A$2:$A$201,0)),""))</f>
        <v>Contact of nominally flat surfaces</v>
      </c>
      <c r="D132" s="40">
        <f>IF($A132="","",IFERROR(INDEX(Références!$G$2:$G$201,MATCH($A132,Références!$A$2:$A$201,0)),""))</f>
        <v>2</v>
      </c>
      <c r="E132" s="40" t="str">
        <f>IF($A132="","",IFERROR(INDEX(Références!$H$2:$H$201,MATCH($A132,Références!$A$2:$A$201,0)),""))</f>
        <v>Important</v>
      </c>
      <c r="F132" s="40">
        <f>IF($A132="","",IFERROR(INDEX(Références!$I$2:$I$201,MATCH($A132,Références!$A$2:$A$201,0)),""))</f>
        <v>5</v>
      </c>
      <c r="G132" s="40" t="str">
        <f>IF($A132="","",IFERROR(INDEX(Références!$F$2:$F$201,MATCH($A132,Références!$A$2:$A$201,0)),""))</f>
        <v>Non</v>
      </c>
      <c r="H132" s="40" t="str">
        <f>IF($A132="","",IFERROR(INDEX(Références!$J$2:$J$201,MATCH($A132,Références!$A$2:$A$201,0)),""))</f>
        <v>À lire</v>
      </c>
      <c r="I132" s="41" t="str">
        <f>IF($A132="","",IFERROR(IF(INDEX(Références!$AF$2:$AF$201,MATCH($A132,Références!$A$2:$A$201,0))="","",HYPERLINK(INDEX(Références!$AF$2:$AF$201,MATCH($A132,Références!$A$2:$A$201,0)),"Ouvrir")),""))</f>
        <v>Ouvrir</v>
      </c>
      <c r="J132" s="42" t="s">
        <v>1716</v>
      </c>
      <c r="K132" s="3" t="s">
        <v>3771</v>
      </c>
      <c r="L132" s="3" t="s">
        <v>3797</v>
      </c>
      <c r="M132" s="3" t="s">
        <v>3798</v>
      </c>
      <c r="N132" s="3" t="s">
        <v>3799</v>
      </c>
      <c r="O132" s="3" t="s">
        <v>3800</v>
      </c>
      <c r="P132" s="43" t="s">
        <v>3801</v>
      </c>
      <c r="Q132" s="3" t="s">
        <v>1701</v>
      </c>
      <c r="R132" s="3" t="s">
        <v>1701</v>
      </c>
      <c r="S132" s="3" t="s">
        <v>1856</v>
      </c>
      <c r="T132" s="3" t="s">
        <v>1687</v>
      </c>
      <c r="U132" s="3" t="s">
        <v>2317</v>
      </c>
      <c r="V132" s="3" t="s">
        <v>1715</v>
      </c>
      <c r="W132" s="3" t="s">
        <v>2698</v>
      </c>
      <c r="X132" s="3" t="s">
        <v>1838</v>
      </c>
    </row>
    <row r="133" spans="1:24" ht="42.75" customHeight="1" x14ac:dyDescent="0.25">
      <c r="A133" s="38" t="s">
        <v>3433</v>
      </c>
      <c r="B133" s="39" t="str">
        <f>IF($A133="","",IFERROR(INDEX(Références!$C$2:$C$201,MATCH($A133,Références!$A$2:$A$201,0)),""))</f>
        <v>Persson (2001)</v>
      </c>
      <c r="C133" s="39" t="str">
        <f>IF($A133="","",IFERROR(INDEX(Références!$D$2:$D$201,MATCH($A133,Références!$A$2:$A$201,0)),""))</f>
        <v>Theory of rubber friction and contact mechanics</v>
      </c>
      <c r="D133" s="40">
        <f>IF($A133="","",IFERROR(INDEX(Références!$G$2:$G$201,MATCH($A133,Références!$A$2:$A$201,0)),""))</f>
        <v>2</v>
      </c>
      <c r="E133" s="40" t="str">
        <f>IF($A133="","",IFERROR(INDEX(Références!$H$2:$H$201,MATCH($A133,Références!$A$2:$A$201,0)),""))</f>
        <v>Important</v>
      </c>
      <c r="F133" s="40">
        <f>IF($A133="","",IFERROR(INDEX(Références!$I$2:$I$201,MATCH($A133,Références!$A$2:$A$201,0)),""))</f>
        <v>5</v>
      </c>
      <c r="G133" s="40" t="str">
        <f>IF($A133="","",IFERROR(INDEX(Références!$F$2:$F$201,MATCH($A133,Références!$A$2:$A$201,0)),""))</f>
        <v>Non</v>
      </c>
      <c r="H133" s="40" t="str">
        <f>IF($A133="","",IFERROR(INDEX(Références!$J$2:$J$201,MATCH($A133,Références!$A$2:$A$201,0)),""))</f>
        <v>À lire</v>
      </c>
      <c r="I133" s="41" t="str">
        <f>IF($A133="","",IFERROR(IF(INDEX(Références!$AF$2:$AF$201,MATCH($A133,Références!$A$2:$A$201,0))="","",HYPERLINK(INDEX(Références!$AF$2:$AF$201,MATCH($A133,Références!$A$2:$A$201,0)),"Ouvrir")),""))</f>
        <v>Ouvrir</v>
      </c>
      <c r="J133" s="42" t="s">
        <v>1716</v>
      </c>
      <c r="K133" s="3" t="s">
        <v>3771</v>
      </c>
      <c r="L133" s="3" t="s">
        <v>3802</v>
      </c>
      <c r="M133" s="3" t="s">
        <v>3803</v>
      </c>
      <c r="N133" s="3" t="s">
        <v>3804</v>
      </c>
      <c r="O133" s="3" t="s">
        <v>3805</v>
      </c>
      <c r="P133" s="43" t="s">
        <v>3806</v>
      </c>
      <c r="Q133" s="3" t="s">
        <v>3807</v>
      </c>
      <c r="R133" s="3" t="s">
        <v>2681</v>
      </c>
      <c r="S133" s="3" t="s">
        <v>1856</v>
      </c>
      <c r="T133" s="3" t="s">
        <v>2323</v>
      </c>
      <c r="U133" s="3" t="s">
        <v>2317</v>
      </c>
      <c r="V133" s="3" t="s">
        <v>3808</v>
      </c>
      <c r="W133" s="3" t="s">
        <v>2698</v>
      </c>
      <c r="X133" s="3" t="s">
        <v>1701</v>
      </c>
    </row>
    <row r="134" spans="1:24" ht="42.75" customHeight="1" x14ac:dyDescent="0.25">
      <c r="A134" s="38" t="s">
        <v>3446</v>
      </c>
      <c r="B134" s="39" t="str">
        <f>IF($A134="","",IFERROR(INDEX(Références!$C$2:$C$201,MATCH($A134,Références!$A$2:$A$201,0)),""))</f>
        <v>Persson (2006)</v>
      </c>
      <c r="C134" s="39" t="str">
        <f>IF($A134="","",IFERROR(INDEX(Références!$D$2:$D$201,MATCH($A134,Références!$A$2:$A$201,0)),""))</f>
        <v>Contact mechanics for randomly rough surfaces</v>
      </c>
      <c r="D134" s="40">
        <f>IF($A134="","",IFERROR(INDEX(Références!$G$2:$G$201,MATCH($A134,Références!$A$2:$A$201,0)),""))</f>
        <v>2</v>
      </c>
      <c r="E134" s="40" t="str">
        <f>IF($A134="","",IFERROR(INDEX(Références!$H$2:$H$201,MATCH($A134,Références!$A$2:$A$201,0)),""))</f>
        <v>INCONTOURNABLE</v>
      </c>
      <c r="F134" s="40">
        <f>IF($A134="","",IFERROR(INDEX(Références!$I$2:$I$201,MATCH($A134,Références!$A$2:$A$201,0)),""))</f>
        <v>5</v>
      </c>
      <c r="G134" s="40" t="str">
        <f>IF($A134="","",IFERROR(INDEX(Références!$F$2:$F$201,MATCH($A134,Références!$A$2:$A$201,0)),""))</f>
        <v>Non</v>
      </c>
      <c r="H134" s="40" t="str">
        <f>IF($A134="","",IFERROR(INDEX(Références!$J$2:$J$201,MATCH($A134,Références!$A$2:$A$201,0)),""))</f>
        <v>À lire</v>
      </c>
      <c r="I134" s="41" t="str">
        <f>IF($A134="","",IFERROR(IF(INDEX(Références!$AF$2:$AF$201,MATCH($A134,Références!$A$2:$A$201,0))="","",HYPERLINK(INDEX(Références!$AF$2:$AF$201,MATCH($A134,Références!$A$2:$A$201,0)),"Ouvrir")),""))</f>
        <v>Ouvrir</v>
      </c>
      <c r="J134" s="42" t="s">
        <v>1716</v>
      </c>
      <c r="K134" s="3" t="s">
        <v>3771</v>
      </c>
      <c r="L134" s="3" t="s">
        <v>3809</v>
      </c>
      <c r="M134" s="3" t="s">
        <v>3810</v>
      </c>
      <c r="N134" s="3" t="s">
        <v>1720</v>
      </c>
      <c r="O134" s="3" t="s">
        <v>1701</v>
      </c>
      <c r="P134" s="43" t="s">
        <v>3811</v>
      </c>
      <c r="Q134" s="3" t="s">
        <v>1701</v>
      </c>
      <c r="R134" s="3" t="s">
        <v>1701</v>
      </c>
      <c r="S134" s="3" t="s">
        <v>1856</v>
      </c>
      <c r="T134" s="3" t="s">
        <v>1687</v>
      </c>
      <c r="U134" s="3" t="s">
        <v>1742</v>
      </c>
      <c r="V134" s="3" t="s">
        <v>1715</v>
      </c>
      <c r="W134" s="3" t="s">
        <v>2698</v>
      </c>
      <c r="X134" s="3" t="s">
        <v>1701</v>
      </c>
    </row>
    <row r="135" spans="1:24" ht="42.75" customHeight="1" x14ac:dyDescent="0.25">
      <c r="A135" s="38" t="s">
        <v>3503</v>
      </c>
      <c r="B135" s="39" t="str">
        <f>IF($A135="","",IFERROR(INDEX(Références!$C$2:$C$201,MATCH($A135,Références!$A$2:$A$201,0)),""))</f>
        <v>Yastrebov (2013)</v>
      </c>
      <c r="C135" s="39" t="str">
        <f>IF($A135="","",IFERROR(INDEX(Références!$D$2:$D$201,MATCH($A135,Références!$A$2:$A$201,0)),""))</f>
        <v>Numerical methods in contact mechanics</v>
      </c>
      <c r="D135" s="40">
        <f>IF($A135="","",IFERROR(INDEX(Références!$G$2:$G$201,MATCH($A135,Références!$A$2:$A$201,0)),""))</f>
        <v>2</v>
      </c>
      <c r="E135" s="40" t="str">
        <f>IF($A135="","",IFERROR(INDEX(Références!$H$2:$H$201,MATCH($A135,Références!$A$2:$A$201,0)),""))</f>
        <v>Important</v>
      </c>
      <c r="F135" s="40">
        <f>IF($A135="","",IFERROR(INDEX(Références!$I$2:$I$201,MATCH($A135,Références!$A$2:$A$201,0)),""))</f>
        <v>5</v>
      </c>
      <c r="G135" s="40" t="str">
        <f>IF($A135="","",IFERROR(INDEX(Références!$F$2:$F$201,MATCH($A135,Références!$A$2:$A$201,0)),""))</f>
        <v>Non</v>
      </c>
      <c r="H135" s="40" t="str">
        <f>IF($A135="","",IFERROR(INDEX(Références!$J$2:$J$201,MATCH($A135,Références!$A$2:$A$201,0)),""))</f>
        <v>À lire</v>
      </c>
      <c r="I135" s="41" t="str">
        <f>IF($A135="","",IFERROR(IF(INDEX(Références!$AF$2:$AF$201,MATCH($A135,Références!$A$2:$A$201,0))="","",HYPERLINK(INDEX(Références!$AF$2:$AF$201,MATCH($A135,Références!$A$2:$A$201,0)),"Ouvrir")),""))</f>
        <v>Ouvrir</v>
      </c>
      <c r="J135" s="42" t="s">
        <v>1716</v>
      </c>
      <c r="K135" s="3" t="s">
        <v>3771</v>
      </c>
      <c r="L135" s="3" t="s">
        <v>3812</v>
      </c>
      <c r="M135" s="3" t="s">
        <v>3813</v>
      </c>
      <c r="N135" s="3" t="s">
        <v>1720</v>
      </c>
      <c r="O135" s="3" t="s">
        <v>1701</v>
      </c>
      <c r="P135" s="43" t="s">
        <v>3814</v>
      </c>
      <c r="Q135" s="3" t="s">
        <v>3815</v>
      </c>
      <c r="R135" s="3" t="s">
        <v>1701</v>
      </c>
      <c r="S135" s="3" t="s">
        <v>1856</v>
      </c>
      <c r="T135" s="3" t="s">
        <v>1687</v>
      </c>
      <c r="U135" s="3" t="s">
        <v>3816</v>
      </c>
      <c r="V135" s="3" t="s">
        <v>1715</v>
      </c>
      <c r="W135" s="3" t="s">
        <v>3776</v>
      </c>
      <c r="X135" s="3" t="s">
        <v>1701</v>
      </c>
    </row>
    <row r="136" spans="1:24" ht="42.75" customHeight="1" x14ac:dyDescent="0.25">
      <c r="A136" s="38" t="s">
        <v>3516</v>
      </c>
      <c r="B136" s="39" t="str">
        <f>IF($A136="","",IFERROR(INDEX(Références!$C$2:$C$201,MATCH($A136,Références!$A$2:$A$201,0)),""))</f>
        <v>Barber (2018)</v>
      </c>
      <c r="C136" s="39" t="str">
        <f>IF($A136="","",IFERROR(INDEX(Références!$D$2:$D$201,MATCH($A136,Références!$A$2:$A$201,0)),""))</f>
        <v>Contact mechanics</v>
      </c>
      <c r="D136" s="40">
        <f>IF($A136="","",IFERROR(INDEX(Références!$G$2:$G$201,MATCH($A136,Références!$A$2:$A$201,0)),""))</f>
        <v>2</v>
      </c>
      <c r="E136" s="40" t="str">
        <f>IF($A136="","",IFERROR(INDEX(Références!$H$2:$H$201,MATCH($A136,Références!$A$2:$A$201,0)),""))</f>
        <v>A consulter</v>
      </c>
      <c r="F136" s="40">
        <f>IF($A136="","",IFERROR(INDEX(Références!$I$2:$I$201,MATCH($A136,Références!$A$2:$A$201,0)),""))</f>
        <v>5</v>
      </c>
      <c r="G136" s="40" t="str">
        <f>IF($A136="","",IFERROR(INDEX(Références!$F$2:$F$201,MATCH($A136,Références!$A$2:$A$201,0)),""))</f>
        <v>Non</v>
      </c>
      <c r="H136" s="40" t="str">
        <f>IF($A136="","",IFERROR(INDEX(Références!$J$2:$J$201,MATCH($A136,Références!$A$2:$A$201,0)),""))</f>
        <v>À lire</v>
      </c>
      <c r="I136" s="41" t="str">
        <f>IF($A136="","",IFERROR(IF(INDEX(Références!$AF$2:$AF$201,MATCH($A136,Références!$A$2:$A$201,0))="","",HYPERLINK(INDEX(Références!$AF$2:$AF$201,MATCH($A136,Références!$A$2:$A$201,0)),"Ouvrir")),""))</f>
        <v>Ouvrir</v>
      </c>
      <c r="J136" s="42" t="s">
        <v>1716</v>
      </c>
      <c r="K136" s="3" t="s">
        <v>3771</v>
      </c>
      <c r="L136" s="3" t="s">
        <v>3817</v>
      </c>
      <c r="M136" s="3" t="s">
        <v>3818</v>
      </c>
      <c r="N136" s="3" t="s">
        <v>1720</v>
      </c>
      <c r="O136" s="3" t="s">
        <v>1701</v>
      </c>
      <c r="P136" s="43" t="s">
        <v>3819</v>
      </c>
      <c r="Q136" s="3" t="s">
        <v>1701</v>
      </c>
      <c r="R136" s="3" t="s">
        <v>1701</v>
      </c>
      <c r="S136" s="3" t="s">
        <v>1856</v>
      </c>
      <c r="T136" s="3" t="s">
        <v>1687</v>
      </c>
      <c r="U136" s="3" t="s">
        <v>2898</v>
      </c>
      <c r="V136" s="3" t="s">
        <v>1715</v>
      </c>
      <c r="W136" s="3" t="s">
        <v>2698</v>
      </c>
      <c r="X136" s="3" t="s">
        <v>1701</v>
      </c>
    </row>
    <row r="137" spans="1:24" ht="42.75" customHeight="1" x14ac:dyDescent="0.25">
      <c r="A137" s="38" t="s">
        <v>3530</v>
      </c>
      <c r="B137" s="39" t="str">
        <f>IF($A137="","",IFERROR(INDEX(Références!$C$2:$C$201,MATCH($A137,Références!$A$2:$A$201,0)),""))</f>
        <v>Müser et al. (2017)</v>
      </c>
      <c r="C137" s="39" t="str">
        <f>IF($A137="","",IFERROR(INDEX(Références!$D$2:$D$201,MATCH($A137,Références!$A$2:$A$201,0)),""))</f>
        <v>Meeting the contact-mechanics challenge</v>
      </c>
      <c r="D137" s="40">
        <f>IF($A137="","",IFERROR(INDEX(Références!$G$2:$G$201,MATCH($A137,Références!$A$2:$A$201,0)),""))</f>
        <v>2</v>
      </c>
      <c r="E137" s="40" t="str">
        <f>IF($A137="","",IFERROR(INDEX(Références!$H$2:$H$201,MATCH($A137,Références!$A$2:$A$201,0)),""))</f>
        <v>Important</v>
      </c>
      <c r="F137" s="40">
        <f>IF($A137="","",IFERROR(INDEX(Références!$I$2:$I$201,MATCH($A137,Références!$A$2:$A$201,0)),""))</f>
        <v>5</v>
      </c>
      <c r="G137" s="40" t="str">
        <f>IF($A137="","",IFERROR(INDEX(Références!$F$2:$F$201,MATCH($A137,Références!$A$2:$A$201,0)),""))</f>
        <v>Non</v>
      </c>
      <c r="H137" s="40" t="str">
        <f>IF($A137="","",IFERROR(INDEX(Références!$J$2:$J$201,MATCH($A137,Références!$A$2:$A$201,0)),""))</f>
        <v>À lire</v>
      </c>
      <c r="I137" s="41" t="str">
        <f>IF($A137="","",IFERROR(IF(INDEX(Références!$AF$2:$AF$201,MATCH($A137,Références!$A$2:$A$201,0))="","",HYPERLINK(INDEX(Références!$AF$2:$AF$201,MATCH($A137,Références!$A$2:$A$201,0)),"Ouvrir")),""))</f>
        <v>Ouvrir</v>
      </c>
      <c r="J137" s="42" t="s">
        <v>1716</v>
      </c>
      <c r="K137" s="3" t="s">
        <v>3771</v>
      </c>
      <c r="L137" s="3" t="s">
        <v>3820</v>
      </c>
      <c r="M137" s="3" t="s">
        <v>3821</v>
      </c>
      <c r="N137" s="3" t="s">
        <v>1720</v>
      </c>
      <c r="O137" s="3" t="s">
        <v>1701</v>
      </c>
      <c r="P137" s="43" t="s">
        <v>3822</v>
      </c>
      <c r="Q137" s="3" t="s">
        <v>3823</v>
      </c>
      <c r="R137" s="3" t="s">
        <v>1701</v>
      </c>
      <c r="S137" s="3" t="s">
        <v>1856</v>
      </c>
      <c r="T137" s="3" t="s">
        <v>1687</v>
      </c>
      <c r="U137" s="3" t="s">
        <v>3824</v>
      </c>
      <c r="V137" s="3" t="s">
        <v>1715</v>
      </c>
      <c r="W137" s="3" t="s">
        <v>2698</v>
      </c>
      <c r="X137" s="3" t="s">
        <v>3825</v>
      </c>
    </row>
    <row r="138" spans="1:24" ht="42.75" customHeight="1" x14ac:dyDescent="0.25">
      <c r="A138" s="38" t="s">
        <v>3543</v>
      </c>
      <c r="B138" s="39" t="str">
        <f>IF($A138="","",IFERROR(INDEX(Références!$C$2:$C$201,MATCH($A138,Références!$A$2:$A$201,0)),""))</f>
        <v>Yastrebov et al. (2014)</v>
      </c>
      <c r="C138" s="39" t="str">
        <f>IF($A138="","",IFERROR(INDEX(Références!$D$2:$D$201,MATCH($A138,Références!$A$2:$A$201,0)),""))</f>
        <v>From infinitesimal to full contact between rough surfaces: evolution of the contact area</v>
      </c>
      <c r="D138" s="40">
        <f>IF($A138="","",IFERROR(INDEX(Références!$G$2:$G$201,MATCH($A138,Références!$A$2:$A$201,0)),""))</f>
        <v>2</v>
      </c>
      <c r="E138" s="40" t="str">
        <f>IF($A138="","",IFERROR(INDEX(Références!$H$2:$H$201,MATCH($A138,Références!$A$2:$A$201,0)),""))</f>
        <v>A consulter</v>
      </c>
      <c r="F138" s="40">
        <f>IF($A138="","",IFERROR(INDEX(Références!$I$2:$I$201,MATCH($A138,Références!$A$2:$A$201,0)),""))</f>
        <v>5</v>
      </c>
      <c r="G138" s="40" t="str">
        <f>IF($A138="","",IFERROR(INDEX(Références!$F$2:$F$201,MATCH($A138,Références!$A$2:$A$201,0)),""))</f>
        <v>Non</v>
      </c>
      <c r="H138" s="40" t="str">
        <f>IF($A138="","",IFERROR(INDEX(Références!$J$2:$J$201,MATCH($A138,Références!$A$2:$A$201,0)),""))</f>
        <v>À lire</v>
      </c>
      <c r="I138" s="41" t="str">
        <f>IF($A138="","",IFERROR(IF(INDEX(Références!$AF$2:$AF$201,MATCH($A138,Références!$A$2:$A$201,0))="","",HYPERLINK(INDEX(Références!$AF$2:$AF$201,MATCH($A138,Références!$A$2:$A$201,0)),"Ouvrir")),""))</f>
        <v>Ouvrir</v>
      </c>
      <c r="J138" s="42" t="s">
        <v>1716</v>
      </c>
      <c r="K138" s="3" t="s">
        <v>3771</v>
      </c>
      <c r="L138" s="3" t="s">
        <v>3826</v>
      </c>
      <c r="M138" s="3" t="s">
        <v>3827</v>
      </c>
      <c r="N138" s="3" t="s">
        <v>1720</v>
      </c>
      <c r="O138" s="3" t="s">
        <v>3828</v>
      </c>
      <c r="P138" s="43" t="s">
        <v>3829</v>
      </c>
      <c r="Q138" s="3" t="s">
        <v>3830</v>
      </c>
      <c r="R138" s="3" t="s">
        <v>1701</v>
      </c>
      <c r="S138" s="3" t="s">
        <v>1856</v>
      </c>
      <c r="T138" s="3" t="s">
        <v>1687</v>
      </c>
      <c r="U138" s="3" t="s">
        <v>2198</v>
      </c>
      <c r="V138" s="3" t="s">
        <v>1715</v>
      </c>
      <c r="W138" s="3" t="s">
        <v>2698</v>
      </c>
      <c r="X138" s="3" t="s">
        <v>1701</v>
      </c>
    </row>
    <row r="139" spans="1:24" ht="42.75" customHeight="1" x14ac:dyDescent="0.25">
      <c r="A139" s="38" t="s">
        <v>3555</v>
      </c>
      <c r="B139" s="39" t="str">
        <f>IF($A139="","",IFERROR(INDEX(Références!$C$2:$C$201,MATCH($A139,Références!$A$2:$A$201,0)),""))</f>
        <v>Dapp et al. (2014)</v>
      </c>
      <c r="C139" s="39" t="str">
        <f>IF($A139="","",IFERROR(INDEX(Références!$D$2:$D$201,MATCH($A139,Références!$A$2:$A$201,0)),""))</f>
        <v>Systematic analysis of Persson's contact mechanics theory of randomly rough elastic surfaces</v>
      </c>
      <c r="D139" s="40">
        <f>IF($A139="","",IFERROR(INDEX(Références!$G$2:$G$201,MATCH($A139,Références!$A$2:$A$201,0)),""))</f>
        <v>2</v>
      </c>
      <c r="E139" s="40" t="str">
        <f>IF($A139="","",IFERROR(INDEX(Références!$H$2:$H$201,MATCH($A139,Références!$A$2:$A$201,0)),""))</f>
        <v>A consulter</v>
      </c>
      <c r="F139" s="40">
        <f>IF($A139="","",IFERROR(INDEX(Références!$I$2:$I$201,MATCH($A139,Références!$A$2:$A$201,0)),""))</f>
        <v>5</v>
      </c>
      <c r="G139" s="40" t="str">
        <f>IF($A139="","",IFERROR(INDEX(Références!$F$2:$F$201,MATCH($A139,Références!$A$2:$A$201,0)),""))</f>
        <v>Non</v>
      </c>
      <c r="H139" s="40" t="str">
        <f>IF($A139="","",IFERROR(INDEX(Références!$J$2:$J$201,MATCH($A139,Références!$A$2:$A$201,0)),""))</f>
        <v>À lire</v>
      </c>
      <c r="I139" s="41" t="str">
        <f>IF($A139="","",IFERROR(IF(INDEX(Références!$AF$2:$AF$201,MATCH($A139,Références!$A$2:$A$201,0))="","",HYPERLINK(INDEX(Références!$AF$2:$AF$201,MATCH($A139,Références!$A$2:$A$201,0)),"Ouvrir")),""))</f>
        <v>Ouvrir</v>
      </c>
      <c r="J139" s="42" t="s">
        <v>1716</v>
      </c>
      <c r="K139" s="3" t="s">
        <v>3771</v>
      </c>
      <c r="L139" s="3" t="s">
        <v>3831</v>
      </c>
      <c r="M139" s="3" t="s">
        <v>3832</v>
      </c>
      <c r="N139" s="3" t="s">
        <v>1720</v>
      </c>
      <c r="O139" s="3" t="s">
        <v>3828</v>
      </c>
      <c r="P139" s="43" t="s">
        <v>3833</v>
      </c>
      <c r="Q139" s="3" t="s">
        <v>3830</v>
      </c>
      <c r="R139" s="3" t="s">
        <v>1701</v>
      </c>
      <c r="S139" s="3" t="s">
        <v>1856</v>
      </c>
      <c r="T139" s="3" t="s">
        <v>1687</v>
      </c>
      <c r="U139" s="3" t="s">
        <v>2317</v>
      </c>
      <c r="V139" s="3" t="s">
        <v>1715</v>
      </c>
      <c r="W139" s="3" t="s">
        <v>2698</v>
      </c>
      <c r="X139" s="3" t="s">
        <v>1701</v>
      </c>
    </row>
    <row r="140" spans="1:24" ht="42.75" customHeight="1" x14ac:dyDescent="0.25">
      <c r="A140" s="38" t="s">
        <v>3564</v>
      </c>
      <c r="B140" s="39" t="str">
        <f>IF($A140="","",IFERROR(INDEX(Références!$C$2:$C$201,MATCH($A140,Références!$A$2:$A$201,0)),""))</f>
        <v>Bemporad &amp; Paggi (2015)</v>
      </c>
      <c r="C140" s="39" t="str">
        <f>IF($A140="","",IFERROR(INDEX(Références!$D$2:$D$201,MATCH($A140,Références!$A$2:$A$201,0)),""))</f>
        <v>Optimization algorithms for the solution of the frictionless normal contact between rough surfaces</v>
      </c>
      <c r="D140" s="40">
        <f>IF($A140="","",IFERROR(INDEX(Références!$G$2:$G$201,MATCH($A140,Références!$A$2:$A$201,0)),""))</f>
        <v>2</v>
      </c>
      <c r="E140" s="40" t="str">
        <f>IF($A140="","",IFERROR(INDEX(Références!$H$2:$H$201,MATCH($A140,Références!$A$2:$A$201,0)),""))</f>
        <v>A consulter</v>
      </c>
      <c r="F140" s="40">
        <f>IF($A140="","",IFERROR(INDEX(Références!$I$2:$I$201,MATCH($A140,Références!$A$2:$A$201,0)),""))</f>
        <v>5</v>
      </c>
      <c r="G140" s="40" t="str">
        <f>IF($A140="","",IFERROR(INDEX(Références!$F$2:$F$201,MATCH($A140,Références!$A$2:$A$201,0)),""))</f>
        <v>Non</v>
      </c>
      <c r="H140" s="40" t="str">
        <f>IF($A140="","",IFERROR(INDEX(Références!$J$2:$J$201,MATCH($A140,Références!$A$2:$A$201,0)),""))</f>
        <v>À lire</v>
      </c>
      <c r="I140" s="41" t="str">
        <f>IF($A140="","",IFERROR(IF(INDEX(Références!$AF$2:$AF$201,MATCH($A140,Références!$A$2:$A$201,0))="","",HYPERLINK(INDEX(Références!$AF$2:$AF$201,MATCH($A140,Références!$A$2:$A$201,0)),"Ouvrir")),""))</f>
        <v>Ouvrir</v>
      </c>
      <c r="J140" s="42" t="s">
        <v>1716</v>
      </c>
      <c r="K140" s="3" t="s">
        <v>3771</v>
      </c>
      <c r="L140" s="3" t="s">
        <v>3834</v>
      </c>
      <c r="M140" s="3" t="s">
        <v>3835</v>
      </c>
      <c r="N140" s="3" t="s">
        <v>3836</v>
      </c>
      <c r="O140" s="3" t="s">
        <v>3837</v>
      </c>
      <c r="P140" s="43" t="s">
        <v>3838</v>
      </c>
      <c r="Q140" s="3" t="s">
        <v>3839</v>
      </c>
      <c r="R140" s="3" t="s">
        <v>1701</v>
      </c>
      <c r="S140" s="3" t="s">
        <v>1856</v>
      </c>
      <c r="T140" s="3" t="s">
        <v>1687</v>
      </c>
      <c r="U140" s="3" t="s">
        <v>2317</v>
      </c>
      <c r="V140" s="3" t="s">
        <v>1715</v>
      </c>
      <c r="W140" s="3" t="s">
        <v>2698</v>
      </c>
      <c r="X140" s="3" t="s">
        <v>3840</v>
      </c>
    </row>
    <row r="141" spans="1:24" ht="42.75" customHeight="1" x14ac:dyDescent="0.25">
      <c r="A141" s="38" t="s">
        <v>3576</v>
      </c>
      <c r="B141" s="39" t="str">
        <f>IF($A141="","",IFERROR(INDEX(Références!$C$2:$C$201,MATCH($A141,Références!$A$2:$A$201,0)),""))</f>
        <v>Pohrt &amp; Li (2014)</v>
      </c>
      <c r="C141" s="39" t="str">
        <f>IF($A141="","",IFERROR(INDEX(Références!$D$2:$D$201,MATCH($A141,Références!$A$2:$A$201,0)),""))</f>
        <v>Complete boundary element formulation for normal and tangential contact problems</v>
      </c>
      <c r="D141" s="40">
        <f>IF($A141="","",IFERROR(INDEX(Références!$G$2:$G$201,MATCH($A141,Références!$A$2:$A$201,0)),""))</f>
        <v>2</v>
      </c>
      <c r="E141" s="40" t="str">
        <f>IF($A141="","",IFERROR(INDEX(Références!$H$2:$H$201,MATCH($A141,Références!$A$2:$A$201,0)),""))</f>
        <v>A consulter</v>
      </c>
      <c r="F141" s="40">
        <f>IF($A141="","",IFERROR(INDEX(Références!$I$2:$I$201,MATCH($A141,Références!$A$2:$A$201,0)),""))</f>
        <v>5</v>
      </c>
      <c r="G141" s="40" t="str">
        <f>IF($A141="","",IFERROR(INDEX(Références!$F$2:$F$201,MATCH($A141,Références!$A$2:$A$201,0)),""))</f>
        <v>Non</v>
      </c>
      <c r="H141" s="40" t="str">
        <f>IF($A141="","",IFERROR(INDEX(Références!$J$2:$J$201,MATCH($A141,Références!$A$2:$A$201,0)),""))</f>
        <v>À lire</v>
      </c>
      <c r="I141" s="41" t="str">
        <f>IF($A141="","",IFERROR(IF(INDEX(Références!$AF$2:$AF$201,MATCH($A141,Références!$A$2:$A$201,0))="","",HYPERLINK(INDEX(Références!$AF$2:$AF$201,MATCH($A141,Références!$A$2:$A$201,0)),"Ouvrir")),""))</f>
        <v>Ouvrir</v>
      </c>
      <c r="J141" s="42" t="s">
        <v>1716</v>
      </c>
      <c r="K141" s="3" t="s">
        <v>3771</v>
      </c>
      <c r="L141" s="3" t="s">
        <v>3841</v>
      </c>
      <c r="M141" s="3" t="s">
        <v>3842</v>
      </c>
      <c r="N141" s="3" t="s">
        <v>1720</v>
      </c>
      <c r="O141" s="3" t="s">
        <v>1701</v>
      </c>
      <c r="P141" s="43" t="s">
        <v>3843</v>
      </c>
      <c r="Q141" s="3" t="s">
        <v>1701</v>
      </c>
      <c r="R141" s="3" t="s">
        <v>1701</v>
      </c>
      <c r="S141" s="3" t="s">
        <v>3844</v>
      </c>
      <c r="T141" s="3" t="s">
        <v>1687</v>
      </c>
      <c r="U141" s="3" t="s">
        <v>2317</v>
      </c>
      <c r="V141" s="3" t="s">
        <v>1715</v>
      </c>
      <c r="W141" s="3" t="s">
        <v>2698</v>
      </c>
      <c r="X141" s="3" t="s">
        <v>1701</v>
      </c>
    </row>
    <row r="142" spans="1:24" ht="42.75" customHeight="1" x14ac:dyDescent="0.25">
      <c r="A142" s="38" t="s">
        <v>3459</v>
      </c>
      <c r="B142" s="39" t="str">
        <f>IF($A142="","",IFERROR(INDEX(Références!$C$2:$C$201,MATCH($A142,Références!$A$2:$A$201,0)),""))</f>
        <v>Persson et al. (2005)</v>
      </c>
      <c r="C142" s="39" t="str">
        <f>IF($A142="","",IFERROR(INDEX(Références!$D$2:$D$201,MATCH($A142,Références!$A$2:$A$201,0)),""))</f>
        <v>On the nature of surface roughness with application to contact mechanics, sealing, rubber friction and adhesion</v>
      </c>
      <c r="D142" s="40">
        <f>IF($A142="","",IFERROR(INDEX(Références!$G$2:$G$201,MATCH($A142,Références!$A$2:$A$201,0)),""))</f>
        <v>2</v>
      </c>
      <c r="E142" s="40" t="str">
        <f>IF($A142="","",IFERROR(INDEX(Références!$H$2:$H$201,MATCH($A142,Références!$A$2:$A$201,0)),""))</f>
        <v>Important</v>
      </c>
      <c r="F142" s="40">
        <f>IF($A142="","",IFERROR(INDEX(Références!$I$2:$I$201,MATCH($A142,Références!$A$2:$A$201,0)),""))</f>
        <v>6</v>
      </c>
      <c r="G142" s="40" t="str">
        <f>IF($A142="","",IFERROR(INDEX(Références!$F$2:$F$201,MATCH($A142,Références!$A$2:$A$201,0)),""))</f>
        <v>Non</v>
      </c>
      <c r="H142" s="40" t="str">
        <f>IF($A142="","",IFERROR(INDEX(Références!$J$2:$J$201,MATCH($A142,Références!$A$2:$A$201,0)),""))</f>
        <v>À lire</v>
      </c>
      <c r="I142" s="41" t="str">
        <f>IF($A142="","",IFERROR(IF(INDEX(Références!$AF$2:$AF$201,MATCH($A142,Références!$A$2:$A$201,0))="","",HYPERLINK(INDEX(Références!$AF$2:$AF$201,MATCH($A142,Références!$A$2:$A$201,0)),"Ouvrir")),""))</f>
        <v>Ouvrir</v>
      </c>
      <c r="J142" s="42" t="s">
        <v>1716</v>
      </c>
      <c r="K142" s="3" t="s">
        <v>3771</v>
      </c>
      <c r="L142" s="3" t="s">
        <v>3845</v>
      </c>
      <c r="M142" s="3" t="s">
        <v>3846</v>
      </c>
      <c r="N142" s="3" t="s">
        <v>1720</v>
      </c>
      <c r="O142" s="3" t="s">
        <v>1701</v>
      </c>
      <c r="P142" s="43" t="s">
        <v>3847</v>
      </c>
      <c r="Q142" s="3" t="s">
        <v>3848</v>
      </c>
      <c r="R142" s="3" t="s">
        <v>2681</v>
      </c>
      <c r="S142" s="3" t="s">
        <v>1856</v>
      </c>
      <c r="T142" s="3" t="s">
        <v>2323</v>
      </c>
      <c r="U142" s="3" t="s">
        <v>1742</v>
      </c>
      <c r="V142" s="3" t="s">
        <v>1715</v>
      </c>
      <c r="W142" s="3" t="s">
        <v>3849</v>
      </c>
      <c r="X142" s="3" t="s">
        <v>1701</v>
      </c>
    </row>
    <row r="143" spans="1:24" ht="42.75" customHeight="1" x14ac:dyDescent="0.25">
      <c r="A143" s="38" t="s">
        <v>3471</v>
      </c>
      <c r="B143" s="39" t="str">
        <f>IF($A143="","",IFERROR(INDEX(Références!$C$2:$C$201,MATCH($A143,Références!$A$2:$A$201,0)),""))</f>
        <v>Jacobs et al. (2017)</v>
      </c>
      <c r="C143" s="39" t="str">
        <f>IF($A143="","",IFERROR(INDEX(Références!$D$2:$D$201,MATCH($A143,Références!$A$2:$A$201,0)),""))</f>
        <v>Quantitative characterization of surface topography using spectral analysis</v>
      </c>
      <c r="D143" s="40">
        <f>IF($A143="","",IFERROR(INDEX(Références!$G$2:$G$201,MATCH($A143,Références!$A$2:$A$201,0)),""))</f>
        <v>2</v>
      </c>
      <c r="E143" s="40" t="str">
        <f>IF($A143="","",IFERROR(INDEX(Références!$H$2:$H$201,MATCH($A143,Références!$A$2:$A$201,0)),""))</f>
        <v>INCONTOURNABLE</v>
      </c>
      <c r="F143" s="40">
        <f>IF($A143="","",IFERROR(INDEX(Références!$I$2:$I$201,MATCH($A143,Références!$A$2:$A$201,0)),""))</f>
        <v>6</v>
      </c>
      <c r="G143" s="40" t="str">
        <f>IF($A143="","",IFERROR(INDEX(Références!$F$2:$F$201,MATCH($A143,Références!$A$2:$A$201,0)),""))</f>
        <v>Non</v>
      </c>
      <c r="H143" s="40" t="str">
        <f>IF($A143="","",IFERROR(INDEX(Références!$J$2:$J$201,MATCH($A143,Références!$A$2:$A$201,0)),""))</f>
        <v>À lire</v>
      </c>
      <c r="I143" s="41" t="str">
        <f>IF($A143="","",IFERROR(IF(INDEX(Références!$AF$2:$AF$201,MATCH($A143,Références!$A$2:$A$201,0))="","",HYPERLINK(INDEX(Références!$AF$2:$AF$201,MATCH($A143,Références!$A$2:$A$201,0)),"Ouvrir")),""))</f>
        <v>Ouvrir</v>
      </c>
      <c r="J143" s="42" t="s">
        <v>1716</v>
      </c>
      <c r="K143" s="3" t="s">
        <v>3771</v>
      </c>
      <c r="L143" s="3" t="s">
        <v>3850</v>
      </c>
      <c r="M143" s="3" t="s">
        <v>3851</v>
      </c>
      <c r="N143" s="3" t="s">
        <v>1720</v>
      </c>
      <c r="O143" s="3" t="s">
        <v>1701</v>
      </c>
      <c r="P143" s="43" t="s">
        <v>3852</v>
      </c>
      <c r="Q143" s="3" t="s">
        <v>3853</v>
      </c>
      <c r="R143" s="3" t="s">
        <v>1701</v>
      </c>
      <c r="S143" s="3" t="s">
        <v>1701</v>
      </c>
      <c r="T143" s="3" t="s">
        <v>1701</v>
      </c>
      <c r="U143" s="3" t="s">
        <v>2898</v>
      </c>
      <c r="V143" s="3" t="s">
        <v>1701</v>
      </c>
      <c r="W143" s="3" t="s">
        <v>3854</v>
      </c>
      <c r="X143" s="3" t="s">
        <v>1701</v>
      </c>
    </row>
    <row r="144" spans="1:24" ht="42.75" customHeight="1" x14ac:dyDescent="0.25">
      <c r="A144" s="38" t="s">
        <v>3484</v>
      </c>
      <c r="B144" s="39" t="str">
        <f>IF($A144="","",IFERROR(INDEX(Références!$C$2:$C$201,MATCH($A144,Références!$A$2:$A$201,0)),""))</f>
        <v>Hu &amp; Tonder (1992)</v>
      </c>
      <c r="C144" s="39" t="str">
        <f>IF($A144="","",IFERROR(INDEX(Références!$D$2:$D$201,MATCH($A144,Références!$A$2:$A$201,0)),""))</f>
        <v>Simulation of 3-D random rough surface by 2-D digital filter and Fourier analysis</v>
      </c>
      <c r="D144" s="40">
        <f>IF($A144="","",IFERROR(INDEX(Références!$G$2:$G$201,MATCH($A144,Références!$A$2:$A$201,0)),""))</f>
        <v>2</v>
      </c>
      <c r="E144" s="40" t="str">
        <f>IF($A144="","",IFERROR(INDEX(Références!$H$2:$H$201,MATCH($A144,Références!$A$2:$A$201,0)),""))</f>
        <v>A consulter</v>
      </c>
      <c r="F144" s="40">
        <f>IF($A144="","",IFERROR(INDEX(Références!$I$2:$I$201,MATCH($A144,Références!$A$2:$A$201,0)),""))</f>
        <v>6</v>
      </c>
      <c r="G144" s="40" t="str">
        <f>IF($A144="","",IFERROR(INDEX(Références!$F$2:$F$201,MATCH($A144,Références!$A$2:$A$201,0)),""))</f>
        <v>Non</v>
      </c>
      <c r="H144" s="40" t="str">
        <f>IF($A144="","",IFERROR(INDEX(Références!$J$2:$J$201,MATCH($A144,Références!$A$2:$A$201,0)),""))</f>
        <v>À lire</v>
      </c>
      <c r="I144" s="41" t="str">
        <f>IF($A144="","",IFERROR(IF(INDEX(Références!$AF$2:$AF$201,MATCH($A144,Références!$A$2:$A$201,0))="","",HYPERLINK(INDEX(Références!$AF$2:$AF$201,MATCH($A144,Références!$A$2:$A$201,0)),"Ouvrir")),""))</f>
        <v>Ouvrir</v>
      </c>
      <c r="J144" s="42" t="s">
        <v>1716</v>
      </c>
      <c r="K144" s="3" t="s">
        <v>3771</v>
      </c>
      <c r="L144" s="3" t="s">
        <v>3855</v>
      </c>
      <c r="M144" s="3" t="s">
        <v>3856</v>
      </c>
      <c r="N144" s="3" t="s">
        <v>1720</v>
      </c>
      <c r="O144" s="3" t="s">
        <v>1701</v>
      </c>
      <c r="P144" s="43" t="s">
        <v>3857</v>
      </c>
      <c r="Q144" s="3" t="s">
        <v>3858</v>
      </c>
      <c r="R144" s="3" t="s">
        <v>1701</v>
      </c>
      <c r="S144" s="3" t="s">
        <v>1701</v>
      </c>
      <c r="T144" s="3" t="s">
        <v>1701</v>
      </c>
      <c r="U144" s="3" t="s">
        <v>3859</v>
      </c>
      <c r="V144" s="3" t="s">
        <v>1701</v>
      </c>
      <c r="W144" s="3" t="s">
        <v>3854</v>
      </c>
      <c r="X144" s="3" t="s">
        <v>1701</v>
      </c>
    </row>
    <row r="145" spans="1:24" ht="42.75" customHeight="1" x14ac:dyDescent="0.25">
      <c r="A145" s="38" t="s">
        <v>3493</v>
      </c>
      <c r="B145" s="39" t="str">
        <f>IF($A145="","",IFERROR(INDEX(Références!$C$2:$C$201,MATCH($A145,Références!$A$2:$A$201,0)),""))</f>
        <v>Klüppel &amp; Heinrich (2000)</v>
      </c>
      <c r="C145" s="39" t="str">
        <f>IF($A145="","",IFERROR(INDEX(Références!$D$2:$D$201,MATCH($A145,Références!$A$2:$A$201,0)),""))</f>
        <v>Rubber friction on self-affine road tracks</v>
      </c>
      <c r="D145" s="40">
        <f>IF($A145="","",IFERROR(INDEX(Références!$G$2:$G$201,MATCH($A145,Références!$A$2:$A$201,0)),""))</f>
        <v>2</v>
      </c>
      <c r="E145" s="40" t="str">
        <f>IF($A145="","",IFERROR(INDEX(Références!$H$2:$H$201,MATCH($A145,Références!$A$2:$A$201,0)),""))</f>
        <v>A consulter</v>
      </c>
      <c r="F145" s="40">
        <f>IF($A145="","",IFERROR(INDEX(Références!$I$2:$I$201,MATCH($A145,Références!$A$2:$A$201,0)),""))</f>
        <v>6</v>
      </c>
      <c r="G145" s="40" t="str">
        <f>IF($A145="","",IFERROR(INDEX(Références!$F$2:$F$201,MATCH($A145,Références!$A$2:$A$201,0)),""))</f>
        <v>Non</v>
      </c>
      <c r="H145" s="40" t="str">
        <f>IF($A145="","",IFERROR(INDEX(Références!$J$2:$J$201,MATCH($A145,Références!$A$2:$A$201,0)),""))</f>
        <v>À lire</v>
      </c>
      <c r="I145" s="41" t="str">
        <f>IF($A145="","",IFERROR(IF(INDEX(Références!$AF$2:$AF$201,MATCH($A145,Références!$A$2:$A$201,0))="","",HYPERLINK(INDEX(Références!$AF$2:$AF$201,MATCH($A145,Références!$A$2:$A$201,0)),"Ouvrir")),""))</f>
        <v>Ouvrir</v>
      </c>
      <c r="J145" s="42" t="s">
        <v>1716</v>
      </c>
      <c r="K145" s="3" t="s">
        <v>3771</v>
      </c>
      <c r="L145" s="3" t="s">
        <v>3860</v>
      </c>
      <c r="M145" s="3" t="s">
        <v>3861</v>
      </c>
      <c r="N145" s="3" t="s">
        <v>1720</v>
      </c>
      <c r="O145" s="3" t="s">
        <v>1701</v>
      </c>
      <c r="P145" s="43" t="s">
        <v>3862</v>
      </c>
      <c r="Q145" s="3" t="s">
        <v>3863</v>
      </c>
      <c r="R145" s="3" t="s">
        <v>2681</v>
      </c>
      <c r="S145" s="3" t="s">
        <v>1856</v>
      </c>
      <c r="T145" s="3" t="s">
        <v>2109</v>
      </c>
      <c r="U145" s="3" t="s">
        <v>2317</v>
      </c>
      <c r="V145" s="3" t="s">
        <v>3864</v>
      </c>
      <c r="W145" s="3" t="s">
        <v>1815</v>
      </c>
      <c r="X145" s="3" t="s">
        <v>1701</v>
      </c>
    </row>
    <row r="146" spans="1:24" ht="42.75" customHeight="1" x14ac:dyDescent="0.25">
      <c r="A146" s="38" t="s">
        <v>3587</v>
      </c>
      <c r="B146" s="39" t="str">
        <f>IF($A146="","",IFERROR(INDEX(Références!$C$2:$C$201,MATCH($A146,Références!$A$2:$A$201,0)),""))</f>
        <v>Cesbron (2007)</v>
      </c>
      <c r="C146" s="39" t="str">
        <f>IF($A146="","",IFERROR(INDEX(Références!$D$2:$D$201,MATCH($A146,Références!$A$2:$A$201,0)),""))</f>
        <v>Influence de la texture de chaussée sur le bruit de contact pneumatique/chaussée</v>
      </c>
      <c r="D146" s="40">
        <f>IF($A146="","",IFERROR(INDEX(Références!$G$2:$G$201,MATCH($A146,Références!$A$2:$A$201,0)),""))</f>
        <v>2</v>
      </c>
      <c r="E146" s="40" t="str">
        <f>IF($A146="","",IFERROR(INDEX(Références!$H$2:$H$201,MATCH($A146,Références!$A$2:$A$201,0)),""))</f>
        <v>INCONTOURNABLE</v>
      </c>
      <c r="F146" s="40">
        <f>IF($A146="","",IFERROR(INDEX(Références!$I$2:$I$201,MATCH($A146,Références!$A$2:$A$201,0)),""))</f>
        <v>6</v>
      </c>
      <c r="G146" s="40" t="str">
        <f>IF($A146="","",IFERROR(INDEX(Références!$F$2:$F$201,MATCH($A146,Références!$A$2:$A$201,0)),""))</f>
        <v>Non</v>
      </c>
      <c r="H146" s="40" t="str">
        <f>IF($A146="","",IFERROR(INDEX(Références!$J$2:$J$201,MATCH($A146,Références!$A$2:$A$201,0)),""))</f>
        <v>À lire</v>
      </c>
      <c r="I146" s="41" t="str">
        <f>IF($A146="","",IFERROR(IF(INDEX(Références!$AF$2:$AF$201,MATCH($A146,Références!$A$2:$A$201,0))="","",HYPERLINK(INDEX(Références!$AF$2:$AF$201,MATCH($A146,Références!$A$2:$A$201,0)),"Ouvrir")),""))</f>
        <v>Ouvrir</v>
      </c>
      <c r="J146" s="42" t="s">
        <v>1716</v>
      </c>
      <c r="K146" s="3" t="s">
        <v>3771</v>
      </c>
      <c r="L146" s="3" t="s">
        <v>3865</v>
      </c>
      <c r="M146" s="3" t="s">
        <v>3866</v>
      </c>
      <c r="N146" s="3" t="s">
        <v>1720</v>
      </c>
      <c r="O146" s="3" t="s">
        <v>3867</v>
      </c>
      <c r="P146" s="43" t="s">
        <v>3868</v>
      </c>
      <c r="Q146" s="3" t="s">
        <v>3869</v>
      </c>
      <c r="R146" s="3" t="s">
        <v>1846</v>
      </c>
      <c r="S146" s="3" t="s">
        <v>3870</v>
      </c>
      <c r="T146" s="3" t="s">
        <v>1687</v>
      </c>
      <c r="U146" s="3" t="s">
        <v>2317</v>
      </c>
      <c r="V146" s="3" t="s">
        <v>3871</v>
      </c>
      <c r="W146" s="3" t="s">
        <v>3872</v>
      </c>
      <c r="X146" s="3" t="s">
        <v>3873</v>
      </c>
    </row>
    <row r="147" spans="1:24" ht="42.75" customHeight="1" x14ac:dyDescent="0.25">
      <c r="A147" s="38" t="s">
        <v>3597</v>
      </c>
      <c r="B147" s="39" t="str">
        <f>IF($A147="","",IFERROR(INDEX(Références!$C$2:$C$201,MATCH($A147,Références!$A$2:$A$201,0)),""))</f>
        <v>Sandberg &amp; Ejsmont (2002)</v>
      </c>
      <c r="C147" s="39" t="str">
        <f>IF($A147="","",IFERROR(INDEX(Références!$D$2:$D$201,MATCH($A147,Références!$A$2:$A$201,0)),""))</f>
        <v>Tyre/road noise reference book</v>
      </c>
      <c r="D147" s="40">
        <f>IF($A147="","",IFERROR(INDEX(Références!$G$2:$G$201,MATCH($A147,Références!$A$2:$A$201,0)),""))</f>
        <v>2</v>
      </c>
      <c r="E147" s="40" t="str">
        <f>IF($A147="","",IFERROR(INDEX(Références!$H$2:$H$201,MATCH($A147,Références!$A$2:$A$201,0)),""))</f>
        <v>A consulter</v>
      </c>
      <c r="F147" s="40">
        <f>IF($A147="","",IFERROR(INDEX(Références!$I$2:$I$201,MATCH($A147,Références!$A$2:$A$201,0)),""))</f>
        <v>6</v>
      </c>
      <c r="G147" s="40" t="str">
        <f>IF($A147="","",IFERROR(INDEX(Références!$F$2:$F$201,MATCH($A147,Références!$A$2:$A$201,0)),""))</f>
        <v>Non</v>
      </c>
      <c r="H147" s="40" t="str">
        <f>IF($A147="","",IFERROR(INDEX(Références!$J$2:$J$201,MATCH($A147,Références!$A$2:$A$201,0)),""))</f>
        <v>À lire</v>
      </c>
      <c r="I147" s="41" t="str">
        <f>IF($A147="","",IFERROR(IF(INDEX(Références!$AF$2:$AF$201,MATCH($A147,Références!$A$2:$A$201,0))="","",HYPERLINK(INDEX(Références!$AF$2:$AF$201,MATCH($A147,Références!$A$2:$A$201,0)),"Ouvrir")),""))</f>
        <v>Ouvrir</v>
      </c>
      <c r="J147" s="42" t="s">
        <v>1716</v>
      </c>
      <c r="K147" s="3" t="s">
        <v>3771</v>
      </c>
      <c r="L147" s="3" t="s">
        <v>3874</v>
      </c>
      <c r="M147" s="3" t="s">
        <v>3818</v>
      </c>
      <c r="N147" s="3" t="s">
        <v>1720</v>
      </c>
      <c r="O147" s="3" t="s">
        <v>3875</v>
      </c>
      <c r="P147" s="43" t="s">
        <v>3876</v>
      </c>
      <c r="Q147" s="3" t="s">
        <v>3877</v>
      </c>
      <c r="R147" s="3" t="s">
        <v>2681</v>
      </c>
      <c r="S147" s="3" t="s">
        <v>1701</v>
      </c>
      <c r="T147" s="3" t="s">
        <v>1701</v>
      </c>
      <c r="U147" s="3" t="s">
        <v>1742</v>
      </c>
      <c r="V147" s="3" t="s">
        <v>1701</v>
      </c>
      <c r="W147" s="3" t="s">
        <v>3878</v>
      </c>
      <c r="X147" s="3" t="s">
        <v>1701</v>
      </c>
    </row>
    <row r="148" spans="1:24" ht="42.75" customHeight="1" x14ac:dyDescent="0.25">
      <c r="A148" s="38" t="s">
        <v>3344</v>
      </c>
      <c r="B148" s="39" t="str">
        <f>IF($A148="","",IFERROR(INDEX(Références!$C$2:$C$201,MATCH($A148,Références!$A$2:$A$201,0)),""))</f>
        <v>Lee (1955)</v>
      </c>
      <c r="C148" s="39" t="str">
        <f>IF($A148="","",IFERROR(INDEX(Références!$D$2:$D$201,MATCH($A148,Références!$A$2:$A$201,0)),""))</f>
        <v>Stress analysis in visco-elastic bodies</v>
      </c>
      <c r="D148" s="40">
        <f>IF($A148="","",IFERROR(INDEX(Références!$G$2:$G$201,MATCH($A148,Références!$A$2:$A$201,0)),""))</f>
        <v>3</v>
      </c>
      <c r="E148" s="40" t="str">
        <f>IF($A148="","",IFERROR(INDEX(Références!$H$2:$H$201,MATCH($A148,Références!$A$2:$A$201,0)),""))</f>
        <v>Important</v>
      </c>
      <c r="F148" s="40">
        <f>IF($A148="","",IFERROR(INDEX(Références!$I$2:$I$201,MATCH($A148,Références!$A$2:$A$201,0)),""))</f>
        <v>2</v>
      </c>
      <c r="G148" s="40" t="str">
        <f>IF($A148="","",IFERROR(INDEX(Références!$F$2:$F$201,MATCH($A148,Références!$A$2:$A$201,0)),""))</f>
        <v>Non</v>
      </c>
      <c r="H148" s="40" t="str">
        <f>IF($A148="","",IFERROR(INDEX(Références!$J$2:$J$201,MATCH($A148,Références!$A$2:$A$201,0)),""))</f>
        <v>À lire</v>
      </c>
      <c r="I148" s="41" t="str">
        <f>IF($A148="","",IFERROR(IF(INDEX(Références!$AF$2:$AF$201,MATCH($A148,Références!$A$2:$A$201,0))="","",HYPERLINK(INDEX(Références!$AF$2:$AF$201,MATCH($A148,Références!$A$2:$A$201,0)),"Ouvrir")),""))</f>
        <v>Ouvrir</v>
      </c>
      <c r="J148" s="42" t="s">
        <v>1716</v>
      </c>
      <c r="K148" s="3" t="s">
        <v>3771</v>
      </c>
      <c r="L148" s="3" t="s">
        <v>3879</v>
      </c>
      <c r="M148" s="3" t="s">
        <v>3880</v>
      </c>
      <c r="N148" s="3" t="s">
        <v>3881</v>
      </c>
      <c r="O148" s="3" t="s">
        <v>3882</v>
      </c>
      <c r="P148" s="43" t="s">
        <v>3883</v>
      </c>
      <c r="Q148" s="3" t="s">
        <v>3884</v>
      </c>
      <c r="R148" s="3" t="s">
        <v>1701</v>
      </c>
      <c r="S148" s="3" t="s">
        <v>1701</v>
      </c>
      <c r="T148" s="3" t="s">
        <v>2109</v>
      </c>
      <c r="U148" s="3" t="s">
        <v>2317</v>
      </c>
      <c r="V148" s="3" t="s">
        <v>1701</v>
      </c>
      <c r="W148" s="3" t="s">
        <v>3885</v>
      </c>
      <c r="X148" s="3" t="s">
        <v>1825</v>
      </c>
    </row>
    <row r="149" spans="1:24" ht="42.75" customHeight="1" x14ac:dyDescent="0.25">
      <c r="A149" s="38" t="s">
        <v>3355</v>
      </c>
      <c r="B149" s="39" t="str">
        <f>IF($A149="","",IFERROR(INDEX(Références!$C$2:$C$201,MATCH($A149,Références!$A$2:$A$201,0)),""))</f>
        <v>Christensen (1982)</v>
      </c>
      <c r="C149" s="39" t="str">
        <f>IF($A149="","",IFERROR(INDEX(Références!$D$2:$D$201,MATCH($A149,Références!$A$2:$A$201,0)),""))</f>
        <v>Theory of viscoelasticity: an introduction (2nd edition)</v>
      </c>
      <c r="D149" s="40">
        <f>IF($A149="","",IFERROR(INDEX(Références!$G$2:$G$201,MATCH($A149,Références!$A$2:$A$201,0)),""))</f>
        <v>3</v>
      </c>
      <c r="E149" s="40" t="str">
        <f>IF($A149="","",IFERROR(INDEX(Références!$H$2:$H$201,MATCH($A149,Références!$A$2:$A$201,0)),""))</f>
        <v>Important</v>
      </c>
      <c r="F149" s="40">
        <f>IF($A149="","",IFERROR(INDEX(Références!$I$2:$I$201,MATCH($A149,Références!$A$2:$A$201,0)),""))</f>
        <v>2</v>
      </c>
      <c r="G149" s="40" t="str">
        <f>IF($A149="","",IFERROR(INDEX(Références!$F$2:$F$201,MATCH($A149,Références!$A$2:$A$201,0)),""))</f>
        <v>Non</v>
      </c>
      <c r="H149" s="40" t="str">
        <f>IF($A149="","",IFERROR(INDEX(Références!$J$2:$J$201,MATCH($A149,Références!$A$2:$A$201,0)),""))</f>
        <v>À lire</v>
      </c>
      <c r="I149" s="41" t="str">
        <f>IF($A149="","",IFERROR(IF(INDEX(Références!$AF$2:$AF$201,MATCH($A149,Références!$A$2:$A$201,0))="","",HYPERLINK(INDEX(Références!$AF$2:$AF$201,MATCH($A149,Références!$A$2:$A$201,0)),"Ouvrir")),""))</f>
        <v>Ouvrir</v>
      </c>
      <c r="J149" s="42" t="s">
        <v>1716</v>
      </c>
      <c r="K149" s="3" t="s">
        <v>3771</v>
      </c>
      <c r="L149" s="3" t="s">
        <v>3886</v>
      </c>
      <c r="M149" s="3" t="s">
        <v>3887</v>
      </c>
      <c r="N149" s="3" t="s">
        <v>1720</v>
      </c>
      <c r="O149" s="3" t="s">
        <v>3888</v>
      </c>
      <c r="P149" s="43" t="s">
        <v>3889</v>
      </c>
      <c r="Q149" s="3" t="s">
        <v>3890</v>
      </c>
      <c r="R149" s="3" t="s">
        <v>1701</v>
      </c>
      <c r="S149" s="3" t="s">
        <v>1701</v>
      </c>
      <c r="T149" s="3" t="s">
        <v>2109</v>
      </c>
      <c r="U149" s="3" t="s">
        <v>2898</v>
      </c>
      <c r="V149" s="3" t="s">
        <v>1701</v>
      </c>
      <c r="W149" s="3" t="s">
        <v>2901</v>
      </c>
      <c r="X149" s="3" t="s">
        <v>1701</v>
      </c>
    </row>
    <row r="150" spans="1:24" ht="42.75" customHeight="1" x14ac:dyDescent="0.25">
      <c r="A150" s="38" t="s">
        <v>3364</v>
      </c>
      <c r="B150" s="39" t="str">
        <f>IF($A150="","",IFERROR(INDEX(Références!$C$2:$C$201,MATCH($A150,Références!$A$2:$A$201,0)),""))</f>
        <v>Salençon (2009)</v>
      </c>
      <c r="C150" s="39" t="str">
        <f>IF($A150="","",IFERROR(INDEX(Références!$D$2:$D$201,MATCH($A150,Références!$A$2:$A$201,0)),""))</f>
        <v>Viscoélasticité pour le calcul des structures</v>
      </c>
      <c r="D150" s="40">
        <f>IF($A150="","",IFERROR(INDEX(Références!$G$2:$G$201,MATCH($A150,Références!$A$2:$A$201,0)),""))</f>
        <v>3</v>
      </c>
      <c r="E150" s="40" t="str">
        <f>IF($A150="","",IFERROR(INDEX(Références!$H$2:$H$201,MATCH($A150,Références!$A$2:$A$201,0)),""))</f>
        <v>Important</v>
      </c>
      <c r="F150" s="40">
        <f>IF($A150="","",IFERROR(INDEX(Références!$I$2:$I$201,MATCH($A150,Références!$A$2:$A$201,0)),""))</f>
        <v>2</v>
      </c>
      <c r="G150" s="40" t="str">
        <f>IF($A150="","",IFERROR(INDEX(Références!$F$2:$F$201,MATCH($A150,Références!$A$2:$A$201,0)),""))</f>
        <v>Non</v>
      </c>
      <c r="H150" s="40" t="str">
        <f>IF($A150="","",IFERROR(INDEX(Références!$J$2:$J$201,MATCH($A150,Références!$A$2:$A$201,0)),""))</f>
        <v>À lire</v>
      </c>
      <c r="I150" s="41" t="str">
        <f>IF($A150="","",IFERROR(IF(INDEX(Références!$AF$2:$AF$201,MATCH($A150,Références!$A$2:$A$201,0))="","",HYPERLINK(INDEX(Références!$AF$2:$AF$201,MATCH($A150,Références!$A$2:$A$201,0)),"Ouvrir")),""))</f>
        <v>Ouvrir</v>
      </c>
      <c r="J150" s="42" t="s">
        <v>1716</v>
      </c>
      <c r="K150" s="3" t="s">
        <v>3771</v>
      </c>
      <c r="L150" s="3" t="s">
        <v>3891</v>
      </c>
      <c r="M150" s="3" t="s">
        <v>3892</v>
      </c>
      <c r="N150" s="3" t="s">
        <v>1720</v>
      </c>
      <c r="O150" s="3" t="s">
        <v>3893</v>
      </c>
      <c r="P150" s="43" t="s">
        <v>3894</v>
      </c>
      <c r="Q150" s="3" t="s">
        <v>3895</v>
      </c>
      <c r="R150" s="3" t="s">
        <v>1701</v>
      </c>
      <c r="S150" s="3" t="s">
        <v>1701</v>
      </c>
      <c r="T150" s="3" t="s">
        <v>2109</v>
      </c>
      <c r="U150" s="3" t="s">
        <v>2898</v>
      </c>
      <c r="V150" s="3" t="s">
        <v>1701</v>
      </c>
      <c r="W150" s="3" t="s">
        <v>2901</v>
      </c>
      <c r="X150" s="3" t="s">
        <v>1701</v>
      </c>
    </row>
    <row r="151" spans="1:24" ht="42.75" customHeight="1" x14ac:dyDescent="0.25">
      <c r="A151" s="38" t="s">
        <v>3190</v>
      </c>
      <c r="B151" s="39" t="str">
        <f>IF($A151="","",IFERROR(INDEX(Références!$C$2:$C$201,MATCH($A151,Références!$A$2:$A$201,0)),""))</f>
        <v>Burmister (1943)</v>
      </c>
      <c r="C151" s="39" t="str">
        <f>IF($A151="","",IFERROR(INDEX(Références!$D$2:$D$201,MATCH($A151,Références!$A$2:$A$201,0)),""))</f>
        <v>The theory of stresses and displacements in layered systems and applications to the design of airport runways</v>
      </c>
      <c r="D151" s="40">
        <f>IF($A151="","",IFERROR(INDEX(Références!$G$2:$G$201,MATCH($A151,Références!$A$2:$A$201,0)),""))</f>
        <v>5</v>
      </c>
      <c r="E151" s="40" t="str">
        <f>IF($A151="","",IFERROR(INDEX(Références!$H$2:$H$201,MATCH($A151,Références!$A$2:$A$201,0)),""))</f>
        <v>Important</v>
      </c>
      <c r="F151" s="40">
        <f>IF($A151="","",IFERROR(INDEX(Références!$I$2:$I$201,MATCH($A151,Références!$A$2:$A$201,0)),""))</f>
        <v>4</v>
      </c>
      <c r="G151" s="40" t="str">
        <f>IF($A151="","",IFERROR(INDEX(Références!$F$2:$F$201,MATCH($A151,Références!$A$2:$A$201,0)),""))</f>
        <v>Non</v>
      </c>
      <c r="H151" s="40" t="str">
        <f>IF($A151="","",IFERROR(INDEX(Références!$J$2:$J$201,MATCH($A151,Références!$A$2:$A$201,0)),""))</f>
        <v>À lire</v>
      </c>
      <c r="I151" s="41" t="str">
        <f>IF($A151="","",IFERROR(IF(INDEX(Références!$AF$2:$AF$201,MATCH($A151,Références!$A$2:$A$201,0))="","",HYPERLINK(INDEX(Références!$AF$2:$AF$201,MATCH($A151,Références!$A$2:$A$201,0)),"Ouvrir")),""))</f>
        <v>Ouvrir</v>
      </c>
      <c r="J151" s="42" t="s">
        <v>1716</v>
      </c>
      <c r="K151" s="3" t="s">
        <v>3771</v>
      </c>
      <c r="L151" s="3" t="s">
        <v>3896</v>
      </c>
      <c r="M151" s="3" t="s">
        <v>3897</v>
      </c>
      <c r="N151" s="3" t="s">
        <v>1720</v>
      </c>
      <c r="O151" s="3" t="s">
        <v>3898</v>
      </c>
      <c r="P151" s="43" t="s">
        <v>3899</v>
      </c>
      <c r="Q151" s="3" t="s">
        <v>3900</v>
      </c>
      <c r="R151" s="3" t="s">
        <v>1793</v>
      </c>
      <c r="S151" s="3" t="s">
        <v>2244</v>
      </c>
      <c r="T151" s="3" t="s">
        <v>1687</v>
      </c>
      <c r="U151" s="3" t="s">
        <v>2317</v>
      </c>
      <c r="V151" s="3" t="s">
        <v>1715</v>
      </c>
      <c r="W151" s="3" t="s">
        <v>2075</v>
      </c>
      <c r="X151" s="3" t="s">
        <v>1701</v>
      </c>
    </row>
    <row r="152" spans="1:24" ht="42.75" customHeight="1" x14ac:dyDescent="0.25">
      <c r="A152" s="38" t="s">
        <v>3241</v>
      </c>
      <c r="B152" s="39" t="str">
        <f>IF($A152="","",IFERROR(INDEX(Références!$C$2:$C$201,MATCH($A152,Références!$A$2:$A$201,0)),""))</f>
        <v>Timoshenko &amp; Goodier (1970)</v>
      </c>
      <c r="C152" s="39" t="str">
        <f>IF($A152="","",IFERROR(INDEX(Références!$D$2:$D$201,MATCH($A152,Références!$A$2:$A$201,0)),""))</f>
        <v>Theory of elasticity (3rd edition)</v>
      </c>
      <c r="D152" s="40">
        <f>IF($A152="","",IFERROR(INDEX(Références!$G$2:$G$201,MATCH($A152,Références!$A$2:$A$201,0)),""))</f>
        <v>5</v>
      </c>
      <c r="E152" s="40" t="str">
        <f>IF($A152="","",IFERROR(INDEX(Références!$H$2:$H$201,MATCH($A152,Références!$A$2:$A$201,0)),""))</f>
        <v>Important</v>
      </c>
      <c r="F152" s="40">
        <f>IF($A152="","",IFERROR(INDEX(Références!$I$2:$I$201,MATCH($A152,Références!$A$2:$A$201,0)),""))</f>
        <v>4</v>
      </c>
      <c r="G152" s="40" t="str">
        <f>IF($A152="","",IFERROR(INDEX(Références!$F$2:$F$201,MATCH($A152,Références!$A$2:$A$201,0)),""))</f>
        <v>Non</v>
      </c>
      <c r="H152" s="40" t="str">
        <f>IF($A152="","",IFERROR(INDEX(Références!$J$2:$J$201,MATCH($A152,Références!$A$2:$A$201,0)),""))</f>
        <v>À lire</v>
      </c>
      <c r="I152" s="41" t="str">
        <f>IF($A152="","",IFERROR(IF(INDEX(Références!$AF$2:$AF$201,MATCH($A152,Références!$A$2:$A$201,0))="","",HYPERLINK(INDEX(Références!$AF$2:$AF$201,MATCH($A152,Références!$A$2:$A$201,0)),"Ouvrir")),""))</f>
        <v>Ouvrir</v>
      </c>
      <c r="J152" s="42" t="s">
        <v>1716</v>
      </c>
      <c r="K152" s="3" t="s">
        <v>3771</v>
      </c>
      <c r="L152" s="3" t="s">
        <v>3901</v>
      </c>
      <c r="M152" s="3" t="s">
        <v>3818</v>
      </c>
      <c r="N152" s="3" t="s">
        <v>1720</v>
      </c>
      <c r="O152" s="3" t="s">
        <v>1701</v>
      </c>
      <c r="P152" s="43" t="s">
        <v>3902</v>
      </c>
      <c r="Q152" s="3" t="s">
        <v>3903</v>
      </c>
      <c r="R152" s="3" t="s">
        <v>1701</v>
      </c>
      <c r="S152" s="3" t="s">
        <v>1701</v>
      </c>
      <c r="T152" s="3" t="s">
        <v>1687</v>
      </c>
      <c r="U152" s="3" t="s">
        <v>2898</v>
      </c>
      <c r="V152" s="3" t="s">
        <v>1715</v>
      </c>
      <c r="W152" s="3" t="s">
        <v>1666</v>
      </c>
      <c r="X152" s="3" t="s">
        <v>1701</v>
      </c>
    </row>
    <row r="153" spans="1:24" ht="42.75" customHeight="1" x14ac:dyDescent="0.25">
      <c r="A153" s="38" t="s">
        <v>3251</v>
      </c>
      <c r="B153" s="39" t="str">
        <f>IF($A153="","",IFERROR(INDEX(Références!$C$2:$C$201,MATCH($A153,Références!$A$2:$A$201,0)),""))</f>
        <v>Huang (2004)</v>
      </c>
      <c r="C153" s="39" t="str">
        <f>IF($A153="","",IFERROR(INDEX(Références!$D$2:$D$201,MATCH($A153,Références!$A$2:$A$201,0)),""))</f>
        <v>Pavement analysis and design (2nd edition)</v>
      </c>
      <c r="D153" s="40">
        <f>IF($A153="","",IFERROR(INDEX(Références!$G$2:$G$201,MATCH($A153,Références!$A$2:$A$201,0)),""))</f>
        <v>5</v>
      </c>
      <c r="E153" s="40" t="str">
        <f>IF($A153="","",IFERROR(INDEX(Références!$H$2:$H$201,MATCH($A153,Références!$A$2:$A$201,0)),""))</f>
        <v>A consulter</v>
      </c>
      <c r="F153" s="40">
        <f>IF($A153="","",IFERROR(INDEX(Références!$I$2:$I$201,MATCH($A153,Références!$A$2:$A$201,0)),""))</f>
        <v>4</v>
      </c>
      <c r="G153" s="40" t="str">
        <f>IF($A153="","",IFERROR(INDEX(Références!$F$2:$F$201,MATCH($A153,Références!$A$2:$A$201,0)),""))</f>
        <v>Non</v>
      </c>
      <c r="H153" s="40" t="str">
        <f>IF($A153="","",IFERROR(INDEX(Références!$J$2:$J$201,MATCH($A153,Références!$A$2:$A$201,0)),""))</f>
        <v>À lire</v>
      </c>
      <c r="I153" s="41" t="str">
        <f>IF($A153="","",IFERROR(IF(INDEX(Références!$AF$2:$AF$201,MATCH($A153,Références!$A$2:$A$201,0))="","",HYPERLINK(INDEX(Références!$AF$2:$AF$201,MATCH($A153,Références!$A$2:$A$201,0)),"Ouvrir")),""))</f>
        <v>Ouvrir</v>
      </c>
      <c r="J153" s="42" t="s">
        <v>1716</v>
      </c>
      <c r="K153" s="3" t="s">
        <v>3771</v>
      </c>
      <c r="L153" s="3" t="s">
        <v>3904</v>
      </c>
      <c r="M153" s="3" t="s">
        <v>3905</v>
      </c>
      <c r="N153" s="3" t="s">
        <v>1720</v>
      </c>
      <c r="O153" s="3" t="s">
        <v>3906</v>
      </c>
      <c r="P153" s="43" t="s">
        <v>3907</v>
      </c>
      <c r="Q153" s="3" t="s">
        <v>3908</v>
      </c>
      <c r="R153" s="3" t="s">
        <v>1685</v>
      </c>
      <c r="S153" s="3" t="s">
        <v>2244</v>
      </c>
      <c r="T153" s="3" t="s">
        <v>2323</v>
      </c>
      <c r="U153" s="3" t="s">
        <v>2566</v>
      </c>
      <c r="V153" s="3" t="s">
        <v>1715</v>
      </c>
      <c r="W153" s="3" t="s">
        <v>2075</v>
      </c>
      <c r="X153" s="3" t="s">
        <v>1701</v>
      </c>
    </row>
    <row r="154" spans="1:24" ht="42.75" customHeight="1" x14ac:dyDescent="0.25">
      <c r="A154" s="38" t="s">
        <v>3294</v>
      </c>
      <c r="B154" s="39" t="str">
        <f>IF($A154="","",IFERROR(INDEX(Références!$C$2:$C$201,MATCH($A154,Références!$A$2:$A$201,0)),""))</f>
        <v>Chabot et al. (2006)</v>
      </c>
      <c r="C154" s="39" t="str">
        <f>IF($A154="","",IFERROR(INDEX(Références!$D$2:$D$201,MATCH($A154,Références!$A$2:$A$201,0)),""))</f>
        <v>Visco-elastic modelling for asphalt pavements – software ViscoRoute</v>
      </c>
      <c r="D154" s="40">
        <f>IF($A154="","",IFERROR(INDEX(Références!$G$2:$G$201,MATCH($A154,Références!$A$2:$A$201,0)),""))</f>
        <v>5</v>
      </c>
      <c r="E154" s="40" t="str">
        <f>IF($A154="","",IFERROR(INDEX(Références!$H$2:$H$201,MATCH($A154,Références!$A$2:$A$201,0)),""))</f>
        <v>A consulter</v>
      </c>
      <c r="F154" s="40">
        <f>IF($A154="","",IFERROR(INDEX(Références!$I$2:$I$201,MATCH($A154,Références!$A$2:$A$201,0)),""))</f>
        <v>4</v>
      </c>
      <c r="G154" s="40" t="str">
        <f>IF($A154="","",IFERROR(INDEX(Références!$F$2:$F$201,MATCH($A154,Références!$A$2:$A$201,0)),""))</f>
        <v>Non</v>
      </c>
      <c r="H154" s="40" t="str">
        <f>IF($A154="","",IFERROR(INDEX(Références!$J$2:$J$201,MATCH($A154,Références!$A$2:$A$201,0)),""))</f>
        <v>À lire</v>
      </c>
      <c r="I154" s="41" t="str">
        <f>IF($A154="","",IFERROR(IF(INDEX(Références!$AF$2:$AF$201,MATCH($A154,Références!$A$2:$A$201,0))="","",HYPERLINK(INDEX(Références!$AF$2:$AF$201,MATCH($A154,Références!$A$2:$A$201,0)),"Ouvrir")),""))</f>
        <v>Ouvrir</v>
      </c>
      <c r="J154" s="42" t="s">
        <v>1716</v>
      </c>
      <c r="K154" s="3" t="s">
        <v>3771</v>
      </c>
      <c r="L154" s="3" t="s">
        <v>3909</v>
      </c>
      <c r="M154" s="3" t="s">
        <v>3910</v>
      </c>
      <c r="N154" s="3" t="s">
        <v>1720</v>
      </c>
      <c r="O154" s="3" t="s">
        <v>3911</v>
      </c>
      <c r="P154" s="43" t="s">
        <v>3912</v>
      </c>
      <c r="Q154" s="3" t="s">
        <v>3913</v>
      </c>
      <c r="R154" s="3" t="s">
        <v>1685</v>
      </c>
      <c r="S154" s="3" t="s">
        <v>2244</v>
      </c>
      <c r="T154" s="3" t="s">
        <v>2004</v>
      </c>
      <c r="U154" s="3" t="s">
        <v>2317</v>
      </c>
      <c r="V154" s="3" t="s">
        <v>1703</v>
      </c>
      <c r="W154" s="3" t="s">
        <v>2075</v>
      </c>
      <c r="X154" s="3" t="s">
        <v>3914</v>
      </c>
    </row>
    <row r="155" spans="1:24" ht="42.75" customHeight="1" x14ac:dyDescent="0.25">
      <c r="A155" s="38" t="s">
        <v>3305</v>
      </c>
      <c r="B155" s="39" t="str">
        <f>IF($A155="","",IFERROR(INDEX(Références!$C$2:$C$201,MATCH($A155,Références!$A$2:$A$201,0)),""))</f>
        <v>Zhao et al. (2014)</v>
      </c>
      <c r="C155" s="39" t="str">
        <f>IF($A155="","",IFERROR(INDEX(Références!$D$2:$D$201,MATCH($A155,Références!$A$2:$A$201,0)),""))</f>
        <v>Viscoelastic response solutions of multilayered asphalt pavements</v>
      </c>
      <c r="D155" s="40">
        <f>IF($A155="","",IFERROR(INDEX(Références!$G$2:$G$201,MATCH($A155,Références!$A$2:$A$201,0)),""))</f>
        <v>5</v>
      </c>
      <c r="E155" s="40" t="str">
        <f>IF($A155="","",IFERROR(INDEX(Références!$H$2:$H$201,MATCH($A155,Références!$A$2:$A$201,0)),""))</f>
        <v>A consulter</v>
      </c>
      <c r="F155" s="40">
        <f>IF($A155="","",IFERROR(INDEX(Références!$I$2:$I$201,MATCH($A155,Références!$A$2:$A$201,0)),""))</f>
        <v>4</v>
      </c>
      <c r="G155" s="40" t="str">
        <f>IF($A155="","",IFERROR(INDEX(Références!$F$2:$F$201,MATCH($A155,Références!$A$2:$A$201,0)),""))</f>
        <v>Non</v>
      </c>
      <c r="H155" s="40" t="str">
        <f>IF($A155="","",IFERROR(INDEX(Références!$J$2:$J$201,MATCH($A155,Références!$A$2:$A$201,0)),""))</f>
        <v>À lire</v>
      </c>
      <c r="I155" s="41" t="str">
        <f>IF($A155="","",IFERROR(IF(INDEX(Références!$AF$2:$AF$201,MATCH($A155,Références!$A$2:$A$201,0))="","",HYPERLINK(INDEX(Références!$AF$2:$AF$201,MATCH($A155,Références!$A$2:$A$201,0)),"Ouvrir")),""))</f>
        <v>Ouvrir</v>
      </c>
      <c r="J155" s="42" t="s">
        <v>1716</v>
      </c>
      <c r="K155" s="3" t="s">
        <v>3771</v>
      </c>
      <c r="L155" s="3" t="s">
        <v>3915</v>
      </c>
      <c r="M155" s="3" t="s">
        <v>3916</v>
      </c>
      <c r="N155" s="3" t="s">
        <v>1720</v>
      </c>
      <c r="O155" s="3" t="s">
        <v>3917</v>
      </c>
      <c r="P155" s="43" t="s">
        <v>3918</v>
      </c>
      <c r="Q155" s="3" t="s">
        <v>3919</v>
      </c>
      <c r="R155" s="3" t="s">
        <v>1701</v>
      </c>
      <c r="S155" s="3" t="s">
        <v>2244</v>
      </c>
      <c r="T155" s="3" t="s">
        <v>2109</v>
      </c>
      <c r="U155" s="3" t="s">
        <v>2317</v>
      </c>
      <c r="V155" s="3" t="s">
        <v>3920</v>
      </c>
      <c r="W155" s="3" t="s">
        <v>2075</v>
      </c>
      <c r="X155" s="3" t="s">
        <v>1701</v>
      </c>
    </row>
    <row r="156" spans="1:24" ht="42.75" customHeight="1" x14ac:dyDescent="0.25">
      <c r="A156" s="38" t="s">
        <v>3315</v>
      </c>
      <c r="B156" s="39" t="str">
        <f>IF($A156="","",IFERROR(INDEX(Références!$C$2:$C$201,MATCH($A156,Références!$A$2:$A$201,0)),""))</f>
        <v>Hughes (2000)</v>
      </c>
      <c r="C156" s="39" t="str">
        <f>IF($A156="","",IFERROR(INDEX(Références!$D$2:$D$201,MATCH($A156,Références!$A$2:$A$201,0)),""))</f>
        <v>The finite element method: linear static and dynamic finite element analysis</v>
      </c>
      <c r="D156" s="40">
        <f>IF($A156="","",IFERROR(INDEX(Références!$G$2:$G$201,MATCH($A156,Références!$A$2:$A$201,0)),""))</f>
        <v>5</v>
      </c>
      <c r="E156" s="40" t="str">
        <f>IF($A156="","",IFERROR(INDEX(Références!$H$2:$H$201,MATCH($A156,Références!$A$2:$A$201,0)),""))</f>
        <v>Important</v>
      </c>
      <c r="F156" s="40">
        <f>IF($A156="","",IFERROR(INDEX(Références!$I$2:$I$201,MATCH($A156,Références!$A$2:$A$201,0)),""))</f>
        <v>4</v>
      </c>
      <c r="G156" s="40" t="str">
        <f>IF($A156="","",IFERROR(INDEX(Références!$F$2:$F$201,MATCH($A156,Références!$A$2:$A$201,0)),""))</f>
        <v>Non</v>
      </c>
      <c r="H156" s="40" t="str">
        <f>IF($A156="","",IFERROR(INDEX(Références!$J$2:$J$201,MATCH($A156,Références!$A$2:$A$201,0)),""))</f>
        <v>À lire</v>
      </c>
      <c r="I156" s="41" t="str">
        <f>IF($A156="","",IFERROR(IF(INDEX(Références!$AF$2:$AF$201,MATCH($A156,Références!$A$2:$A$201,0))="","",HYPERLINK(INDEX(Références!$AF$2:$AF$201,MATCH($A156,Références!$A$2:$A$201,0)),"Ouvrir")),""))</f>
        <v>Ouvrir</v>
      </c>
      <c r="J156" s="42" t="s">
        <v>1716</v>
      </c>
      <c r="K156" s="3" t="s">
        <v>3771</v>
      </c>
      <c r="L156" s="3" t="s">
        <v>3921</v>
      </c>
      <c r="M156" s="3" t="s">
        <v>3818</v>
      </c>
      <c r="N156" s="3" t="s">
        <v>1720</v>
      </c>
      <c r="O156" s="3" t="s">
        <v>1701</v>
      </c>
      <c r="P156" s="43" t="s">
        <v>3922</v>
      </c>
      <c r="Q156" s="3" t="s">
        <v>3923</v>
      </c>
      <c r="R156" s="3" t="s">
        <v>1701</v>
      </c>
      <c r="S156" s="3" t="s">
        <v>1701</v>
      </c>
      <c r="T156" s="3" t="s">
        <v>1687</v>
      </c>
      <c r="U156" s="3" t="s">
        <v>2198</v>
      </c>
      <c r="V156" s="3" t="s">
        <v>1715</v>
      </c>
      <c r="W156" s="3" t="s">
        <v>1666</v>
      </c>
      <c r="X156" s="3" t="s">
        <v>1701</v>
      </c>
    </row>
    <row r="157" spans="1:24" ht="42.75" customHeight="1" x14ac:dyDescent="0.25">
      <c r="A157" s="38" t="s">
        <v>3175</v>
      </c>
      <c r="B157" s="39" t="str">
        <f>IF($A157="","",IFERROR(INDEX(Références!$C$2:$C$201,MATCH($A157,Références!$A$2:$A$201,0)),""))</f>
        <v>Kausel &amp; Roësset (1981)</v>
      </c>
      <c r="C157" s="39" t="str">
        <f>IF($A157="","",IFERROR(INDEX(Références!$D$2:$D$201,MATCH($A157,Références!$A$2:$A$201,0)),""))</f>
        <v>Stiffness matrices for layered soils</v>
      </c>
      <c r="D157" s="40">
        <f>IF($A157="","",IFERROR(INDEX(Références!$G$2:$G$201,MATCH($A157,Références!$A$2:$A$201,0)),""))</f>
        <v>5</v>
      </c>
      <c r="E157" s="40" t="str">
        <f>IF($A157="","",IFERROR(INDEX(Références!$H$2:$H$201,MATCH($A157,Références!$A$2:$A$201,0)),""))</f>
        <v>INCONTOURNABLE</v>
      </c>
      <c r="F157" s="40">
        <f>IF($A157="","",IFERROR(INDEX(Références!$I$2:$I$201,MATCH($A157,Références!$A$2:$A$201,0)),""))</f>
        <v>5</v>
      </c>
      <c r="G157" s="40" t="str">
        <f>IF($A157="","",IFERROR(INDEX(Références!$F$2:$F$201,MATCH($A157,Références!$A$2:$A$201,0)),""))</f>
        <v>Non</v>
      </c>
      <c r="H157" s="40" t="str">
        <f>IF($A157="","",IFERROR(INDEX(Références!$J$2:$J$201,MATCH($A157,Références!$A$2:$A$201,0)),""))</f>
        <v>À lire</v>
      </c>
      <c r="I157" s="41" t="str">
        <f>IF($A157="","",IFERROR(IF(INDEX(Références!$AF$2:$AF$201,MATCH($A157,Références!$A$2:$A$201,0))="","",HYPERLINK(INDEX(Références!$AF$2:$AF$201,MATCH($A157,Références!$A$2:$A$201,0)),"Ouvrir")),""))</f>
        <v>Ouvrir</v>
      </c>
      <c r="J157" s="42" t="s">
        <v>1716</v>
      </c>
      <c r="K157" s="3" t="s">
        <v>3771</v>
      </c>
      <c r="L157" s="3" t="s">
        <v>3924</v>
      </c>
      <c r="M157" s="3" t="s">
        <v>3925</v>
      </c>
      <c r="N157" s="3" t="s">
        <v>3926</v>
      </c>
      <c r="O157" s="3" t="s">
        <v>3927</v>
      </c>
      <c r="P157" s="43" t="s">
        <v>3928</v>
      </c>
      <c r="Q157" s="3" t="s">
        <v>3929</v>
      </c>
      <c r="R157" s="3" t="s">
        <v>1701</v>
      </c>
      <c r="S157" s="3" t="s">
        <v>1701</v>
      </c>
      <c r="T157" s="3" t="s">
        <v>1687</v>
      </c>
      <c r="U157" s="3" t="s">
        <v>3930</v>
      </c>
      <c r="V157" s="3" t="s">
        <v>3931</v>
      </c>
      <c r="W157" s="3" t="s">
        <v>1666</v>
      </c>
      <c r="X157" s="3" t="s">
        <v>1825</v>
      </c>
    </row>
    <row r="158" spans="1:24" ht="42.75" customHeight="1" x14ac:dyDescent="0.25">
      <c r="A158" s="38" t="s">
        <v>3198</v>
      </c>
      <c r="B158" s="39" t="str">
        <f>IF($A158="","",IFERROR(INDEX(Références!$C$2:$C$201,MATCH($A158,Références!$A$2:$A$201,0)),""))</f>
        <v>Thomson (1950)</v>
      </c>
      <c r="C158" s="39" t="str">
        <f>IF($A158="","",IFERROR(INDEX(Références!$D$2:$D$201,MATCH($A158,Références!$A$2:$A$201,0)),""))</f>
        <v>Transmission of elastic waves through a stratified solid medium</v>
      </c>
      <c r="D158" s="40">
        <f>IF($A158="","",IFERROR(INDEX(Références!$G$2:$G$201,MATCH($A158,Références!$A$2:$A$201,0)),""))</f>
        <v>5</v>
      </c>
      <c r="E158" s="40" t="str">
        <f>IF($A158="","",IFERROR(INDEX(Références!$H$2:$H$201,MATCH($A158,Références!$A$2:$A$201,0)),""))</f>
        <v>A consulter</v>
      </c>
      <c r="F158" s="40">
        <f>IF($A158="","",IFERROR(INDEX(Références!$I$2:$I$201,MATCH($A158,Références!$A$2:$A$201,0)),""))</f>
        <v>5</v>
      </c>
      <c r="G158" s="40" t="str">
        <f>IF($A158="","",IFERROR(INDEX(Références!$F$2:$F$201,MATCH($A158,Références!$A$2:$A$201,0)),""))</f>
        <v>Non</v>
      </c>
      <c r="H158" s="40" t="str">
        <f>IF($A158="","",IFERROR(INDEX(Références!$J$2:$J$201,MATCH($A158,Références!$A$2:$A$201,0)),""))</f>
        <v>À lire</v>
      </c>
      <c r="I158" s="41" t="str">
        <f>IF($A158="","",IFERROR(IF(INDEX(Références!$AF$2:$AF$201,MATCH($A158,Références!$A$2:$A$201,0))="","",HYPERLINK(INDEX(Références!$AF$2:$AF$201,MATCH($A158,Références!$A$2:$A$201,0)),"Ouvrir")),""))</f>
        <v>Ouvrir</v>
      </c>
      <c r="J158" s="42" t="s">
        <v>1716</v>
      </c>
      <c r="K158" s="3" t="s">
        <v>3771</v>
      </c>
      <c r="L158" s="3" t="s">
        <v>3932</v>
      </c>
      <c r="M158" s="3" t="s">
        <v>3933</v>
      </c>
      <c r="N158" s="3" t="s">
        <v>1720</v>
      </c>
      <c r="O158" s="3" t="s">
        <v>3934</v>
      </c>
      <c r="P158" s="43" t="s">
        <v>3935</v>
      </c>
      <c r="Q158" s="3" t="s">
        <v>3936</v>
      </c>
      <c r="R158" s="3" t="s">
        <v>1701</v>
      </c>
      <c r="S158" s="3" t="s">
        <v>1701</v>
      </c>
      <c r="T158" s="3" t="s">
        <v>1687</v>
      </c>
      <c r="U158" s="3" t="s">
        <v>2317</v>
      </c>
      <c r="V158" s="3" t="s">
        <v>3931</v>
      </c>
      <c r="W158" s="3" t="s">
        <v>1666</v>
      </c>
      <c r="X158" s="3" t="s">
        <v>1701</v>
      </c>
    </row>
    <row r="159" spans="1:24" ht="42.75" customHeight="1" x14ac:dyDescent="0.25">
      <c r="A159" s="38" t="s">
        <v>3210</v>
      </c>
      <c r="B159" s="39" t="str">
        <f>IF($A159="","",IFERROR(INDEX(Références!$C$2:$C$201,MATCH($A159,Références!$A$2:$A$201,0)),""))</f>
        <v>Haskell (1953)</v>
      </c>
      <c r="C159" s="39" t="str">
        <f>IF($A159="","",IFERROR(INDEX(Références!$D$2:$D$201,MATCH($A159,Références!$A$2:$A$201,0)),""))</f>
        <v>The dispersion of surface waves on multilayered media</v>
      </c>
      <c r="D159" s="40">
        <f>IF($A159="","",IFERROR(INDEX(Références!$G$2:$G$201,MATCH($A159,Références!$A$2:$A$201,0)),""))</f>
        <v>5</v>
      </c>
      <c r="E159" s="40" t="str">
        <f>IF($A159="","",IFERROR(INDEX(Références!$H$2:$H$201,MATCH($A159,Références!$A$2:$A$201,0)),""))</f>
        <v>A consulter</v>
      </c>
      <c r="F159" s="40">
        <f>IF($A159="","",IFERROR(INDEX(Références!$I$2:$I$201,MATCH($A159,Références!$A$2:$A$201,0)),""))</f>
        <v>5</v>
      </c>
      <c r="G159" s="40" t="str">
        <f>IF($A159="","",IFERROR(INDEX(Références!$F$2:$F$201,MATCH($A159,Références!$A$2:$A$201,0)),""))</f>
        <v>Non</v>
      </c>
      <c r="H159" s="40" t="str">
        <f>IF($A159="","",IFERROR(INDEX(Références!$J$2:$J$201,MATCH($A159,Références!$A$2:$A$201,0)),""))</f>
        <v>À lire</v>
      </c>
      <c r="I159" s="41" t="str">
        <f>IF($A159="","",IFERROR(IF(INDEX(Références!$AF$2:$AF$201,MATCH($A159,Références!$A$2:$A$201,0))="","",HYPERLINK(INDEX(Références!$AF$2:$AF$201,MATCH($A159,Références!$A$2:$A$201,0)),"Ouvrir")),""))</f>
        <v>Ouvrir</v>
      </c>
      <c r="J159" s="42" t="s">
        <v>1716</v>
      </c>
      <c r="K159" s="3" t="s">
        <v>3771</v>
      </c>
      <c r="L159" s="3" t="s">
        <v>3937</v>
      </c>
      <c r="M159" s="3" t="s">
        <v>3938</v>
      </c>
      <c r="N159" s="3" t="s">
        <v>1720</v>
      </c>
      <c r="O159" s="3" t="s">
        <v>3939</v>
      </c>
      <c r="P159" s="43" t="s">
        <v>3940</v>
      </c>
      <c r="Q159" s="3" t="s">
        <v>1701</v>
      </c>
      <c r="R159" s="3" t="s">
        <v>1701</v>
      </c>
      <c r="S159" s="3" t="s">
        <v>1701</v>
      </c>
      <c r="T159" s="3" t="s">
        <v>1687</v>
      </c>
      <c r="U159" s="3" t="s">
        <v>2317</v>
      </c>
      <c r="V159" s="3" t="s">
        <v>3931</v>
      </c>
      <c r="W159" s="3" t="s">
        <v>1666</v>
      </c>
      <c r="X159" s="3" t="s">
        <v>1701</v>
      </c>
    </row>
    <row r="160" spans="1:24" ht="42.75" customHeight="1" x14ac:dyDescent="0.25">
      <c r="A160" s="38" t="s">
        <v>3222</v>
      </c>
      <c r="B160" s="39" t="str">
        <f>IF($A160="","",IFERROR(INDEX(Références!$C$2:$C$201,MATCH($A160,Références!$A$2:$A$201,0)),""))</f>
        <v>Kausel &amp; Peek (1982)</v>
      </c>
      <c r="C160" s="39" t="str">
        <f>IF($A160="","",IFERROR(INDEX(Références!$D$2:$D$201,MATCH($A160,Références!$A$2:$A$201,0)),""))</f>
        <v>Dynamic loads in the interior of a layered stratum: an explicit solution</v>
      </c>
      <c r="D160" s="40">
        <f>IF($A160="","",IFERROR(INDEX(Références!$G$2:$G$201,MATCH($A160,Références!$A$2:$A$201,0)),""))</f>
        <v>5</v>
      </c>
      <c r="E160" s="40" t="str">
        <f>IF($A160="","",IFERROR(INDEX(Références!$H$2:$H$201,MATCH($A160,Références!$A$2:$A$201,0)),""))</f>
        <v>A consulter</v>
      </c>
      <c r="F160" s="40">
        <f>IF($A160="","",IFERROR(INDEX(Références!$I$2:$I$201,MATCH($A160,Références!$A$2:$A$201,0)),""))</f>
        <v>5</v>
      </c>
      <c r="G160" s="40" t="str">
        <f>IF($A160="","",IFERROR(INDEX(Références!$F$2:$F$201,MATCH($A160,Références!$A$2:$A$201,0)),""))</f>
        <v>Non</v>
      </c>
      <c r="H160" s="40" t="str">
        <f>IF($A160="","",IFERROR(INDEX(Références!$J$2:$J$201,MATCH($A160,Références!$A$2:$A$201,0)),""))</f>
        <v>À lire</v>
      </c>
      <c r="I160" s="41" t="str">
        <f>IF($A160="","",IFERROR(IF(INDEX(Références!$AF$2:$AF$201,MATCH($A160,Références!$A$2:$A$201,0))="","",HYPERLINK(INDEX(Références!$AF$2:$AF$201,MATCH($A160,Références!$A$2:$A$201,0)),"Ouvrir")),""))</f>
        <v>Ouvrir</v>
      </c>
      <c r="J160" s="42" t="s">
        <v>1716</v>
      </c>
      <c r="K160" s="3" t="s">
        <v>3771</v>
      </c>
      <c r="L160" s="3" t="s">
        <v>3941</v>
      </c>
      <c r="M160" s="3" t="s">
        <v>3942</v>
      </c>
      <c r="N160" s="3" t="s">
        <v>1720</v>
      </c>
      <c r="O160" s="3" t="s">
        <v>1701</v>
      </c>
      <c r="P160" s="43" t="s">
        <v>3943</v>
      </c>
      <c r="Q160" s="3" t="s">
        <v>1701</v>
      </c>
      <c r="R160" s="3" t="s">
        <v>1701</v>
      </c>
      <c r="S160" s="3" t="s">
        <v>1701</v>
      </c>
      <c r="T160" s="3" t="s">
        <v>1687</v>
      </c>
      <c r="U160" s="3" t="s">
        <v>2317</v>
      </c>
      <c r="V160" s="3" t="s">
        <v>3931</v>
      </c>
      <c r="W160" s="3" t="s">
        <v>1666</v>
      </c>
      <c r="X160" s="3" t="s">
        <v>1701</v>
      </c>
    </row>
    <row r="161" spans="1:24" ht="42.75" customHeight="1" x14ac:dyDescent="0.25">
      <c r="A161" s="38" t="s">
        <v>3233</v>
      </c>
      <c r="B161" s="39" t="str">
        <f>IF($A161="","",IFERROR(INDEX(Références!$C$2:$C$201,MATCH($A161,Références!$A$2:$A$201,0)),""))</f>
        <v>Kausel (2006)</v>
      </c>
      <c r="C161" s="39" t="str">
        <f>IF($A161="","",IFERROR(INDEX(Références!$D$2:$D$201,MATCH($A161,Références!$A$2:$A$201,0)),""))</f>
        <v>Fundamental solutions in elastodynamics: a compendium</v>
      </c>
      <c r="D161" s="40">
        <f>IF($A161="","",IFERROR(INDEX(Références!$G$2:$G$201,MATCH($A161,Références!$A$2:$A$201,0)),""))</f>
        <v>5</v>
      </c>
      <c r="E161" s="40" t="str">
        <f>IF($A161="","",IFERROR(INDEX(Références!$H$2:$H$201,MATCH($A161,Références!$A$2:$A$201,0)),""))</f>
        <v>A consulter</v>
      </c>
      <c r="F161" s="40">
        <f>IF($A161="","",IFERROR(INDEX(Références!$I$2:$I$201,MATCH($A161,Références!$A$2:$A$201,0)),""))</f>
        <v>5</v>
      </c>
      <c r="G161" s="40" t="str">
        <f>IF($A161="","",IFERROR(INDEX(Références!$F$2:$F$201,MATCH($A161,Références!$A$2:$A$201,0)),""))</f>
        <v>Non</v>
      </c>
      <c r="H161" s="40" t="str">
        <f>IF($A161="","",IFERROR(INDEX(Références!$J$2:$J$201,MATCH($A161,Références!$A$2:$A$201,0)),""))</f>
        <v>À lire</v>
      </c>
      <c r="I161" s="41" t="str">
        <f>IF($A161="","",IFERROR(IF(INDEX(Références!$AF$2:$AF$201,MATCH($A161,Références!$A$2:$A$201,0))="","",HYPERLINK(INDEX(Références!$AF$2:$AF$201,MATCH($A161,Références!$A$2:$A$201,0)),"Ouvrir")),""))</f>
        <v>Ouvrir</v>
      </c>
      <c r="J161" s="42" t="s">
        <v>1716</v>
      </c>
      <c r="K161" s="3" t="s">
        <v>3771</v>
      </c>
      <c r="L161" s="3" t="s">
        <v>3944</v>
      </c>
      <c r="M161" s="3" t="s">
        <v>3818</v>
      </c>
      <c r="N161" s="3" t="s">
        <v>1720</v>
      </c>
      <c r="O161" s="3" t="s">
        <v>1701</v>
      </c>
      <c r="P161" s="43" t="s">
        <v>3945</v>
      </c>
      <c r="Q161" s="3" t="s">
        <v>3946</v>
      </c>
      <c r="R161" s="3" t="s">
        <v>1701</v>
      </c>
      <c r="S161" s="3" t="s">
        <v>1701</v>
      </c>
      <c r="T161" s="3" t="s">
        <v>1687</v>
      </c>
      <c r="U161" s="3" t="s">
        <v>2317</v>
      </c>
      <c r="V161" s="3" t="s">
        <v>3947</v>
      </c>
      <c r="W161" s="3" t="s">
        <v>1666</v>
      </c>
      <c r="X161" s="3" t="s">
        <v>1701</v>
      </c>
    </row>
    <row r="162" spans="1:24" ht="42.75" customHeight="1" x14ac:dyDescent="0.25">
      <c r="A162" s="38" t="s">
        <v>3259</v>
      </c>
      <c r="B162" s="39" t="str">
        <f>IF($A162="","",IFERROR(INDEX(Références!$C$2:$C$201,MATCH($A162,Références!$A$2:$A$201,0)),""))</f>
        <v>Nakhaei (2023)</v>
      </c>
      <c r="C162" s="39" t="str">
        <f>IF($A162="","",IFERROR(INDEX(Références!$D$2:$D$201,MATCH($A162,Références!$A$2:$A$201,0)),""))</f>
        <v>PyMastic — Python multilayer elastic pavement analysis (code source)</v>
      </c>
      <c r="D162" s="40">
        <f>IF($A162="","",IFERROR(INDEX(Références!$G$2:$G$201,MATCH($A162,Références!$A$2:$A$201,0)),""))</f>
        <v>5</v>
      </c>
      <c r="E162" s="40" t="str">
        <f>IF($A162="","",IFERROR(INDEX(Références!$H$2:$H$201,MATCH($A162,Références!$A$2:$A$201,0)),""))</f>
        <v>Important</v>
      </c>
      <c r="F162" s="40">
        <f>IF($A162="","",IFERROR(INDEX(Références!$I$2:$I$201,MATCH($A162,Références!$A$2:$A$201,0)),""))</f>
        <v>5</v>
      </c>
      <c r="G162" s="40" t="str">
        <f>IF($A162="","",IFERROR(INDEX(Références!$F$2:$F$201,MATCH($A162,Références!$A$2:$A$201,0)),""))</f>
        <v>Non</v>
      </c>
      <c r="H162" s="40" t="str">
        <f>IF($A162="","",IFERROR(INDEX(Références!$J$2:$J$201,MATCH($A162,Références!$A$2:$A$201,0)),""))</f>
        <v>À lire</v>
      </c>
      <c r="I162" s="41" t="str">
        <f>IF($A162="","",IFERROR(IF(INDEX(Références!$AF$2:$AF$201,MATCH($A162,Références!$A$2:$A$201,0))="","",HYPERLINK(INDEX(Références!$AF$2:$AF$201,MATCH($A162,Références!$A$2:$A$201,0)),"Ouvrir")),""))</f>
        <v>Ouvrir</v>
      </c>
      <c r="J162" s="42" t="s">
        <v>1716</v>
      </c>
      <c r="K162" s="3" t="s">
        <v>3771</v>
      </c>
      <c r="L162" s="3" t="s">
        <v>3948</v>
      </c>
      <c r="M162" s="3" t="s">
        <v>3949</v>
      </c>
      <c r="N162" s="3" t="s">
        <v>1720</v>
      </c>
      <c r="O162" s="3" t="s">
        <v>3950</v>
      </c>
      <c r="P162" s="43" t="s">
        <v>3951</v>
      </c>
      <c r="Q162" s="3" t="s">
        <v>3952</v>
      </c>
      <c r="R162" s="3" t="s">
        <v>1701</v>
      </c>
      <c r="S162" s="3" t="s">
        <v>2161</v>
      </c>
      <c r="T162" s="3" t="s">
        <v>1687</v>
      </c>
      <c r="U162" s="3" t="s">
        <v>2572</v>
      </c>
      <c r="V162" s="3" t="s">
        <v>1715</v>
      </c>
      <c r="W162" s="3" t="s">
        <v>2075</v>
      </c>
      <c r="X162" s="3" t="s">
        <v>1701</v>
      </c>
    </row>
    <row r="163" spans="1:24" ht="42.75" customHeight="1" x14ac:dyDescent="0.25">
      <c r="A163" s="38" t="s">
        <v>3270</v>
      </c>
      <c r="B163" s="39" t="str">
        <f>IF($A163="","",IFERROR(INDEX(Références!$C$2:$C$201,MATCH($A163,Références!$A$2:$A$201,0)),""))</f>
        <v>Muki (1956)</v>
      </c>
      <c r="C163" s="39" t="str">
        <f>IF($A163="","",IFERROR(INDEX(Références!$D$2:$D$201,MATCH($A163,Références!$A$2:$A$201,0)),""))</f>
        <v>Three dimensional problem of elasticity for a semi-infinite solid with a tangential load on its surface</v>
      </c>
      <c r="D163" s="40">
        <f>IF($A163="","",IFERROR(INDEX(Références!$G$2:$G$201,MATCH($A163,Références!$A$2:$A$201,0)),""))</f>
        <v>5</v>
      </c>
      <c r="E163" s="40" t="str">
        <f>IF($A163="","",IFERROR(INDEX(Références!$H$2:$H$201,MATCH($A163,Références!$A$2:$A$201,0)),""))</f>
        <v>A consulter</v>
      </c>
      <c r="F163" s="40">
        <f>IF($A163="","",IFERROR(INDEX(Références!$I$2:$I$201,MATCH($A163,Références!$A$2:$A$201,0)),""))</f>
        <v>5</v>
      </c>
      <c r="G163" s="40" t="str">
        <f>IF($A163="","",IFERROR(INDEX(Références!$F$2:$F$201,MATCH($A163,Références!$A$2:$A$201,0)),""))</f>
        <v>Non</v>
      </c>
      <c r="H163" s="40" t="str">
        <f>IF($A163="","",IFERROR(INDEX(Références!$J$2:$J$201,MATCH($A163,Références!$A$2:$A$201,0)),""))</f>
        <v>À lire</v>
      </c>
      <c r="I163" s="41" t="str">
        <f>IF($A163="","",IFERROR(IF(INDEX(Références!$AF$2:$AF$201,MATCH($A163,Références!$A$2:$A$201,0))="","",HYPERLINK(INDEX(Références!$AF$2:$AF$201,MATCH($A163,Références!$A$2:$A$201,0)),"Ouvrir")),""))</f>
        <v>Ouvrir</v>
      </c>
      <c r="J163" s="42" t="s">
        <v>1716</v>
      </c>
      <c r="K163" s="3" t="s">
        <v>3771</v>
      </c>
      <c r="L163" s="3" t="s">
        <v>3953</v>
      </c>
      <c r="M163" s="3" t="s">
        <v>3954</v>
      </c>
      <c r="N163" s="3" t="s">
        <v>1720</v>
      </c>
      <c r="O163" s="3" t="s">
        <v>3955</v>
      </c>
      <c r="P163" s="43" t="s">
        <v>3956</v>
      </c>
      <c r="Q163" s="3" t="s">
        <v>3957</v>
      </c>
      <c r="R163" s="3" t="s">
        <v>1701</v>
      </c>
      <c r="S163" s="3" t="s">
        <v>3958</v>
      </c>
      <c r="T163" s="3" t="s">
        <v>1687</v>
      </c>
      <c r="U163" s="3" t="s">
        <v>2317</v>
      </c>
      <c r="V163" s="3" t="s">
        <v>1715</v>
      </c>
      <c r="W163" s="3" t="s">
        <v>3959</v>
      </c>
      <c r="X163" s="3" t="s">
        <v>1825</v>
      </c>
    </row>
    <row r="164" spans="1:24" ht="42.75" customHeight="1" x14ac:dyDescent="0.25">
      <c r="A164" s="38" t="s">
        <v>3281</v>
      </c>
      <c r="B164" s="39" t="str">
        <f>IF($A164="","",IFERROR(INDEX(Références!$C$2:$C$201,MATCH($A164,Références!$A$2:$A$201,0)),""))</f>
        <v>Khazanovich &amp; Wang (2007)</v>
      </c>
      <c r="C164" s="39" t="str">
        <f>IF($A164="","",IFERROR(INDEX(Références!$D$2:$D$201,MATCH($A164,Références!$A$2:$A$201,0)),""))</f>
        <v>MnLayer: high-performance layered elastic analysis program</v>
      </c>
      <c r="D164" s="40">
        <f>IF($A164="","",IFERROR(INDEX(Références!$G$2:$G$201,MATCH($A164,Références!$A$2:$A$201,0)),""))</f>
        <v>5</v>
      </c>
      <c r="E164" s="40" t="str">
        <f>IF($A164="","",IFERROR(INDEX(Références!$H$2:$H$201,MATCH($A164,Références!$A$2:$A$201,0)),""))</f>
        <v>Important</v>
      </c>
      <c r="F164" s="40">
        <f>IF($A164="","",IFERROR(INDEX(Références!$I$2:$I$201,MATCH($A164,Références!$A$2:$A$201,0)),""))</f>
        <v>5</v>
      </c>
      <c r="G164" s="40" t="str">
        <f>IF($A164="","",IFERROR(INDEX(Références!$F$2:$F$201,MATCH($A164,Références!$A$2:$A$201,0)),""))</f>
        <v>Non</v>
      </c>
      <c r="H164" s="40" t="str">
        <f>IF($A164="","",IFERROR(INDEX(Références!$J$2:$J$201,MATCH($A164,Références!$A$2:$A$201,0)),""))</f>
        <v>À lire</v>
      </c>
      <c r="I164" s="41" t="str">
        <f>IF($A164="","",IFERROR(IF(INDEX(Références!$AF$2:$AF$201,MATCH($A164,Références!$A$2:$A$201,0))="","",HYPERLINK(INDEX(Références!$AF$2:$AF$201,MATCH($A164,Références!$A$2:$A$201,0)),"Ouvrir")),""))</f>
        <v>Ouvrir</v>
      </c>
      <c r="J164" s="42" t="s">
        <v>1716</v>
      </c>
      <c r="K164" s="3" t="s">
        <v>3771</v>
      </c>
      <c r="L164" s="3" t="s">
        <v>3960</v>
      </c>
      <c r="M164" s="3" t="s">
        <v>3961</v>
      </c>
      <c r="N164" s="3" t="s">
        <v>3962</v>
      </c>
      <c r="O164" s="3" t="s">
        <v>3963</v>
      </c>
      <c r="P164" s="43" t="s">
        <v>3964</v>
      </c>
      <c r="Q164" s="3" t="s">
        <v>3965</v>
      </c>
      <c r="R164" s="3" t="s">
        <v>1701</v>
      </c>
      <c r="S164" s="3" t="s">
        <v>2161</v>
      </c>
      <c r="T164" s="3" t="s">
        <v>1687</v>
      </c>
      <c r="U164" s="3" t="s">
        <v>2572</v>
      </c>
      <c r="V164" s="3" t="s">
        <v>1715</v>
      </c>
      <c r="W164" s="3" t="s">
        <v>2075</v>
      </c>
      <c r="X164" s="3" t="s">
        <v>3966</v>
      </c>
    </row>
    <row r="165" spans="1:24" ht="42.75" customHeight="1" x14ac:dyDescent="0.25">
      <c r="A165" s="38" t="s">
        <v>3324</v>
      </c>
      <c r="B165" s="39" t="str">
        <f>IF($A165="","",IFERROR(INDEX(Références!$C$2:$C$201,MATCH($A165,Références!$A$2:$A$201,0)),""))</f>
        <v>Bornert et al. (2001)</v>
      </c>
      <c r="C165" s="39" t="str">
        <f>IF($A165="","",IFERROR(INDEX(Références!$D$2:$D$201,MATCH($A165,Références!$A$2:$A$201,0)),""))</f>
        <v>Homogénéisation en mécanique des matériaux (2 volumes)</v>
      </c>
      <c r="D165" s="40">
        <f>IF($A165="","",IFERROR(INDEX(Références!$G$2:$G$201,MATCH($A165,Références!$A$2:$A$201,0)),""))</f>
        <v>5</v>
      </c>
      <c r="E165" s="40" t="str">
        <f>IF($A165="","",IFERROR(INDEX(Références!$H$2:$H$201,MATCH($A165,Références!$A$2:$A$201,0)),""))</f>
        <v>Important</v>
      </c>
      <c r="F165" s="40">
        <f>IF($A165="","",IFERROR(INDEX(Références!$I$2:$I$201,MATCH($A165,Références!$A$2:$A$201,0)),""))</f>
        <v>5</v>
      </c>
      <c r="G165" s="40" t="str">
        <f>IF($A165="","",IFERROR(INDEX(Références!$F$2:$F$201,MATCH($A165,Références!$A$2:$A$201,0)),""))</f>
        <v>Non</v>
      </c>
      <c r="H165" s="40" t="str">
        <f>IF($A165="","",IFERROR(INDEX(Références!$J$2:$J$201,MATCH($A165,Références!$A$2:$A$201,0)),""))</f>
        <v>À lire</v>
      </c>
      <c r="I165" s="41" t="str">
        <f>IF($A165="","",IFERROR(IF(INDEX(Références!$AF$2:$AF$201,MATCH($A165,Références!$A$2:$A$201,0))="","",HYPERLINK(INDEX(Références!$AF$2:$AF$201,MATCH($A165,Références!$A$2:$A$201,0)),"Ouvrir")),""))</f>
        <v>Ouvrir</v>
      </c>
      <c r="J165" s="42" t="s">
        <v>1716</v>
      </c>
      <c r="K165" s="3" t="s">
        <v>3771</v>
      </c>
      <c r="L165" s="3" t="s">
        <v>3967</v>
      </c>
      <c r="M165" s="3" t="s">
        <v>3818</v>
      </c>
      <c r="N165" s="3" t="s">
        <v>1720</v>
      </c>
      <c r="O165" s="3" t="s">
        <v>1701</v>
      </c>
      <c r="P165" s="43" t="s">
        <v>3968</v>
      </c>
      <c r="Q165" s="3" t="s">
        <v>3969</v>
      </c>
      <c r="R165" s="3" t="s">
        <v>1701</v>
      </c>
      <c r="S165" s="3" t="s">
        <v>1701</v>
      </c>
      <c r="T165" s="3" t="s">
        <v>1687</v>
      </c>
      <c r="U165" s="3" t="s">
        <v>2898</v>
      </c>
      <c r="V165" s="3" t="s">
        <v>1715</v>
      </c>
      <c r="W165" s="3" t="s">
        <v>3970</v>
      </c>
      <c r="X165" s="3" t="s">
        <v>1701</v>
      </c>
    </row>
    <row r="166" spans="1:24" ht="42.75" customHeight="1" x14ac:dyDescent="0.25">
      <c r="A166" s="38" t="s">
        <v>3332</v>
      </c>
      <c r="B166" s="39" t="str">
        <f>IF($A166="","",IFERROR(INDEX(Références!$C$2:$C$201,MATCH($A166,Références!$A$2:$A$201,0)),""))</f>
        <v>Moulinec &amp; Suquet (1998)</v>
      </c>
      <c r="C166" s="39" t="str">
        <f>IF($A166="","",IFERROR(INDEX(Références!$D$2:$D$201,MATCH($A166,Références!$A$2:$A$201,0)),""))</f>
        <v>A numerical method for computing the overall response of nonlinear composites with complex microstructure</v>
      </c>
      <c r="D166" s="40">
        <f>IF($A166="","",IFERROR(INDEX(Références!$G$2:$G$201,MATCH($A166,Références!$A$2:$A$201,0)),""))</f>
        <v>5</v>
      </c>
      <c r="E166" s="40" t="str">
        <f>IF($A166="","",IFERROR(INDEX(Références!$H$2:$H$201,MATCH($A166,Références!$A$2:$A$201,0)),""))</f>
        <v>A consulter</v>
      </c>
      <c r="F166" s="40">
        <f>IF($A166="","",IFERROR(INDEX(Références!$I$2:$I$201,MATCH($A166,Références!$A$2:$A$201,0)),""))</f>
        <v>5</v>
      </c>
      <c r="G166" s="40" t="str">
        <f>IF($A166="","",IFERROR(INDEX(Références!$F$2:$F$201,MATCH($A166,Références!$A$2:$A$201,0)),""))</f>
        <v>Non</v>
      </c>
      <c r="H166" s="40" t="str">
        <f>IF($A166="","",IFERROR(INDEX(Références!$J$2:$J$201,MATCH($A166,Références!$A$2:$A$201,0)),""))</f>
        <v>À lire</v>
      </c>
      <c r="I166" s="41" t="str">
        <f>IF($A166="","",IFERROR(IF(INDEX(Références!$AF$2:$AF$201,MATCH($A166,Références!$A$2:$A$201,0))="","",HYPERLINK(INDEX(Références!$AF$2:$AF$201,MATCH($A166,Références!$A$2:$A$201,0)),"Ouvrir")),""))</f>
        <v>Ouvrir</v>
      </c>
      <c r="J166" s="42" t="s">
        <v>1716</v>
      </c>
      <c r="K166" s="3" t="s">
        <v>3771</v>
      </c>
      <c r="L166" s="3" t="s">
        <v>3971</v>
      </c>
      <c r="M166" s="3" t="s">
        <v>3972</v>
      </c>
      <c r="N166" s="3" t="s">
        <v>1720</v>
      </c>
      <c r="O166" s="3" t="s">
        <v>1701</v>
      </c>
      <c r="P166" s="43" t="s">
        <v>3973</v>
      </c>
      <c r="Q166" s="3" t="s">
        <v>1701</v>
      </c>
      <c r="R166" s="3" t="s">
        <v>1701</v>
      </c>
      <c r="S166" s="3" t="s">
        <v>1701</v>
      </c>
      <c r="T166" s="3" t="s">
        <v>1687</v>
      </c>
      <c r="U166" s="3" t="s">
        <v>3859</v>
      </c>
      <c r="V166" s="3" t="s">
        <v>1715</v>
      </c>
      <c r="W166" s="3" t="s">
        <v>2901</v>
      </c>
      <c r="X166" s="3" t="s">
        <v>1701</v>
      </c>
    </row>
    <row r="167" spans="1:24" ht="42.75" customHeight="1" x14ac:dyDescent="0.25">
      <c r="A167" s="38" t="s">
        <v>3720</v>
      </c>
      <c r="B167" s="39" t="str">
        <f>IF($A167="","",IFERROR(INDEX(Références!$C$2:$C$201,MATCH($A167,Références!$A$2:$A$201,0)),""))</f>
        <v>Kim et al. (2003)</v>
      </c>
      <c r="C167" s="39" t="str">
        <f>IF($A167="","",IFERROR(INDEX(Références!$D$2:$D$201,MATCH($A167,Références!$A$2:$A$201,0)),""))</f>
        <v>Fatigue and healing characterization of asphalt mixtures</v>
      </c>
      <c r="D167" s="40">
        <f>IF($A167="","",IFERROR(INDEX(Références!$G$2:$G$201,MATCH($A167,Références!$A$2:$A$201,0)),""))</f>
        <v>6</v>
      </c>
      <c r="E167" s="40" t="str">
        <f>IF($A167="","",IFERROR(INDEX(Références!$H$2:$H$201,MATCH($A167,Références!$A$2:$A$201,0)),""))</f>
        <v>Important</v>
      </c>
      <c r="F167" s="40">
        <f>IF($A167="","",IFERROR(INDEX(Références!$I$2:$I$201,MATCH($A167,Références!$A$2:$A$201,0)),""))</f>
        <v>3</v>
      </c>
      <c r="G167" s="40" t="str">
        <f>IF($A167="","",IFERROR(INDEX(Références!$F$2:$F$201,MATCH($A167,Références!$A$2:$A$201,0)),""))</f>
        <v>Non</v>
      </c>
      <c r="H167" s="40" t="str">
        <f>IF($A167="","",IFERROR(INDEX(Références!$J$2:$J$201,MATCH($A167,Références!$A$2:$A$201,0)),""))</f>
        <v>À lire</v>
      </c>
      <c r="I167" s="41" t="str">
        <f>IF($A167="","",IFERROR(IF(INDEX(Références!$AF$2:$AF$201,MATCH($A167,Références!$A$2:$A$201,0))="","",HYPERLINK(INDEX(Références!$AF$2:$AF$201,MATCH($A167,Références!$A$2:$A$201,0)),"Ouvrir")),""))</f>
        <v>Ouvrir</v>
      </c>
      <c r="J167" s="42" t="s">
        <v>1716</v>
      </c>
      <c r="K167" s="3" t="s">
        <v>3771</v>
      </c>
      <c r="L167" s="3" t="s">
        <v>3974</v>
      </c>
      <c r="M167" s="3" t="s">
        <v>3975</v>
      </c>
      <c r="N167" s="3" t="s">
        <v>1720</v>
      </c>
      <c r="O167" s="3" t="s">
        <v>3976</v>
      </c>
      <c r="P167" s="43" t="s">
        <v>3977</v>
      </c>
      <c r="Q167" s="3" t="s">
        <v>3978</v>
      </c>
      <c r="R167" s="3" t="s">
        <v>1701</v>
      </c>
      <c r="S167" s="3" t="s">
        <v>1701</v>
      </c>
      <c r="T167" s="3" t="s">
        <v>2109</v>
      </c>
      <c r="U167" s="3" t="s">
        <v>1777</v>
      </c>
      <c r="V167" s="3" t="s">
        <v>1969</v>
      </c>
      <c r="W167" s="3" t="s">
        <v>2701</v>
      </c>
      <c r="X167" s="3" t="s">
        <v>1777</v>
      </c>
    </row>
    <row r="168" spans="1:24" ht="42.75" customHeight="1" x14ac:dyDescent="0.25">
      <c r="A168" s="38" t="s">
        <v>3740</v>
      </c>
      <c r="B168" s="39" t="str">
        <f>IF($A168="","",IFERROR(INDEX(Références!$C$2:$C$201,MATCH($A168,Références!$A$2:$A$201,0)),""))</f>
        <v>Underwood &amp; Kim (2013)</v>
      </c>
      <c r="C168" s="39" t="str">
        <f>IF($A168="","",IFERROR(INDEX(Références!$D$2:$D$201,MATCH($A168,Références!$A$2:$A$201,0)),""))</f>
        <v>Microstructural investigation of asphalt concrete for performing multiscale experimental studies</v>
      </c>
      <c r="D168" s="40">
        <f>IF($A168="","",IFERROR(INDEX(Références!$G$2:$G$201,MATCH($A168,Références!$A$2:$A$201,0)),""))</f>
        <v>6</v>
      </c>
      <c r="E168" s="40" t="str">
        <f>IF($A168="","",IFERROR(INDEX(Références!$H$2:$H$201,MATCH($A168,Références!$A$2:$A$201,0)),""))</f>
        <v>Important</v>
      </c>
      <c r="F168" s="40">
        <f>IF($A168="","",IFERROR(INDEX(Références!$I$2:$I$201,MATCH($A168,Références!$A$2:$A$201,0)),""))</f>
        <v>3</v>
      </c>
      <c r="G168" s="40" t="str">
        <f>IF($A168="","",IFERROR(INDEX(Références!$F$2:$F$201,MATCH($A168,Références!$A$2:$A$201,0)),""))</f>
        <v>Non</v>
      </c>
      <c r="H168" s="40" t="str">
        <f>IF($A168="","",IFERROR(INDEX(Références!$J$2:$J$201,MATCH($A168,Références!$A$2:$A$201,0)),""))</f>
        <v>À lire</v>
      </c>
      <c r="I168" s="41" t="str">
        <f>IF($A168="","",IFERROR(IF(INDEX(Références!$AF$2:$AF$201,MATCH($A168,Références!$A$2:$A$201,0))="","",HYPERLINK(INDEX(Références!$AF$2:$AF$201,MATCH($A168,Références!$A$2:$A$201,0)),"Ouvrir")),""))</f>
        <v>Ouvrir</v>
      </c>
      <c r="J168" s="42" t="s">
        <v>1716</v>
      </c>
      <c r="K168" s="3" t="s">
        <v>3771</v>
      </c>
      <c r="L168" s="3" t="s">
        <v>3979</v>
      </c>
      <c r="M168" s="3" t="s">
        <v>3980</v>
      </c>
      <c r="N168" s="3" t="s">
        <v>1720</v>
      </c>
      <c r="O168" s="3" t="s">
        <v>3981</v>
      </c>
      <c r="P168" s="43" t="s">
        <v>3982</v>
      </c>
      <c r="Q168" s="3" t="s">
        <v>3983</v>
      </c>
      <c r="R168" s="3" t="s">
        <v>1701</v>
      </c>
      <c r="S168" s="3" t="s">
        <v>1701</v>
      </c>
      <c r="T168" s="3" t="s">
        <v>2109</v>
      </c>
      <c r="U168" s="3" t="s">
        <v>1777</v>
      </c>
      <c r="V168" s="3" t="s">
        <v>1969</v>
      </c>
      <c r="W168" s="3" t="s">
        <v>2901</v>
      </c>
      <c r="X168" s="3" t="s">
        <v>1777</v>
      </c>
    </row>
    <row r="169" spans="1:24" ht="42.75" customHeight="1" x14ac:dyDescent="0.25">
      <c r="A169" s="38" t="s">
        <v>3668</v>
      </c>
      <c r="B169" s="39" t="str">
        <f>IF($A169="","",IFERROR(INDEX(Références!$C$2:$C$201,MATCH($A169,Références!$A$2:$A$201,0)),""))</f>
        <v>Taylor (2007)</v>
      </c>
      <c r="C169" s="39" t="str">
        <f>IF($A169="","",IFERROR(INDEX(Références!$D$2:$D$201,MATCH($A169,Références!$A$2:$A$201,0)),""))</f>
        <v>The theory of critical distances: a new perspective in fracture mechanics</v>
      </c>
      <c r="D169" s="40">
        <f>IF($A169="","",IFERROR(INDEX(Références!$G$2:$G$201,MATCH($A169,Références!$A$2:$A$201,0)),""))</f>
        <v>6</v>
      </c>
      <c r="E169" s="40" t="str">
        <f>IF($A169="","",IFERROR(INDEX(Références!$H$2:$H$201,MATCH($A169,Références!$A$2:$A$201,0)),""))</f>
        <v>INCONTOURNABLE</v>
      </c>
      <c r="F169" s="40">
        <f>IF($A169="","",IFERROR(INDEX(Références!$I$2:$I$201,MATCH($A169,Références!$A$2:$A$201,0)),""))</f>
        <v>6</v>
      </c>
      <c r="G169" s="40" t="str">
        <f>IF($A169="","",IFERROR(INDEX(Références!$F$2:$F$201,MATCH($A169,Références!$A$2:$A$201,0)),""))</f>
        <v>Non</v>
      </c>
      <c r="H169" s="40" t="str">
        <f>IF($A169="","",IFERROR(INDEX(Références!$J$2:$J$201,MATCH($A169,Références!$A$2:$A$201,0)),""))</f>
        <v>À lire</v>
      </c>
      <c r="I169" s="41" t="str">
        <f>IF($A169="","",IFERROR(IF(INDEX(Références!$AF$2:$AF$201,MATCH($A169,Références!$A$2:$A$201,0))="","",HYPERLINK(INDEX(Références!$AF$2:$AF$201,MATCH($A169,Références!$A$2:$A$201,0)),"Ouvrir")),""))</f>
        <v>Ouvrir</v>
      </c>
      <c r="J169" s="42" t="s">
        <v>1716</v>
      </c>
      <c r="K169" s="3" t="s">
        <v>3771</v>
      </c>
      <c r="L169" s="3" t="s">
        <v>3984</v>
      </c>
      <c r="M169" s="3" t="s">
        <v>3985</v>
      </c>
      <c r="N169" s="3" t="s">
        <v>3986</v>
      </c>
      <c r="O169" s="3" t="s">
        <v>3987</v>
      </c>
      <c r="P169" s="43" t="s">
        <v>3988</v>
      </c>
      <c r="Q169" s="3" t="s">
        <v>3989</v>
      </c>
      <c r="R169" s="3" t="s">
        <v>1701</v>
      </c>
      <c r="S169" s="3" t="s">
        <v>1701</v>
      </c>
      <c r="T169" s="3" t="s">
        <v>1701</v>
      </c>
      <c r="U169" s="3" t="s">
        <v>2898</v>
      </c>
      <c r="V169" s="3" t="s">
        <v>1701</v>
      </c>
      <c r="W169" s="3" t="s">
        <v>2701</v>
      </c>
      <c r="X169" s="3" t="s">
        <v>1838</v>
      </c>
    </row>
    <row r="170" spans="1:24" ht="42.75" customHeight="1" x14ac:dyDescent="0.25">
      <c r="A170" s="38" t="s">
        <v>3679</v>
      </c>
      <c r="B170" s="39" t="str">
        <f>IF($A170="","",IFERROR(INDEX(Références!$C$2:$C$201,MATCH($A170,Références!$A$2:$A$201,0)),""))</f>
        <v>Taylor (2008)</v>
      </c>
      <c r="C170" s="39" t="str">
        <f>IF($A170="","",IFERROR(INDEX(Références!$D$2:$D$201,MATCH($A170,Références!$A$2:$A$201,0)),""))</f>
        <v>The theory of critical distances</v>
      </c>
      <c r="D170" s="40">
        <f>IF($A170="","",IFERROR(INDEX(Références!$G$2:$G$201,MATCH($A170,Références!$A$2:$A$201,0)),""))</f>
        <v>6</v>
      </c>
      <c r="E170" s="40" t="str">
        <f>IF($A170="","",IFERROR(INDEX(Références!$H$2:$H$201,MATCH($A170,Références!$A$2:$A$201,0)),""))</f>
        <v>Important</v>
      </c>
      <c r="F170" s="40">
        <f>IF($A170="","",IFERROR(INDEX(Références!$I$2:$I$201,MATCH($A170,Références!$A$2:$A$201,0)),""))</f>
        <v>6</v>
      </c>
      <c r="G170" s="40" t="str">
        <f>IF($A170="","",IFERROR(INDEX(Références!$F$2:$F$201,MATCH($A170,Références!$A$2:$A$201,0)),""))</f>
        <v>Non</v>
      </c>
      <c r="H170" s="40" t="str">
        <f>IF($A170="","",IFERROR(INDEX(Références!$J$2:$J$201,MATCH($A170,Références!$A$2:$A$201,0)),""))</f>
        <v>À lire</v>
      </c>
      <c r="I170" s="41" t="str">
        <f>IF($A170="","",IFERROR(IF(INDEX(Références!$AF$2:$AF$201,MATCH($A170,Références!$A$2:$A$201,0))="","",HYPERLINK(INDEX(Références!$AF$2:$AF$201,MATCH($A170,Références!$A$2:$A$201,0)),"Ouvrir")),""))</f>
        <v>Ouvrir</v>
      </c>
      <c r="J170" s="42" t="s">
        <v>1716</v>
      </c>
      <c r="K170" s="3" t="s">
        <v>3771</v>
      </c>
      <c r="L170" s="3" t="s">
        <v>3990</v>
      </c>
      <c r="M170" s="3" t="s">
        <v>3991</v>
      </c>
      <c r="N170" s="3" t="s">
        <v>1720</v>
      </c>
      <c r="O170" s="3" t="s">
        <v>1701</v>
      </c>
      <c r="P170" s="43" t="s">
        <v>3992</v>
      </c>
      <c r="Q170" s="3" t="s">
        <v>1701</v>
      </c>
      <c r="R170" s="3" t="s">
        <v>1701</v>
      </c>
      <c r="S170" s="3" t="s">
        <v>1701</v>
      </c>
      <c r="T170" s="3" t="s">
        <v>1701</v>
      </c>
      <c r="U170" s="3" t="s">
        <v>1742</v>
      </c>
      <c r="V170" s="3" t="s">
        <v>1701</v>
      </c>
      <c r="W170" s="3" t="s">
        <v>2701</v>
      </c>
      <c r="X170" s="3" t="s">
        <v>1701</v>
      </c>
    </row>
    <row r="171" spans="1:24" ht="42.75" customHeight="1" x14ac:dyDescent="0.25">
      <c r="A171" s="38" t="s">
        <v>3689</v>
      </c>
      <c r="B171" s="39" t="str">
        <f>IF($A171="","",IFERROR(INDEX(Références!$C$2:$C$201,MATCH($A171,Références!$A$2:$A$201,0)),""))</f>
        <v>Marsavina &amp; et al. (2023)</v>
      </c>
      <c r="C171" s="39" t="str">
        <f>IF($A171="","",IFERROR(INDEX(Références!$D$2:$D$201,MATCH($A171,Références!$A$2:$A$201,0)),""))</f>
        <v>The application of the Theory of Critical Distances to nonhomogeneous materials</v>
      </c>
      <c r="D171" s="40">
        <f>IF($A171="","",IFERROR(INDEX(Références!$G$2:$G$201,MATCH($A171,Références!$A$2:$A$201,0)),""))</f>
        <v>6</v>
      </c>
      <c r="E171" s="40" t="str">
        <f>IF($A171="","",IFERROR(INDEX(Références!$H$2:$H$201,MATCH($A171,Références!$A$2:$A$201,0)),""))</f>
        <v>A consulter</v>
      </c>
      <c r="F171" s="40">
        <f>IF($A171="","",IFERROR(INDEX(Références!$I$2:$I$201,MATCH($A171,Références!$A$2:$A$201,0)),""))</f>
        <v>6</v>
      </c>
      <c r="G171" s="40" t="str">
        <f>IF($A171="","",IFERROR(INDEX(Références!$F$2:$F$201,MATCH($A171,Références!$A$2:$A$201,0)),""))</f>
        <v>Non</v>
      </c>
      <c r="H171" s="40" t="str">
        <f>IF($A171="","",IFERROR(INDEX(Références!$J$2:$J$201,MATCH($A171,Références!$A$2:$A$201,0)),""))</f>
        <v>À lire</v>
      </c>
      <c r="I171" s="41" t="str">
        <f>IF($A171="","",IFERROR(IF(INDEX(Références!$AF$2:$AF$201,MATCH($A171,Références!$A$2:$A$201,0))="","",HYPERLINK(INDEX(Références!$AF$2:$AF$201,MATCH($A171,Références!$A$2:$A$201,0)),"Ouvrir")),""))</f>
        <v>Ouvrir</v>
      </c>
      <c r="J171" s="42" t="s">
        <v>1716</v>
      </c>
      <c r="K171" s="3" t="s">
        <v>3771</v>
      </c>
      <c r="L171" s="3" t="s">
        <v>3993</v>
      </c>
      <c r="M171" s="3" t="s">
        <v>3994</v>
      </c>
      <c r="N171" s="3" t="s">
        <v>1720</v>
      </c>
      <c r="O171" s="3" t="s">
        <v>3917</v>
      </c>
      <c r="P171" s="43" t="s">
        <v>3995</v>
      </c>
      <c r="Q171" s="3" t="s">
        <v>3996</v>
      </c>
      <c r="R171" s="3" t="s">
        <v>1701</v>
      </c>
      <c r="S171" s="3" t="s">
        <v>1701</v>
      </c>
      <c r="T171" s="3" t="s">
        <v>1701</v>
      </c>
      <c r="U171" s="3" t="s">
        <v>2898</v>
      </c>
      <c r="V171" s="3" t="s">
        <v>1701</v>
      </c>
      <c r="W171" s="3" t="s">
        <v>2701</v>
      </c>
      <c r="X171" s="3" t="s">
        <v>1838</v>
      </c>
    </row>
    <row r="172" spans="1:24" ht="42.75" customHeight="1" x14ac:dyDescent="0.25">
      <c r="A172" s="38" t="s">
        <v>3700</v>
      </c>
      <c r="B172" s="39" t="str">
        <f>IF($A172="","",IFERROR(INDEX(Références!$C$2:$C$201,MATCH($A172,Références!$A$2:$A$201,0)),""))</f>
        <v>Pilkey &amp; Pilkey (2008)</v>
      </c>
      <c r="C172" s="39" t="str">
        <f>IF($A172="","",IFERROR(INDEX(Références!$D$2:$D$201,MATCH($A172,Références!$A$2:$A$201,0)),""))</f>
        <v>Peterson's stress concentration factors (3rd edition)</v>
      </c>
      <c r="D172" s="40">
        <f>IF($A172="","",IFERROR(INDEX(Références!$G$2:$G$201,MATCH($A172,Références!$A$2:$A$201,0)),""))</f>
        <v>6</v>
      </c>
      <c r="E172" s="40" t="str">
        <f>IF($A172="","",IFERROR(INDEX(Références!$H$2:$H$201,MATCH($A172,Références!$A$2:$A$201,0)),""))</f>
        <v>A consulter</v>
      </c>
      <c r="F172" s="40">
        <f>IF($A172="","",IFERROR(INDEX(Références!$I$2:$I$201,MATCH($A172,Références!$A$2:$A$201,0)),""))</f>
        <v>6</v>
      </c>
      <c r="G172" s="40" t="str">
        <f>IF($A172="","",IFERROR(INDEX(Références!$F$2:$F$201,MATCH($A172,Références!$A$2:$A$201,0)),""))</f>
        <v>Non</v>
      </c>
      <c r="H172" s="40" t="str">
        <f>IF($A172="","",IFERROR(INDEX(Références!$J$2:$J$201,MATCH($A172,Références!$A$2:$A$201,0)),""))</f>
        <v>À lire</v>
      </c>
      <c r="I172" s="41" t="str">
        <f>IF($A172="","",IFERROR(IF(INDEX(Références!$AF$2:$AF$201,MATCH($A172,Références!$A$2:$A$201,0))="","",HYPERLINK(INDEX(Références!$AF$2:$AF$201,MATCH($A172,Références!$A$2:$A$201,0)),"Ouvrir")),""))</f>
        <v>Ouvrir</v>
      </c>
      <c r="J172" s="42" t="s">
        <v>1716</v>
      </c>
      <c r="K172" s="3" t="s">
        <v>3771</v>
      </c>
      <c r="L172" s="3" t="s">
        <v>3997</v>
      </c>
      <c r="M172" s="3" t="s">
        <v>3998</v>
      </c>
      <c r="N172" s="3" t="s">
        <v>1720</v>
      </c>
      <c r="O172" s="3" t="s">
        <v>1701</v>
      </c>
      <c r="P172" s="43" t="s">
        <v>3999</v>
      </c>
      <c r="Q172" s="3" t="s">
        <v>4000</v>
      </c>
      <c r="R172" s="3" t="s">
        <v>1701</v>
      </c>
      <c r="S172" s="3" t="s">
        <v>1701</v>
      </c>
      <c r="T172" s="3" t="s">
        <v>1687</v>
      </c>
      <c r="U172" s="3" t="s">
        <v>2898</v>
      </c>
      <c r="V172" s="3" t="s">
        <v>1715</v>
      </c>
      <c r="W172" s="3" t="s">
        <v>4001</v>
      </c>
      <c r="X172" s="3" t="s">
        <v>1701</v>
      </c>
    </row>
    <row r="173" spans="1:24" ht="42.75" customHeight="1" x14ac:dyDescent="0.25">
      <c r="A173" s="38" t="s">
        <v>3707</v>
      </c>
      <c r="B173" s="39" t="str">
        <f>IF($A173="","",IFERROR(INDEX(Références!$C$2:$C$201,MATCH($A173,Références!$A$2:$A$201,0)),""))</f>
        <v>Fuller &amp; Thompson (1907)</v>
      </c>
      <c r="C173" s="39" t="str">
        <f>IF($A173="","",IFERROR(INDEX(Références!$D$2:$D$201,MATCH($A173,Références!$A$2:$A$201,0)),""))</f>
        <v>The laws of proportioning concrete</v>
      </c>
      <c r="D173" s="40">
        <f>IF($A173="","",IFERROR(INDEX(Références!$G$2:$G$201,MATCH($A173,Références!$A$2:$A$201,0)),""))</f>
        <v>6</v>
      </c>
      <c r="E173" s="40" t="str">
        <f>IF($A173="","",IFERROR(INDEX(Références!$H$2:$H$201,MATCH($A173,Références!$A$2:$A$201,0)),""))</f>
        <v>A consulter</v>
      </c>
      <c r="F173" s="40">
        <f>IF($A173="","",IFERROR(INDEX(Références!$I$2:$I$201,MATCH($A173,Références!$A$2:$A$201,0)),""))</f>
        <v>6</v>
      </c>
      <c r="G173" s="40" t="str">
        <f>IF($A173="","",IFERROR(INDEX(Références!$F$2:$F$201,MATCH($A173,Références!$A$2:$A$201,0)),""))</f>
        <v>Non</v>
      </c>
      <c r="H173" s="40" t="str">
        <f>IF($A173="","",IFERROR(INDEX(Références!$J$2:$J$201,MATCH($A173,Références!$A$2:$A$201,0)),""))</f>
        <v>À lire</v>
      </c>
      <c r="I173" s="41" t="str">
        <f>IF($A173="","",IFERROR(IF(INDEX(Références!$AF$2:$AF$201,MATCH($A173,Références!$A$2:$A$201,0))="","",HYPERLINK(INDEX(Références!$AF$2:$AF$201,MATCH($A173,Références!$A$2:$A$201,0)),"Ouvrir")),""))</f>
        <v>Ouvrir</v>
      </c>
      <c r="J173" s="42" t="s">
        <v>1716</v>
      </c>
      <c r="K173" s="3" t="s">
        <v>3771</v>
      </c>
      <c r="L173" s="3" t="s">
        <v>4002</v>
      </c>
      <c r="M173" s="3" t="s">
        <v>4003</v>
      </c>
      <c r="N173" s="3" t="s">
        <v>4004</v>
      </c>
      <c r="O173" s="3" t="s">
        <v>4005</v>
      </c>
      <c r="P173" s="43" t="s">
        <v>4006</v>
      </c>
      <c r="Q173" s="3" t="s">
        <v>4007</v>
      </c>
      <c r="R173" s="3" t="s">
        <v>1701</v>
      </c>
      <c r="S173" s="3" t="s">
        <v>1701</v>
      </c>
      <c r="T173" s="3" t="s">
        <v>1701</v>
      </c>
      <c r="U173" s="3" t="s">
        <v>1777</v>
      </c>
      <c r="V173" s="3" t="s">
        <v>1701</v>
      </c>
      <c r="W173" s="3" t="s">
        <v>2901</v>
      </c>
      <c r="X173" s="3" t="s">
        <v>1777</v>
      </c>
    </row>
    <row r="174" spans="1:24" ht="42.75" customHeight="1" x14ac:dyDescent="0.25">
      <c r="A174" s="38" t="s">
        <v>3731</v>
      </c>
      <c r="B174" s="39" t="str">
        <f>IF($A174="","",IFERROR(INDEX(Références!$C$2:$C$201,MATCH($A174,Références!$A$2:$A$201,0)),""))</f>
        <v>Aragão et al. (2011)</v>
      </c>
      <c r="C174" s="39" t="str">
        <f>IF($A174="","",IFERROR(INDEX(Références!$D$2:$D$201,MATCH($A174,Références!$A$2:$A$201,0)),""))</f>
        <v>Micromechanical model for heterogeneous asphalt concrete mixtures subjected to fracture failure</v>
      </c>
      <c r="D174" s="40">
        <f>IF($A174="","",IFERROR(INDEX(Références!$G$2:$G$201,MATCH($A174,Références!$A$2:$A$201,0)),""))</f>
        <v>6</v>
      </c>
      <c r="E174" s="40" t="str">
        <f>IF($A174="","",IFERROR(INDEX(Références!$H$2:$H$201,MATCH($A174,Références!$A$2:$A$201,0)),""))</f>
        <v>Important</v>
      </c>
      <c r="F174" s="40">
        <f>IF($A174="","",IFERROR(INDEX(Références!$I$2:$I$201,MATCH($A174,Références!$A$2:$A$201,0)),""))</f>
        <v>6</v>
      </c>
      <c r="G174" s="40" t="str">
        <f>IF($A174="","",IFERROR(INDEX(Références!$F$2:$F$201,MATCH($A174,Références!$A$2:$A$201,0)),""))</f>
        <v>Non</v>
      </c>
      <c r="H174" s="40" t="str">
        <f>IF($A174="","",IFERROR(INDEX(Références!$J$2:$J$201,MATCH($A174,Références!$A$2:$A$201,0)),""))</f>
        <v>À lire</v>
      </c>
      <c r="I174" s="41" t="str">
        <f>IF($A174="","",IFERROR(IF(INDEX(Références!$AF$2:$AF$201,MATCH($A174,Références!$A$2:$A$201,0))="","",HYPERLINK(INDEX(Références!$AF$2:$AF$201,MATCH($A174,Références!$A$2:$A$201,0)),"Ouvrir")),""))</f>
        <v>Ouvrir</v>
      </c>
      <c r="J174" s="42" t="s">
        <v>1716</v>
      </c>
      <c r="K174" s="3" t="s">
        <v>3771</v>
      </c>
      <c r="L174" s="3" t="s">
        <v>4008</v>
      </c>
      <c r="M174" s="3" t="s">
        <v>4009</v>
      </c>
      <c r="N174" s="3" t="s">
        <v>1720</v>
      </c>
      <c r="O174" s="3" t="s">
        <v>4010</v>
      </c>
      <c r="P174" s="43" t="s">
        <v>4011</v>
      </c>
      <c r="Q174" s="3" t="s">
        <v>4012</v>
      </c>
      <c r="R174" s="3" t="s">
        <v>1701</v>
      </c>
      <c r="S174" s="3" t="s">
        <v>1701</v>
      </c>
      <c r="T174" s="3" t="s">
        <v>2109</v>
      </c>
      <c r="U174" s="3" t="s">
        <v>2198</v>
      </c>
      <c r="V174" s="3" t="s">
        <v>1715</v>
      </c>
      <c r="W174" s="3" t="s">
        <v>4013</v>
      </c>
      <c r="X174" s="3" t="s">
        <v>1777</v>
      </c>
    </row>
    <row r="175" spans="1:24" ht="42.75" customHeight="1" x14ac:dyDescent="0.25">
      <c r="A175" s="38" t="s">
        <v>3751</v>
      </c>
      <c r="B175" s="39" t="str">
        <f>IF($A175="","",IFERROR(INDEX(Références!$C$2:$C$201,MATCH($A175,Références!$A$2:$A$201,0)),""))</f>
        <v>Vulcano-Greullet et al. (2010)</v>
      </c>
      <c r="C175" s="39" t="str">
        <f>IF($A175="","",IFERROR(INDEX(Références!$D$2:$D$201,MATCH($A175,Références!$A$2:$A$201,0)),""))</f>
        <v>Stripping phenomenon of top layers of thick pavements</v>
      </c>
      <c r="D175" s="40">
        <f>IF($A175="","",IFERROR(INDEX(Références!$G$2:$G$201,MATCH($A175,Références!$A$2:$A$201,0)),""))</f>
        <v>6</v>
      </c>
      <c r="E175" s="40" t="str">
        <f>IF($A175="","",IFERROR(INDEX(Références!$H$2:$H$201,MATCH($A175,Références!$A$2:$A$201,0)),""))</f>
        <v>Important</v>
      </c>
      <c r="F175" s="40">
        <f>IF($A175="","",IFERROR(INDEX(Références!$I$2:$I$201,MATCH($A175,Références!$A$2:$A$201,0)),""))</f>
        <v>6</v>
      </c>
      <c r="G175" s="40" t="str">
        <f>IF($A175="","",IFERROR(INDEX(Références!$F$2:$F$201,MATCH($A175,Références!$A$2:$A$201,0)),""))</f>
        <v>Non</v>
      </c>
      <c r="H175" s="40" t="str">
        <f>IF($A175="","",IFERROR(INDEX(Références!$J$2:$J$201,MATCH($A175,Références!$A$2:$A$201,0)),""))</f>
        <v>À lire</v>
      </c>
      <c r="I175" s="41" t="str">
        <f>IF($A175="","",IFERROR(IF(INDEX(Références!$AF$2:$AF$201,MATCH($A175,Références!$A$2:$A$201,0))="","",HYPERLINK(INDEX(Références!$AF$2:$AF$201,MATCH($A175,Références!$A$2:$A$201,0)),"Ouvrir")),""))</f>
        <v>Ouvrir</v>
      </c>
      <c r="J175" s="42" t="s">
        <v>1716</v>
      </c>
      <c r="K175" s="3" t="s">
        <v>3771</v>
      </c>
      <c r="L175" s="3" t="s">
        <v>4014</v>
      </c>
      <c r="M175" s="3" t="s">
        <v>4015</v>
      </c>
      <c r="N175" s="3" t="s">
        <v>1720</v>
      </c>
      <c r="O175" s="3" t="s">
        <v>4016</v>
      </c>
      <c r="P175" s="43" t="s">
        <v>4017</v>
      </c>
      <c r="Q175" s="3" t="s">
        <v>4018</v>
      </c>
      <c r="R175" s="3" t="s">
        <v>1701</v>
      </c>
      <c r="S175" s="3" t="s">
        <v>1701</v>
      </c>
      <c r="T175" s="3" t="s">
        <v>1701</v>
      </c>
      <c r="U175" s="3" t="s">
        <v>1701</v>
      </c>
      <c r="V175" s="3" t="s">
        <v>1701</v>
      </c>
      <c r="W175" s="3" t="s">
        <v>2899</v>
      </c>
      <c r="X175" s="3" t="s">
        <v>1701</v>
      </c>
    </row>
    <row r="176" spans="1:24" ht="42.75" customHeight="1" x14ac:dyDescent="0.25">
      <c r="A176" s="38" t="s">
        <v>3761</v>
      </c>
      <c r="B176" s="39" t="str">
        <f>IF($A176="","",IFERROR(INDEX(Références!$C$2:$C$201,MATCH($A176,Références!$A$2:$A$201,0)),""))</f>
        <v>Grellet et al. (2016)</v>
      </c>
      <c r="C176" s="39" t="str">
        <f>IF($A176="","",IFERROR(INDEX(Références!$D$2:$D$201,MATCH($A176,Références!$A$2:$A$201,0)),""))</f>
        <v>Experimental evidence of the viscoelastic behavior of interfaces in bituminous pavements – an explanation to top-down cracking</v>
      </c>
      <c r="D176" s="40">
        <f>IF($A176="","",IFERROR(INDEX(Références!$G$2:$G$201,MATCH($A176,Références!$A$2:$A$201,0)),""))</f>
        <v>6</v>
      </c>
      <c r="E176" s="40" t="str">
        <f>IF($A176="","",IFERROR(INDEX(Références!$H$2:$H$201,MATCH($A176,Références!$A$2:$A$201,0)),""))</f>
        <v>A consulter</v>
      </c>
      <c r="F176" s="40">
        <f>IF($A176="","",IFERROR(INDEX(Références!$I$2:$I$201,MATCH($A176,Références!$A$2:$A$201,0)),""))</f>
        <v>6</v>
      </c>
      <c r="G176" s="40" t="str">
        <f>IF($A176="","",IFERROR(INDEX(Références!$F$2:$F$201,MATCH($A176,Références!$A$2:$A$201,0)),""))</f>
        <v>Non</v>
      </c>
      <c r="H176" s="40" t="str">
        <f>IF($A176="","",IFERROR(INDEX(Références!$J$2:$J$201,MATCH($A176,Références!$A$2:$A$201,0)),""))</f>
        <v>À lire</v>
      </c>
      <c r="I176" s="41" t="str">
        <f>IF($A176="","",IFERROR(IF(INDEX(Références!$AF$2:$AF$201,MATCH($A176,Références!$A$2:$A$201,0))="","",HYPERLINK(INDEX(Références!$AF$2:$AF$201,MATCH($A176,Références!$A$2:$A$201,0)),"Ouvrir")),""))</f>
        <v>Ouvrir</v>
      </c>
      <c r="J176" s="42" t="s">
        <v>1716</v>
      </c>
      <c r="K176" s="3" t="s">
        <v>3771</v>
      </c>
      <c r="L176" s="3" t="s">
        <v>4019</v>
      </c>
      <c r="M176" s="3" t="s">
        <v>4020</v>
      </c>
      <c r="N176" s="3" t="s">
        <v>1720</v>
      </c>
      <c r="O176" s="3" t="s">
        <v>4021</v>
      </c>
      <c r="P176" s="43" t="s">
        <v>4022</v>
      </c>
      <c r="Q176" s="3" t="s">
        <v>4023</v>
      </c>
      <c r="R176" s="3" t="s">
        <v>1685</v>
      </c>
      <c r="S176" s="3" t="s">
        <v>1701</v>
      </c>
      <c r="T176" s="3" t="s">
        <v>2109</v>
      </c>
      <c r="U176" s="3" t="s">
        <v>1800</v>
      </c>
      <c r="V176" s="3" t="s">
        <v>1703</v>
      </c>
      <c r="W176" s="3" t="s">
        <v>4024</v>
      </c>
      <c r="X176" s="3" t="s">
        <v>1734</v>
      </c>
    </row>
    <row r="177" spans="1:24" ht="42.75" customHeight="1" x14ac:dyDescent="0.25">
      <c r="A177" s="38" t="s">
        <v>3636</v>
      </c>
      <c r="B177" s="39" t="str">
        <f>IF($A177="","",IFERROR(INDEX(Références!$C$2:$C$201,MATCH($A177,Références!$A$2:$A$201,0)),""))</f>
        <v>FAA (1997)</v>
      </c>
      <c r="C177" s="39" t="str">
        <f>IF($A177="","",IFERROR(INDEX(Références!$D$2:$D$201,MATCH($A177,Références!$A$2:$A$201,0)),""))</f>
        <v>Measurement, construction, and maintenance of skid-resistant airport pavement surfaces (AC 150/5320-12C)</v>
      </c>
      <c r="D177" s="40">
        <f>IF($A177="","",IFERROR(INDEX(Références!$G$2:$G$201,MATCH($A177,Références!$A$2:$A$201,0)),""))</f>
        <v>7</v>
      </c>
      <c r="E177" s="40" t="str">
        <f>IF($A177="","",IFERROR(INDEX(Références!$H$2:$H$201,MATCH($A177,Références!$A$2:$A$201,0)),""))</f>
        <v>INCONTOURNABLE</v>
      </c>
      <c r="F177" s="40">
        <f>IF($A177="","",IFERROR(INDEX(Références!$I$2:$I$201,MATCH($A177,Références!$A$2:$A$201,0)),""))</f>
        <v>1</v>
      </c>
      <c r="G177" s="40" t="str">
        <f>IF($A177="","",IFERROR(INDEX(Références!$F$2:$F$201,MATCH($A177,Références!$A$2:$A$201,0)),""))</f>
        <v>Non</v>
      </c>
      <c r="H177" s="40" t="str">
        <f>IF($A177="","",IFERROR(INDEX(Références!$J$2:$J$201,MATCH($A177,Références!$A$2:$A$201,0)),""))</f>
        <v>À lire</v>
      </c>
      <c r="I177" s="41" t="str">
        <f>IF($A177="","",IFERROR(IF(INDEX(Références!$AF$2:$AF$201,MATCH($A177,Références!$A$2:$A$201,0))="","",HYPERLINK(INDEX(Références!$AF$2:$AF$201,MATCH($A177,Références!$A$2:$A$201,0)),"Ouvrir")),""))</f>
        <v>Ouvrir</v>
      </c>
      <c r="J177" s="42" t="s">
        <v>1716</v>
      </c>
      <c r="K177" s="3" t="s">
        <v>3771</v>
      </c>
      <c r="L177" s="3" t="s">
        <v>4025</v>
      </c>
      <c r="M177" s="3" t="s">
        <v>4026</v>
      </c>
      <c r="N177" s="3" t="s">
        <v>4027</v>
      </c>
      <c r="O177" s="3" t="s">
        <v>4028</v>
      </c>
      <c r="P177" s="43" t="s">
        <v>4029</v>
      </c>
      <c r="Q177" s="3" t="s">
        <v>4030</v>
      </c>
      <c r="R177" s="3" t="s">
        <v>1793</v>
      </c>
      <c r="S177" s="3" t="s">
        <v>1701</v>
      </c>
      <c r="T177" s="3" t="s">
        <v>1701</v>
      </c>
      <c r="U177" s="3" t="s">
        <v>2898</v>
      </c>
      <c r="V177" s="3" t="s">
        <v>1701</v>
      </c>
      <c r="W177" s="3" t="s">
        <v>3854</v>
      </c>
      <c r="X177" s="3" t="s">
        <v>1701</v>
      </c>
    </row>
    <row r="178" spans="1:24" ht="42.75" customHeight="1" x14ac:dyDescent="0.25">
      <c r="A178" s="38" t="s">
        <v>3647</v>
      </c>
      <c r="B178" s="39" t="str">
        <f>IF($A178="","",IFERROR(INDEX(Références!$C$2:$C$201,MATCH($A178,Références!$A$2:$A$201,0)),""))</f>
        <v>Fabre et al. (2009)</v>
      </c>
      <c r="C178" s="39" t="str">
        <f>IF($A178="","",IFERROR(INDEX(Références!$D$2:$D$201,MATCH($A178,Références!$A$2:$A$201,0)),""))</f>
        <v>Full-scale aircraft tire pressure tests</v>
      </c>
      <c r="D178" s="40">
        <f>IF($A178="","",IFERROR(INDEX(Références!$G$2:$G$201,MATCH($A178,Références!$A$2:$A$201,0)),""))</f>
        <v>7</v>
      </c>
      <c r="E178" s="40" t="str">
        <f>IF($A178="","",IFERROR(INDEX(Références!$H$2:$H$201,MATCH($A178,Références!$A$2:$A$201,0)),""))</f>
        <v>Important</v>
      </c>
      <c r="F178" s="40">
        <f>IF($A178="","",IFERROR(INDEX(Références!$I$2:$I$201,MATCH($A178,Références!$A$2:$A$201,0)),""))</f>
        <v>1</v>
      </c>
      <c r="G178" s="40" t="str">
        <f>IF($A178="","",IFERROR(INDEX(Références!$F$2:$F$201,MATCH($A178,Références!$A$2:$A$201,0)),""))</f>
        <v>Non</v>
      </c>
      <c r="H178" s="40" t="str">
        <f>IF($A178="","",IFERROR(INDEX(Références!$J$2:$J$201,MATCH($A178,Références!$A$2:$A$201,0)),""))</f>
        <v>À lire</v>
      </c>
      <c r="I178" s="41" t="str">
        <f>IF($A178="","",IFERROR(IF(INDEX(Références!$AF$2:$AF$201,MATCH($A178,Références!$A$2:$A$201,0))="","",HYPERLINK(INDEX(Références!$AF$2:$AF$201,MATCH($A178,Références!$A$2:$A$201,0)),"Ouvrir")),""))</f>
        <v>Ouvrir</v>
      </c>
      <c r="J178" s="42" t="s">
        <v>1716</v>
      </c>
      <c r="K178" s="3" t="s">
        <v>3771</v>
      </c>
      <c r="L178" s="3" t="s">
        <v>4031</v>
      </c>
      <c r="M178" s="3" t="s">
        <v>4032</v>
      </c>
      <c r="N178" s="3" t="s">
        <v>1720</v>
      </c>
      <c r="O178" s="3" t="s">
        <v>4033</v>
      </c>
      <c r="P178" s="43" t="s">
        <v>4034</v>
      </c>
      <c r="Q178" s="3" t="s">
        <v>4035</v>
      </c>
      <c r="R178" s="3" t="s">
        <v>1793</v>
      </c>
      <c r="S178" s="3" t="s">
        <v>1701</v>
      </c>
      <c r="T178" s="3" t="s">
        <v>1701</v>
      </c>
      <c r="U178" s="3" t="s">
        <v>1800</v>
      </c>
      <c r="V178" s="3" t="s">
        <v>1703</v>
      </c>
      <c r="W178" s="3" t="s">
        <v>4036</v>
      </c>
      <c r="X178" s="3" t="s">
        <v>1734</v>
      </c>
    </row>
    <row r="179" spans="1:24" ht="42.75" customHeight="1" x14ac:dyDescent="0.25">
      <c r="A179" s="38" t="s">
        <v>3659</v>
      </c>
      <c r="B179" s="39" t="str">
        <f>IF($A179="","",IFERROR(INDEX(Références!$C$2:$C$201,MATCH($A179,Références!$A$2:$A$201,0)),""))</f>
        <v>Roussel et al. (2022)</v>
      </c>
      <c r="C179" s="39" t="str">
        <f>IF($A179="","",IFERROR(INDEX(Références!$D$2:$D$201,MATCH($A179,Références!$A$2:$A$201,0)),""))</f>
        <v>Étude de la fatigue des chaussées aéronautiques souples</v>
      </c>
      <c r="D179" s="40">
        <f>IF($A179="","",IFERROR(INDEX(Références!$G$2:$G$201,MATCH($A179,Références!$A$2:$A$201,0)),""))</f>
        <v>7</v>
      </c>
      <c r="E179" s="40" t="str">
        <f>IF($A179="","",IFERROR(INDEX(Références!$H$2:$H$201,MATCH($A179,Références!$A$2:$A$201,0)),""))</f>
        <v>Important</v>
      </c>
      <c r="F179" s="40">
        <f>IF($A179="","",IFERROR(INDEX(Références!$I$2:$I$201,MATCH($A179,Références!$A$2:$A$201,0)),""))</f>
        <v>6</v>
      </c>
      <c r="G179" s="40" t="str">
        <f>IF($A179="","",IFERROR(INDEX(Références!$F$2:$F$201,MATCH($A179,Références!$A$2:$A$201,0)),""))</f>
        <v>Non</v>
      </c>
      <c r="H179" s="40" t="str">
        <f>IF($A179="","",IFERROR(INDEX(Références!$J$2:$J$201,MATCH($A179,Références!$A$2:$A$201,0)),""))</f>
        <v>À lire</v>
      </c>
      <c r="I179" s="41" t="str">
        <f>IF($A179="","",IFERROR(IF(INDEX(Références!$AF$2:$AF$201,MATCH($A179,Références!$A$2:$A$201,0))="","",HYPERLINK(INDEX(Références!$AF$2:$AF$201,MATCH($A179,Références!$A$2:$A$201,0)),"Ouvrir")),""))</f>
        <v>Ouvrir</v>
      </c>
      <c r="J179" s="42" t="s">
        <v>1716</v>
      </c>
      <c r="K179" s="3" t="s">
        <v>3771</v>
      </c>
      <c r="L179" s="3" t="s">
        <v>4037</v>
      </c>
      <c r="M179" s="3" t="s">
        <v>4038</v>
      </c>
      <c r="N179" s="3" t="s">
        <v>1720</v>
      </c>
      <c r="O179" s="3" t="s">
        <v>3917</v>
      </c>
      <c r="P179" s="43" t="s">
        <v>4039</v>
      </c>
      <c r="Q179" s="3" t="s">
        <v>4040</v>
      </c>
      <c r="R179" s="3" t="s">
        <v>1793</v>
      </c>
      <c r="S179" s="3" t="s">
        <v>1701</v>
      </c>
      <c r="T179" s="3" t="s">
        <v>1701</v>
      </c>
      <c r="U179" s="3" t="s">
        <v>2566</v>
      </c>
      <c r="V179" s="3" t="s">
        <v>1703</v>
      </c>
      <c r="W179" s="3" t="s">
        <v>2701</v>
      </c>
      <c r="X179" s="3" t="s">
        <v>1701</v>
      </c>
    </row>
    <row r="180" spans="1:24" ht="42.75" customHeight="1" x14ac:dyDescent="0.25">
      <c r="A180" s="38" t="s">
        <v>3605</v>
      </c>
      <c r="B180" s="39" t="str">
        <f>IF($A180="","",IFERROR(INDEX(Références!$C$2:$C$201,MATCH($A180,Références!$A$2:$A$201,0)),""))</f>
        <v>ISO (2019)</v>
      </c>
      <c r="C180" s="39" t="str">
        <f>IF($A180="","",IFERROR(INDEX(Références!$D$2:$D$201,MATCH($A180,Références!$A$2:$A$201,0)),""))</f>
        <v>ISO 13473-1 — Caractérisation de la texture d'un revêtement de chaussée à partir de relevés de profils — Partie 1 : détermination de la profondeur moyenne de profil (MPD)</v>
      </c>
      <c r="D180" s="40">
        <f>IF($A180="","",IFERROR(INDEX(Références!$G$2:$G$201,MATCH($A180,Références!$A$2:$A$201,0)),""))</f>
        <v>8</v>
      </c>
      <c r="E180" s="40" t="str">
        <f>IF($A180="","",IFERROR(INDEX(Références!$H$2:$H$201,MATCH($A180,Références!$A$2:$A$201,0)),""))</f>
        <v>Important</v>
      </c>
      <c r="F180" s="40">
        <f>IF($A180="","",IFERROR(INDEX(Références!$I$2:$I$201,MATCH($A180,Références!$A$2:$A$201,0)),""))</f>
        <v>6</v>
      </c>
      <c r="G180" s="40" t="str">
        <f>IF($A180="","",IFERROR(INDEX(Références!$F$2:$F$201,MATCH($A180,Références!$A$2:$A$201,0)),""))</f>
        <v>Non</v>
      </c>
      <c r="H180" s="40" t="str">
        <f>IF($A180="","",IFERROR(INDEX(Références!$J$2:$J$201,MATCH($A180,Références!$A$2:$A$201,0)),""))</f>
        <v>À lire</v>
      </c>
      <c r="I180" s="41" t="str">
        <f>IF($A180="","",IFERROR(IF(INDEX(Références!$AF$2:$AF$201,MATCH($A180,Références!$A$2:$A$201,0))="","",HYPERLINK(INDEX(Références!$AF$2:$AF$201,MATCH($A180,Références!$A$2:$A$201,0)),"Ouvrir")),""))</f>
        <v/>
      </c>
      <c r="J180" s="42" t="s">
        <v>1716</v>
      </c>
      <c r="K180" s="3" t="s">
        <v>3771</v>
      </c>
      <c r="L180" s="3" t="s">
        <v>4041</v>
      </c>
      <c r="M180" s="3" t="s">
        <v>4042</v>
      </c>
      <c r="N180" s="3" t="s">
        <v>4043</v>
      </c>
      <c r="O180" s="3" t="s">
        <v>4044</v>
      </c>
      <c r="P180" s="43" t="s">
        <v>4045</v>
      </c>
      <c r="Q180" s="3" t="s">
        <v>4046</v>
      </c>
      <c r="R180" s="3" t="s">
        <v>1701</v>
      </c>
      <c r="S180" s="3" t="s">
        <v>1701</v>
      </c>
      <c r="T180" s="3" t="s">
        <v>1701</v>
      </c>
      <c r="U180" s="3" t="s">
        <v>3134</v>
      </c>
      <c r="V180" s="3" t="s">
        <v>1701</v>
      </c>
      <c r="W180" s="3" t="s">
        <v>3854</v>
      </c>
      <c r="X180" s="3" t="s">
        <v>1701</v>
      </c>
    </row>
    <row r="181" spans="1:24" ht="42.75" customHeight="1" x14ac:dyDescent="0.25">
      <c r="A181" s="38" t="s">
        <v>3614</v>
      </c>
      <c r="B181" s="39" t="str">
        <f>IF($A181="","",IFERROR(INDEX(Références!$C$2:$C$201,MATCH($A181,Références!$A$2:$A$201,0)),""))</f>
        <v>ISO (2008)</v>
      </c>
      <c r="C181" s="39" t="str">
        <f>IF($A181="","",IFERROR(INDEX(Références!$D$2:$D$201,MATCH($A181,Références!$A$2:$A$201,0)),""))</f>
        <v>ISO/TS 13473-4 — Caractérisation de la texture d'un revêtement de chaussée à partir de relevés de profils — Partie 4 : analyse spectrale des profils</v>
      </c>
      <c r="D181" s="40">
        <f>IF($A181="","",IFERROR(INDEX(Références!$G$2:$G$201,MATCH($A181,Références!$A$2:$A$201,0)),""))</f>
        <v>8</v>
      </c>
      <c r="E181" s="40" t="str">
        <f>IF($A181="","",IFERROR(INDEX(Références!$H$2:$H$201,MATCH($A181,Références!$A$2:$A$201,0)),""))</f>
        <v>A consulter</v>
      </c>
      <c r="F181" s="40">
        <f>IF($A181="","",IFERROR(INDEX(Références!$I$2:$I$201,MATCH($A181,Références!$A$2:$A$201,0)),""))</f>
        <v>6</v>
      </c>
      <c r="G181" s="40" t="str">
        <f>IF($A181="","",IFERROR(INDEX(Références!$F$2:$F$201,MATCH($A181,Références!$A$2:$A$201,0)),""))</f>
        <v>Non</v>
      </c>
      <c r="H181" s="40" t="str">
        <f>IF($A181="","",IFERROR(INDEX(Références!$J$2:$J$201,MATCH($A181,Références!$A$2:$A$201,0)),""))</f>
        <v>À lire</v>
      </c>
      <c r="I181" s="41" t="str">
        <f>IF($A181="","",IFERROR(IF(INDEX(Références!$AF$2:$AF$201,MATCH($A181,Références!$A$2:$A$201,0))="","",HYPERLINK(INDEX(Références!$AF$2:$AF$201,MATCH($A181,Références!$A$2:$A$201,0)),"Ouvrir")),""))</f>
        <v>Ouvrir</v>
      </c>
      <c r="J181" s="42" t="s">
        <v>1716</v>
      </c>
      <c r="K181" s="3" t="s">
        <v>3771</v>
      </c>
      <c r="L181" s="3" t="s">
        <v>4047</v>
      </c>
      <c r="M181" s="3" t="s">
        <v>4048</v>
      </c>
      <c r="N181" s="3" t="s">
        <v>1720</v>
      </c>
      <c r="O181" s="3" t="s">
        <v>4049</v>
      </c>
      <c r="P181" s="43" t="s">
        <v>4050</v>
      </c>
      <c r="Q181" s="3" t="s">
        <v>4051</v>
      </c>
      <c r="R181" s="3" t="s">
        <v>1701</v>
      </c>
      <c r="S181" s="3" t="s">
        <v>1701</v>
      </c>
      <c r="T181" s="3" t="s">
        <v>1701</v>
      </c>
      <c r="U181" s="3" t="s">
        <v>3134</v>
      </c>
      <c r="V181" s="3" t="s">
        <v>1701</v>
      </c>
      <c r="W181" s="3" t="s">
        <v>3854</v>
      </c>
      <c r="X181" s="3" t="s">
        <v>1701</v>
      </c>
    </row>
    <row r="182" spans="1:24" ht="42.75" customHeight="1" x14ac:dyDescent="0.25">
      <c r="A182" s="38" t="s">
        <v>3621</v>
      </c>
      <c r="B182" s="39" t="str">
        <f>IF($A182="","",IFERROR(INDEX(Références!$C$2:$C$201,MATCH($A182,Références!$A$2:$A$201,0)),""))</f>
        <v>ASTM International (2015)</v>
      </c>
      <c r="C182" s="39" t="str">
        <f>IF($A182="","",IFERROR(INDEX(Références!$D$2:$D$201,MATCH($A182,Références!$A$2:$A$201,0)),""))</f>
        <v>ASTM E1845 — Standard practice for calculating pavement macrotexture mean profile depth</v>
      </c>
      <c r="D182" s="40">
        <f>IF($A182="","",IFERROR(INDEX(Références!$G$2:$G$201,MATCH($A182,Références!$A$2:$A$201,0)),""))</f>
        <v>8</v>
      </c>
      <c r="E182" s="40" t="str">
        <f>IF($A182="","",IFERROR(INDEX(Références!$H$2:$H$201,MATCH($A182,Références!$A$2:$A$201,0)),""))</f>
        <v>A consulter</v>
      </c>
      <c r="F182" s="40">
        <f>IF($A182="","",IFERROR(INDEX(Références!$I$2:$I$201,MATCH($A182,Références!$A$2:$A$201,0)),""))</f>
        <v>6</v>
      </c>
      <c r="G182" s="40" t="str">
        <f>IF($A182="","",IFERROR(INDEX(Références!$F$2:$F$201,MATCH($A182,Références!$A$2:$A$201,0)),""))</f>
        <v>Non</v>
      </c>
      <c r="H182" s="40" t="str">
        <f>IF($A182="","",IFERROR(INDEX(Références!$J$2:$J$201,MATCH($A182,Références!$A$2:$A$201,0)),""))</f>
        <v>À lire</v>
      </c>
      <c r="I182" s="41" t="str">
        <f>IF($A182="","",IFERROR(IF(INDEX(Références!$AF$2:$AF$201,MATCH($A182,Références!$A$2:$A$201,0))="","",HYPERLINK(INDEX(Références!$AF$2:$AF$201,MATCH($A182,Références!$A$2:$A$201,0)),"Ouvrir")),""))</f>
        <v>Ouvrir</v>
      </c>
      <c r="J182" s="42" t="s">
        <v>1716</v>
      </c>
      <c r="K182" s="3" t="s">
        <v>3771</v>
      </c>
      <c r="L182" s="3" t="s">
        <v>4052</v>
      </c>
      <c r="M182" s="3" t="s">
        <v>4042</v>
      </c>
      <c r="N182" s="3" t="s">
        <v>1720</v>
      </c>
      <c r="O182" s="3" t="s">
        <v>4049</v>
      </c>
      <c r="P182" s="43" t="s">
        <v>4053</v>
      </c>
      <c r="Q182" s="3" t="s">
        <v>4054</v>
      </c>
      <c r="R182" s="3" t="s">
        <v>1701</v>
      </c>
      <c r="S182" s="3" t="s">
        <v>1701</v>
      </c>
      <c r="T182" s="3" t="s">
        <v>1701</v>
      </c>
      <c r="U182" s="3" t="s">
        <v>3134</v>
      </c>
      <c r="V182" s="3" t="s">
        <v>1701</v>
      </c>
      <c r="W182" s="3" t="s">
        <v>3854</v>
      </c>
      <c r="X182" s="3" t="s">
        <v>1701</v>
      </c>
    </row>
    <row r="183" spans="1:24" ht="42.75" customHeight="1" x14ac:dyDescent="0.25">
      <c r="A183" s="38" t="s">
        <v>3630</v>
      </c>
      <c r="B183" s="39" t="str">
        <f>IF($A183="","",IFERROR(INDEX(Références!$C$2:$C$201,MATCH($A183,Références!$A$2:$A$201,0)),""))</f>
        <v>ASTM International (2015)</v>
      </c>
      <c r="C183" s="39" t="str">
        <f>IF($A183="","",IFERROR(INDEX(Références!$D$2:$D$201,MATCH($A183,Références!$A$2:$A$201,0)),""))</f>
        <v>ASTM E965 — Standard test method for measuring pavement macrotexture depth using a volumetric technique</v>
      </c>
      <c r="D183" s="40">
        <f>IF($A183="","",IFERROR(INDEX(Références!$G$2:$G$201,MATCH($A183,Références!$A$2:$A$201,0)),""))</f>
        <v>8</v>
      </c>
      <c r="E183" s="40" t="str">
        <f>IF($A183="","",IFERROR(INDEX(Références!$H$2:$H$201,MATCH($A183,Références!$A$2:$A$201,0)),""))</f>
        <v>A consulter</v>
      </c>
      <c r="F183" s="40">
        <f>IF($A183="","",IFERROR(INDEX(Références!$I$2:$I$201,MATCH($A183,Références!$A$2:$A$201,0)),""))</f>
        <v>6</v>
      </c>
      <c r="G183" s="40" t="str">
        <f>IF($A183="","",IFERROR(INDEX(Références!$F$2:$F$201,MATCH($A183,Références!$A$2:$A$201,0)),""))</f>
        <v>Non</v>
      </c>
      <c r="H183" s="40" t="str">
        <f>IF($A183="","",IFERROR(INDEX(Références!$J$2:$J$201,MATCH($A183,Références!$A$2:$A$201,0)),""))</f>
        <v>À lire</v>
      </c>
      <c r="I183" s="41" t="str">
        <f>IF($A183="","",IFERROR(IF(INDEX(Références!$AF$2:$AF$201,MATCH($A183,Références!$A$2:$A$201,0))="","",HYPERLINK(INDEX(Références!$AF$2:$AF$201,MATCH($A183,Références!$A$2:$A$201,0)),"Ouvrir")),""))</f>
        <v>Ouvrir</v>
      </c>
      <c r="J183" s="42" t="s">
        <v>1716</v>
      </c>
      <c r="K183" s="3" t="s">
        <v>3771</v>
      </c>
      <c r="L183" s="3" t="s">
        <v>4055</v>
      </c>
      <c r="M183" s="3" t="s">
        <v>4056</v>
      </c>
      <c r="N183" s="3" t="s">
        <v>1720</v>
      </c>
      <c r="O183" s="3" t="s">
        <v>4049</v>
      </c>
      <c r="P183" s="43" t="s">
        <v>4057</v>
      </c>
      <c r="Q183" s="3" t="s">
        <v>1701</v>
      </c>
      <c r="R183" s="3" t="s">
        <v>1701</v>
      </c>
      <c r="S183" s="3" t="s">
        <v>1701</v>
      </c>
      <c r="T183" s="3" t="s">
        <v>1701</v>
      </c>
      <c r="U183" s="3" t="s">
        <v>3134</v>
      </c>
      <c r="V183" s="3" t="s">
        <v>1701</v>
      </c>
      <c r="W183" s="3" t="s">
        <v>3854</v>
      </c>
      <c r="X183" s="3" t="s">
        <v>2706</v>
      </c>
    </row>
    <row r="184" spans="1:24" x14ac:dyDescent="0.25">
      <c r="A184" s="44"/>
      <c r="B184" s="39" t="str">
        <f>IF($A184="","",IFERROR(INDEX(Références!$C$2:$C$201,MATCH($A184,Références!$A$2:$A$201,0)),""))</f>
        <v/>
      </c>
      <c r="C184" s="39" t="str">
        <f>IF($A184="","",IFERROR(INDEX(Références!$D$2:$D$201,MATCH($A184,Références!$A$2:$A$201,0)),""))</f>
        <v/>
      </c>
      <c r="D184" s="40" t="str">
        <f>IF($A184="","",IFERROR(INDEX(Références!$G$2:$G$201,MATCH($A184,Références!$A$2:$A$201,0)),""))</f>
        <v/>
      </c>
      <c r="E184" s="40" t="str">
        <f>IF($A184="","",IFERROR(INDEX(Références!$H$2:$H$201,MATCH($A184,Références!$A$2:$A$201,0)),""))</f>
        <v/>
      </c>
      <c r="F184" s="40" t="str">
        <f>IF($A184="","",IFERROR(INDEX(Références!$I$2:$I$201,MATCH($A184,Références!$A$2:$A$201,0)),""))</f>
        <v/>
      </c>
      <c r="G184" s="40" t="str">
        <f>IF($A184="","",IFERROR(INDEX(Références!$F$2:$F$201,MATCH($A184,Références!$A$2:$A$201,0)),""))</f>
        <v/>
      </c>
      <c r="H184" s="40" t="str">
        <f>IF($A184="","",IFERROR(INDEX(Références!$J$2:$J$201,MATCH($A184,Références!$A$2:$A$201,0)),""))</f>
        <v/>
      </c>
      <c r="I184" s="41" t="str">
        <f>IF($A184="","",IFERROR(IF(INDEX(Références!$AF$2:$AF$201,MATCH($A184,Références!$A$2:$A$201,0))="","",HYPERLINK(INDEX(Références!$AF$2:$AF$201,MATCH($A184,Références!$A$2:$A$201,0)),"Ouvrir")),""))</f>
        <v/>
      </c>
      <c r="J184" s="45"/>
      <c r="K184" s="45"/>
      <c r="L184" s="45"/>
      <c r="M184" s="45"/>
      <c r="N184" s="45"/>
      <c r="O184" s="45"/>
      <c r="P184" s="45"/>
      <c r="Q184" s="45"/>
      <c r="R184" s="45"/>
      <c r="S184" s="45"/>
      <c r="T184" s="45"/>
      <c r="U184" s="45"/>
      <c r="V184" s="45"/>
      <c r="W184" s="45"/>
      <c r="X184" s="45"/>
    </row>
    <row r="185" spans="1:24" x14ac:dyDescent="0.25">
      <c r="A185" s="44"/>
      <c r="B185" s="39" t="str">
        <f>IF($A185="","",IFERROR(INDEX(Références!$C$2:$C$201,MATCH($A185,Références!$A$2:$A$201,0)),""))</f>
        <v/>
      </c>
      <c r="C185" s="39" t="str">
        <f>IF($A185="","",IFERROR(INDEX(Références!$D$2:$D$201,MATCH($A185,Références!$A$2:$A$201,0)),""))</f>
        <v/>
      </c>
      <c r="D185" s="40" t="str">
        <f>IF($A185="","",IFERROR(INDEX(Références!$G$2:$G$201,MATCH($A185,Références!$A$2:$A$201,0)),""))</f>
        <v/>
      </c>
      <c r="E185" s="40" t="str">
        <f>IF($A185="","",IFERROR(INDEX(Références!$H$2:$H$201,MATCH($A185,Références!$A$2:$A$201,0)),""))</f>
        <v/>
      </c>
      <c r="F185" s="40" t="str">
        <f>IF($A185="","",IFERROR(INDEX(Références!$I$2:$I$201,MATCH($A185,Références!$A$2:$A$201,0)),""))</f>
        <v/>
      </c>
      <c r="G185" s="40" t="str">
        <f>IF($A185="","",IFERROR(INDEX(Références!$F$2:$F$201,MATCH($A185,Références!$A$2:$A$201,0)),""))</f>
        <v/>
      </c>
      <c r="H185" s="40" t="str">
        <f>IF($A185="","",IFERROR(INDEX(Références!$J$2:$J$201,MATCH($A185,Références!$A$2:$A$201,0)),""))</f>
        <v/>
      </c>
      <c r="I185" s="41" t="str">
        <f>IF($A185="","",IFERROR(IF(INDEX(Références!$AF$2:$AF$201,MATCH($A185,Références!$A$2:$A$201,0))="","",HYPERLINK(INDEX(Références!$AF$2:$AF$201,MATCH($A185,Références!$A$2:$A$201,0)),"Ouvrir")),""))</f>
        <v/>
      </c>
      <c r="J185" s="45"/>
      <c r="K185" s="45"/>
      <c r="L185" s="45"/>
      <c r="M185" s="45"/>
      <c r="N185" s="45"/>
      <c r="O185" s="45"/>
      <c r="P185" s="45"/>
      <c r="Q185" s="45"/>
      <c r="R185" s="45"/>
      <c r="S185" s="45"/>
      <c r="T185" s="45"/>
      <c r="U185" s="45"/>
      <c r="V185" s="45"/>
      <c r="W185" s="45"/>
      <c r="X185" s="45"/>
    </row>
    <row r="186" spans="1:24" x14ac:dyDescent="0.25">
      <c r="A186" s="44"/>
      <c r="B186" s="39" t="str">
        <f>IF($A186="","",IFERROR(INDEX(Références!$C$2:$C$201,MATCH($A186,Références!$A$2:$A$201,0)),""))</f>
        <v/>
      </c>
      <c r="C186" s="39" t="str">
        <f>IF($A186="","",IFERROR(INDEX(Références!$D$2:$D$201,MATCH($A186,Références!$A$2:$A$201,0)),""))</f>
        <v/>
      </c>
      <c r="D186" s="40" t="str">
        <f>IF($A186="","",IFERROR(INDEX(Références!$G$2:$G$201,MATCH($A186,Références!$A$2:$A$201,0)),""))</f>
        <v/>
      </c>
      <c r="E186" s="40" t="str">
        <f>IF($A186="","",IFERROR(INDEX(Références!$H$2:$H$201,MATCH($A186,Références!$A$2:$A$201,0)),""))</f>
        <v/>
      </c>
      <c r="F186" s="40" t="str">
        <f>IF($A186="","",IFERROR(INDEX(Références!$I$2:$I$201,MATCH($A186,Références!$A$2:$A$201,0)),""))</f>
        <v/>
      </c>
      <c r="G186" s="40" t="str">
        <f>IF($A186="","",IFERROR(INDEX(Références!$F$2:$F$201,MATCH($A186,Références!$A$2:$A$201,0)),""))</f>
        <v/>
      </c>
      <c r="H186" s="40" t="str">
        <f>IF($A186="","",IFERROR(INDEX(Références!$J$2:$J$201,MATCH($A186,Références!$A$2:$A$201,0)),""))</f>
        <v/>
      </c>
      <c r="I186" s="41" t="str">
        <f>IF($A186="","",IFERROR(IF(INDEX(Références!$AF$2:$AF$201,MATCH($A186,Références!$A$2:$A$201,0))="","",HYPERLINK(INDEX(Références!$AF$2:$AF$201,MATCH($A186,Références!$A$2:$A$201,0)),"Ouvrir")),""))</f>
        <v/>
      </c>
      <c r="J186" s="45"/>
      <c r="K186" s="45"/>
      <c r="L186" s="45"/>
      <c r="M186" s="45"/>
      <c r="N186" s="45"/>
      <c r="O186" s="45"/>
      <c r="P186" s="45"/>
      <c r="Q186" s="45"/>
      <c r="R186" s="45"/>
      <c r="S186" s="45"/>
      <c r="T186" s="45"/>
      <c r="U186" s="45"/>
      <c r="V186" s="45"/>
      <c r="W186" s="45"/>
      <c r="X186" s="45"/>
    </row>
    <row r="187" spans="1:24" x14ac:dyDescent="0.25">
      <c r="A187" s="44"/>
      <c r="B187" s="39" t="str">
        <f>IF($A187="","",IFERROR(INDEX(Références!$C$2:$C$201,MATCH($A187,Références!$A$2:$A$201,0)),""))</f>
        <v/>
      </c>
      <c r="C187" s="39" t="str">
        <f>IF($A187="","",IFERROR(INDEX(Références!$D$2:$D$201,MATCH($A187,Références!$A$2:$A$201,0)),""))</f>
        <v/>
      </c>
      <c r="D187" s="40" t="str">
        <f>IF($A187="","",IFERROR(INDEX(Références!$G$2:$G$201,MATCH($A187,Références!$A$2:$A$201,0)),""))</f>
        <v/>
      </c>
      <c r="E187" s="40" t="str">
        <f>IF($A187="","",IFERROR(INDEX(Références!$H$2:$H$201,MATCH($A187,Références!$A$2:$A$201,0)),""))</f>
        <v/>
      </c>
      <c r="F187" s="40" t="str">
        <f>IF($A187="","",IFERROR(INDEX(Références!$I$2:$I$201,MATCH($A187,Références!$A$2:$A$201,0)),""))</f>
        <v/>
      </c>
      <c r="G187" s="40" t="str">
        <f>IF($A187="","",IFERROR(INDEX(Références!$F$2:$F$201,MATCH($A187,Références!$A$2:$A$201,0)),""))</f>
        <v/>
      </c>
      <c r="H187" s="40" t="str">
        <f>IF($A187="","",IFERROR(INDEX(Références!$J$2:$J$201,MATCH($A187,Références!$A$2:$A$201,0)),""))</f>
        <v/>
      </c>
      <c r="I187" s="41" t="str">
        <f>IF($A187="","",IFERROR(IF(INDEX(Références!$AF$2:$AF$201,MATCH($A187,Références!$A$2:$A$201,0))="","",HYPERLINK(INDEX(Références!$AF$2:$AF$201,MATCH($A187,Références!$A$2:$A$201,0)),"Ouvrir")),""))</f>
        <v/>
      </c>
      <c r="J187" s="45"/>
      <c r="K187" s="45"/>
      <c r="L187" s="45"/>
      <c r="M187" s="45"/>
      <c r="N187" s="45"/>
      <c r="O187" s="45"/>
      <c r="P187" s="45"/>
      <c r="Q187" s="45"/>
      <c r="R187" s="45"/>
      <c r="S187" s="45"/>
      <c r="T187" s="45"/>
      <c r="U187" s="45"/>
      <c r="V187" s="45"/>
      <c r="W187" s="45"/>
      <c r="X187" s="45"/>
    </row>
    <row r="188" spans="1:24" x14ac:dyDescent="0.25">
      <c r="A188" s="44"/>
      <c r="B188" s="39" t="str">
        <f>IF($A188="","",IFERROR(INDEX(Références!$C$2:$C$201,MATCH($A188,Références!$A$2:$A$201,0)),""))</f>
        <v/>
      </c>
      <c r="C188" s="39" t="str">
        <f>IF($A188="","",IFERROR(INDEX(Références!$D$2:$D$201,MATCH($A188,Références!$A$2:$A$201,0)),""))</f>
        <v/>
      </c>
      <c r="D188" s="40" t="str">
        <f>IF($A188="","",IFERROR(INDEX(Références!$G$2:$G$201,MATCH($A188,Références!$A$2:$A$201,0)),""))</f>
        <v/>
      </c>
      <c r="E188" s="40" t="str">
        <f>IF($A188="","",IFERROR(INDEX(Références!$H$2:$H$201,MATCH($A188,Références!$A$2:$A$201,0)),""))</f>
        <v/>
      </c>
      <c r="F188" s="40" t="str">
        <f>IF($A188="","",IFERROR(INDEX(Références!$I$2:$I$201,MATCH($A188,Références!$A$2:$A$201,0)),""))</f>
        <v/>
      </c>
      <c r="G188" s="40" t="str">
        <f>IF($A188="","",IFERROR(INDEX(Références!$F$2:$F$201,MATCH($A188,Références!$A$2:$A$201,0)),""))</f>
        <v/>
      </c>
      <c r="H188" s="40" t="str">
        <f>IF($A188="","",IFERROR(INDEX(Références!$J$2:$J$201,MATCH($A188,Références!$A$2:$A$201,0)),""))</f>
        <v/>
      </c>
      <c r="I188" s="41" t="str">
        <f>IF($A188="","",IFERROR(IF(INDEX(Références!$AF$2:$AF$201,MATCH($A188,Références!$A$2:$A$201,0))="","",HYPERLINK(INDEX(Références!$AF$2:$AF$201,MATCH($A188,Références!$A$2:$A$201,0)),"Ouvrir")),""))</f>
        <v/>
      </c>
      <c r="J188" s="45"/>
      <c r="K188" s="45"/>
      <c r="L188" s="45"/>
      <c r="M188" s="45"/>
      <c r="N188" s="45"/>
      <c r="O188" s="45"/>
      <c r="P188" s="45"/>
      <c r="Q188" s="45"/>
      <c r="R188" s="45"/>
      <c r="S188" s="45"/>
      <c r="T188" s="45"/>
      <c r="U188" s="45"/>
      <c r="V188" s="45"/>
      <c r="W188" s="45"/>
      <c r="X188" s="45"/>
    </row>
    <row r="189" spans="1:24" x14ac:dyDescent="0.25">
      <c r="A189" s="44"/>
      <c r="B189" s="39" t="str">
        <f>IF($A189="","",IFERROR(INDEX(Références!$C$2:$C$201,MATCH($A189,Références!$A$2:$A$201,0)),""))</f>
        <v/>
      </c>
      <c r="C189" s="39" t="str">
        <f>IF($A189="","",IFERROR(INDEX(Références!$D$2:$D$201,MATCH($A189,Références!$A$2:$A$201,0)),""))</f>
        <v/>
      </c>
      <c r="D189" s="40" t="str">
        <f>IF($A189="","",IFERROR(INDEX(Références!$G$2:$G$201,MATCH($A189,Références!$A$2:$A$201,0)),""))</f>
        <v/>
      </c>
      <c r="E189" s="40" t="str">
        <f>IF($A189="","",IFERROR(INDEX(Références!$H$2:$H$201,MATCH($A189,Références!$A$2:$A$201,0)),""))</f>
        <v/>
      </c>
      <c r="F189" s="40" t="str">
        <f>IF($A189="","",IFERROR(INDEX(Références!$I$2:$I$201,MATCH($A189,Références!$A$2:$A$201,0)),""))</f>
        <v/>
      </c>
      <c r="G189" s="40" t="str">
        <f>IF($A189="","",IFERROR(INDEX(Références!$F$2:$F$201,MATCH($A189,Références!$A$2:$A$201,0)),""))</f>
        <v/>
      </c>
      <c r="H189" s="40" t="str">
        <f>IF($A189="","",IFERROR(INDEX(Références!$J$2:$J$201,MATCH($A189,Références!$A$2:$A$201,0)),""))</f>
        <v/>
      </c>
      <c r="I189" s="41" t="str">
        <f>IF($A189="","",IFERROR(IF(INDEX(Références!$AF$2:$AF$201,MATCH($A189,Références!$A$2:$A$201,0))="","",HYPERLINK(INDEX(Références!$AF$2:$AF$201,MATCH($A189,Références!$A$2:$A$201,0)),"Ouvrir")),""))</f>
        <v/>
      </c>
      <c r="J189" s="45"/>
      <c r="K189" s="45"/>
      <c r="L189" s="45"/>
      <c r="M189" s="45"/>
      <c r="N189" s="45"/>
      <c r="O189" s="45"/>
      <c r="P189" s="45"/>
      <c r="Q189" s="45"/>
      <c r="R189" s="45"/>
      <c r="S189" s="45"/>
      <c r="T189" s="45"/>
      <c r="U189" s="45"/>
      <c r="V189" s="45"/>
      <c r="W189" s="45"/>
      <c r="X189" s="45"/>
    </row>
    <row r="190" spans="1:24" x14ac:dyDescent="0.25">
      <c r="A190" s="44"/>
      <c r="B190" s="39" t="str">
        <f>IF($A190="","",IFERROR(INDEX(Références!$C$2:$C$201,MATCH($A190,Références!$A$2:$A$201,0)),""))</f>
        <v/>
      </c>
      <c r="C190" s="39" t="str">
        <f>IF($A190="","",IFERROR(INDEX(Références!$D$2:$D$201,MATCH($A190,Références!$A$2:$A$201,0)),""))</f>
        <v/>
      </c>
      <c r="D190" s="40" t="str">
        <f>IF($A190="","",IFERROR(INDEX(Références!$G$2:$G$201,MATCH($A190,Références!$A$2:$A$201,0)),""))</f>
        <v/>
      </c>
      <c r="E190" s="40" t="str">
        <f>IF($A190="","",IFERROR(INDEX(Références!$H$2:$H$201,MATCH($A190,Références!$A$2:$A$201,0)),""))</f>
        <v/>
      </c>
      <c r="F190" s="40" t="str">
        <f>IF($A190="","",IFERROR(INDEX(Références!$I$2:$I$201,MATCH($A190,Références!$A$2:$A$201,0)),""))</f>
        <v/>
      </c>
      <c r="G190" s="40" t="str">
        <f>IF($A190="","",IFERROR(INDEX(Références!$F$2:$F$201,MATCH($A190,Références!$A$2:$A$201,0)),""))</f>
        <v/>
      </c>
      <c r="H190" s="40" t="str">
        <f>IF($A190="","",IFERROR(INDEX(Références!$J$2:$J$201,MATCH($A190,Références!$A$2:$A$201,0)),""))</f>
        <v/>
      </c>
      <c r="I190" s="41" t="str">
        <f>IF($A190="","",IFERROR(IF(INDEX(Références!$AF$2:$AF$201,MATCH($A190,Références!$A$2:$A$201,0))="","",HYPERLINK(INDEX(Références!$AF$2:$AF$201,MATCH($A190,Références!$A$2:$A$201,0)),"Ouvrir")),""))</f>
        <v/>
      </c>
      <c r="J190" s="45"/>
      <c r="K190" s="45"/>
      <c r="L190" s="45"/>
      <c r="M190" s="45"/>
      <c r="N190" s="45"/>
      <c r="O190" s="45"/>
      <c r="P190" s="45"/>
      <c r="Q190" s="45"/>
      <c r="R190" s="45"/>
      <c r="S190" s="45"/>
      <c r="T190" s="45"/>
      <c r="U190" s="45"/>
      <c r="V190" s="45"/>
      <c r="W190" s="45"/>
      <c r="X190" s="45"/>
    </row>
    <row r="191" spans="1:24" x14ac:dyDescent="0.25">
      <c r="A191" s="44"/>
      <c r="B191" s="39" t="str">
        <f>IF($A191="","",IFERROR(INDEX(Références!$C$2:$C$201,MATCH($A191,Références!$A$2:$A$201,0)),""))</f>
        <v/>
      </c>
      <c r="C191" s="39" t="str">
        <f>IF($A191="","",IFERROR(INDEX(Références!$D$2:$D$201,MATCH($A191,Références!$A$2:$A$201,0)),""))</f>
        <v/>
      </c>
      <c r="D191" s="40" t="str">
        <f>IF($A191="","",IFERROR(INDEX(Références!$G$2:$G$201,MATCH($A191,Références!$A$2:$A$201,0)),""))</f>
        <v/>
      </c>
      <c r="E191" s="40" t="str">
        <f>IF($A191="","",IFERROR(INDEX(Références!$H$2:$H$201,MATCH($A191,Références!$A$2:$A$201,0)),""))</f>
        <v/>
      </c>
      <c r="F191" s="40" t="str">
        <f>IF($A191="","",IFERROR(INDEX(Références!$I$2:$I$201,MATCH($A191,Références!$A$2:$A$201,0)),""))</f>
        <v/>
      </c>
      <c r="G191" s="40" t="str">
        <f>IF($A191="","",IFERROR(INDEX(Références!$F$2:$F$201,MATCH($A191,Références!$A$2:$A$201,0)),""))</f>
        <v/>
      </c>
      <c r="H191" s="40" t="str">
        <f>IF($A191="","",IFERROR(INDEX(Références!$J$2:$J$201,MATCH($A191,Références!$A$2:$A$201,0)),""))</f>
        <v/>
      </c>
      <c r="I191" s="41" t="str">
        <f>IF($A191="","",IFERROR(IF(INDEX(Références!$AF$2:$AF$201,MATCH($A191,Références!$A$2:$A$201,0))="","",HYPERLINK(INDEX(Références!$AF$2:$AF$201,MATCH($A191,Références!$A$2:$A$201,0)),"Ouvrir")),""))</f>
        <v/>
      </c>
      <c r="J191" s="45"/>
      <c r="K191" s="45"/>
      <c r="L191" s="45"/>
      <c r="M191" s="45"/>
      <c r="N191" s="45"/>
      <c r="O191" s="45"/>
      <c r="P191" s="45"/>
      <c r="Q191" s="45"/>
      <c r="R191" s="45"/>
      <c r="S191" s="45"/>
      <c r="T191" s="45"/>
      <c r="U191" s="45"/>
      <c r="V191" s="45"/>
      <c r="W191" s="45"/>
      <c r="X191" s="45"/>
    </row>
    <row r="192" spans="1:24" x14ac:dyDescent="0.25">
      <c r="A192" s="44"/>
      <c r="B192" s="39" t="str">
        <f>IF($A192="","",IFERROR(INDEX(Références!$C$2:$C$201,MATCH($A192,Références!$A$2:$A$201,0)),""))</f>
        <v/>
      </c>
      <c r="C192" s="39" t="str">
        <f>IF($A192="","",IFERROR(INDEX(Références!$D$2:$D$201,MATCH($A192,Références!$A$2:$A$201,0)),""))</f>
        <v/>
      </c>
      <c r="D192" s="40" t="str">
        <f>IF($A192="","",IFERROR(INDEX(Références!$G$2:$G$201,MATCH($A192,Références!$A$2:$A$201,0)),""))</f>
        <v/>
      </c>
      <c r="E192" s="40" t="str">
        <f>IF($A192="","",IFERROR(INDEX(Références!$H$2:$H$201,MATCH($A192,Références!$A$2:$A$201,0)),""))</f>
        <v/>
      </c>
      <c r="F192" s="40" t="str">
        <f>IF($A192="","",IFERROR(INDEX(Références!$I$2:$I$201,MATCH($A192,Références!$A$2:$A$201,0)),""))</f>
        <v/>
      </c>
      <c r="G192" s="40" t="str">
        <f>IF($A192="","",IFERROR(INDEX(Références!$F$2:$F$201,MATCH($A192,Références!$A$2:$A$201,0)),""))</f>
        <v/>
      </c>
      <c r="H192" s="40" t="str">
        <f>IF($A192="","",IFERROR(INDEX(Références!$J$2:$J$201,MATCH($A192,Références!$A$2:$A$201,0)),""))</f>
        <v/>
      </c>
      <c r="I192" s="41" t="str">
        <f>IF($A192="","",IFERROR(IF(INDEX(Références!$AF$2:$AF$201,MATCH($A192,Références!$A$2:$A$201,0))="","",HYPERLINK(INDEX(Références!$AF$2:$AF$201,MATCH($A192,Références!$A$2:$A$201,0)),"Ouvrir")),""))</f>
        <v/>
      </c>
      <c r="J192" s="45"/>
      <c r="K192" s="45"/>
      <c r="L192" s="45"/>
      <c r="M192" s="45"/>
      <c r="N192" s="45"/>
      <c r="O192" s="45"/>
      <c r="P192" s="45"/>
      <c r="Q192" s="45"/>
      <c r="R192" s="45"/>
      <c r="S192" s="45"/>
      <c r="T192" s="45"/>
      <c r="U192" s="45"/>
      <c r="V192" s="45"/>
      <c r="W192" s="45"/>
      <c r="X192" s="45"/>
    </row>
    <row r="193" spans="1:24" x14ac:dyDescent="0.25">
      <c r="A193" s="44"/>
      <c r="B193" s="39" t="str">
        <f>IF($A193="","",IFERROR(INDEX(Références!$C$2:$C$201,MATCH($A193,Références!$A$2:$A$201,0)),""))</f>
        <v/>
      </c>
      <c r="C193" s="39" t="str">
        <f>IF($A193="","",IFERROR(INDEX(Références!$D$2:$D$201,MATCH($A193,Références!$A$2:$A$201,0)),""))</f>
        <v/>
      </c>
      <c r="D193" s="40" t="str">
        <f>IF($A193="","",IFERROR(INDEX(Références!$G$2:$G$201,MATCH($A193,Références!$A$2:$A$201,0)),""))</f>
        <v/>
      </c>
      <c r="E193" s="40" t="str">
        <f>IF($A193="","",IFERROR(INDEX(Références!$H$2:$H$201,MATCH($A193,Références!$A$2:$A$201,0)),""))</f>
        <v/>
      </c>
      <c r="F193" s="40" t="str">
        <f>IF($A193="","",IFERROR(INDEX(Références!$I$2:$I$201,MATCH($A193,Références!$A$2:$A$201,0)),""))</f>
        <v/>
      </c>
      <c r="G193" s="40" t="str">
        <f>IF($A193="","",IFERROR(INDEX(Références!$F$2:$F$201,MATCH($A193,Références!$A$2:$A$201,0)),""))</f>
        <v/>
      </c>
      <c r="H193" s="40" t="str">
        <f>IF($A193="","",IFERROR(INDEX(Références!$J$2:$J$201,MATCH($A193,Références!$A$2:$A$201,0)),""))</f>
        <v/>
      </c>
      <c r="I193" s="41" t="str">
        <f>IF($A193="","",IFERROR(IF(INDEX(Références!$AF$2:$AF$201,MATCH($A193,Références!$A$2:$A$201,0))="","",HYPERLINK(INDEX(Références!$AF$2:$AF$201,MATCH($A193,Références!$A$2:$A$201,0)),"Ouvrir")),""))</f>
        <v/>
      </c>
      <c r="J193" s="45"/>
      <c r="K193" s="45"/>
      <c r="L193" s="45"/>
      <c r="M193" s="45"/>
      <c r="N193" s="45"/>
      <c r="O193" s="45"/>
      <c r="P193" s="45"/>
      <c r="Q193" s="45"/>
      <c r="R193" s="45"/>
      <c r="S193" s="45"/>
      <c r="T193" s="45"/>
      <c r="U193" s="45"/>
      <c r="V193" s="45"/>
      <c r="W193" s="45"/>
      <c r="X193" s="45"/>
    </row>
    <row r="194" spans="1:24" x14ac:dyDescent="0.25">
      <c r="A194" s="44"/>
      <c r="B194" s="39" t="str">
        <f>IF($A194="","",IFERROR(INDEX(Références!$C$2:$C$201,MATCH($A194,Références!$A$2:$A$201,0)),""))</f>
        <v/>
      </c>
      <c r="C194" s="39" t="str">
        <f>IF($A194="","",IFERROR(INDEX(Références!$D$2:$D$201,MATCH($A194,Références!$A$2:$A$201,0)),""))</f>
        <v/>
      </c>
      <c r="D194" s="40" t="str">
        <f>IF($A194="","",IFERROR(INDEX(Références!$G$2:$G$201,MATCH($A194,Références!$A$2:$A$201,0)),""))</f>
        <v/>
      </c>
      <c r="E194" s="40" t="str">
        <f>IF($A194="","",IFERROR(INDEX(Références!$H$2:$H$201,MATCH($A194,Références!$A$2:$A$201,0)),""))</f>
        <v/>
      </c>
      <c r="F194" s="40" t="str">
        <f>IF($A194="","",IFERROR(INDEX(Références!$I$2:$I$201,MATCH($A194,Références!$A$2:$A$201,0)),""))</f>
        <v/>
      </c>
      <c r="G194" s="40" t="str">
        <f>IF($A194="","",IFERROR(INDEX(Références!$F$2:$F$201,MATCH($A194,Références!$A$2:$A$201,0)),""))</f>
        <v/>
      </c>
      <c r="H194" s="40" t="str">
        <f>IF($A194="","",IFERROR(INDEX(Références!$J$2:$J$201,MATCH($A194,Références!$A$2:$A$201,0)),""))</f>
        <v/>
      </c>
      <c r="I194" s="41" t="str">
        <f>IF($A194="","",IFERROR(IF(INDEX(Références!$AF$2:$AF$201,MATCH($A194,Références!$A$2:$A$201,0))="","",HYPERLINK(INDEX(Références!$AF$2:$AF$201,MATCH($A194,Références!$A$2:$A$201,0)),"Ouvrir")),""))</f>
        <v/>
      </c>
      <c r="J194" s="45"/>
      <c r="K194" s="45"/>
      <c r="L194" s="45"/>
      <c r="M194" s="45"/>
      <c r="N194" s="45"/>
      <c r="O194" s="45"/>
      <c r="P194" s="45"/>
      <c r="Q194" s="45"/>
      <c r="R194" s="45"/>
      <c r="S194" s="45"/>
      <c r="T194" s="45"/>
      <c r="U194" s="45"/>
      <c r="V194" s="45"/>
      <c r="W194" s="45"/>
      <c r="X194" s="45"/>
    </row>
    <row r="195" spans="1:24" x14ac:dyDescent="0.25">
      <c r="A195" s="44"/>
      <c r="B195" s="39" t="str">
        <f>IF($A195="","",IFERROR(INDEX(Références!$C$2:$C$201,MATCH($A195,Références!$A$2:$A$201,0)),""))</f>
        <v/>
      </c>
      <c r="C195" s="39" t="str">
        <f>IF($A195="","",IFERROR(INDEX(Références!$D$2:$D$201,MATCH($A195,Références!$A$2:$A$201,0)),""))</f>
        <v/>
      </c>
      <c r="D195" s="40" t="str">
        <f>IF($A195="","",IFERROR(INDEX(Références!$G$2:$G$201,MATCH($A195,Références!$A$2:$A$201,0)),""))</f>
        <v/>
      </c>
      <c r="E195" s="40" t="str">
        <f>IF($A195="","",IFERROR(INDEX(Références!$H$2:$H$201,MATCH($A195,Références!$A$2:$A$201,0)),""))</f>
        <v/>
      </c>
      <c r="F195" s="40" t="str">
        <f>IF($A195="","",IFERROR(INDEX(Références!$I$2:$I$201,MATCH($A195,Références!$A$2:$A$201,0)),""))</f>
        <v/>
      </c>
      <c r="G195" s="40" t="str">
        <f>IF($A195="","",IFERROR(INDEX(Références!$F$2:$F$201,MATCH($A195,Références!$A$2:$A$201,0)),""))</f>
        <v/>
      </c>
      <c r="H195" s="40" t="str">
        <f>IF($A195="","",IFERROR(INDEX(Références!$J$2:$J$201,MATCH($A195,Références!$A$2:$A$201,0)),""))</f>
        <v/>
      </c>
      <c r="I195" s="41" t="str">
        <f>IF($A195="","",IFERROR(IF(INDEX(Références!$AF$2:$AF$201,MATCH($A195,Références!$A$2:$A$201,0))="","",HYPERLINK(INDEX(Références!$AF$2:$AF$201,MATCH($A195,Références!$A$2:$A$201,0)),"Ouvrir")),""))</f>
        <v/>
      </c>
      <c r="J195" s="45"/>
      <c r="K195" s="45"/>
      <c r="L195" s="45"/>
      <c r="M195" s="45"/>
      <c r="N195" s="45"/>
      <c r="O195" s="45"/>
      <c r="P195" s="45"/>
      <c r="Q195" s="45"/>
      <c r="R195" s="45"/>
      <c r="S195" s="45"/>
      <c r="T195" s="45"/>
      <c r="U195" s="45"/>
      <c r="V195" s="45"/>
      <c r="W195" s="45"/>
      <c r="X195" s="45"/>
    </row>
    <row r="196" spans="1:24" x14ac:dyDescent="0.25">
      <c r="A196" s="44"/>
      <c r="B196" s="39" t="str">
        <f>IF($A196="","",IFERROR(INDEX(Références!$C$2:$C$201,MATCH($A196,Références!$A$2:$A$201,0)),""))</f>
        <v/>
      </c>
      <c r="C196" s="39" t="str">
        <f>IF($A196="","",IFERROR(INDEX(Références!$D$2:$D$201,MATCH($A196,Références!$A$2:$A$201,0)),""))</f>
        <v/>
      </c>
      <c r="D196" s="40" t="str">
        <f>IF($A196="","",IFERROR(INDEX(Références!$G$2:$G$201,MATCH($A196,Références!$A$2:$A$201,0)),""))</f>
        <v/>
      </c>
      <c r="E196" s="40" t="str">
        <f>IF($A196="","",IFERROR(INDEX(Références!$H$2:$H$201,MATCH($A196,Références!$A$2:$A$201,0)),""))</f>
        <v/>
      </c>
      <c r="F196" s="40" t="str">
        <f>IF($A196="","",IFERROR(INDEX(Références!$I$2:$I$201,MATCH($A196,Références!$A$2:$A$201,0)),""))</f>
        <v/>
      </c>
      <c r="G196" s="40" t="str">
        <f>IF($A196="","",IFERROR(INDEX(Références!$F$2:$F$201,MATCH($A196,Références!$A$2:$A$201,0)),""))</f>
        <v/>
      </c>
      <c r="H196" s="40" t="str">
        <f>IF($A196="","",IFERROR(INDEX(Références!$J$2:$J$201,MATCH($A196,Références!$A$2:$A$201,0)),""))</f>
        <v/>
      </c>
      <c r="I196" s="41" t="str">
        <f>IF($A196="","",IFERROR(IF(INDEX(Références!$AF$2:$AF$201,MATCH($A196,Références!$A$2:$A$201,0))="","",HYPERLINK(INDEX(Références!$AF$2:$AF$201,MATCH($A196,Références!$A$2:$A$201,0)),"Ouvrir")),""))</f>
        <v/>
      </c>
      <c r="J196" s="45"/>
      <c r="K196" s="45"/>
      <c r="L196" s="45"/>
      <c r="M196" s="45"/>
      <c r="N196" s="45"/>
      <c r="O196" s="45"/>
      <c r="P196" s="45"/>
      <c r="Q196" s="45"/>
      <c r="R196" s="45"/>
      <c r="S196" s="45"/>
      <c r="T196" s="45"/>
      <c r="U196" s="45"/>
      <c r="V196" s="45"/>
      <c r="W196" s="45"/>
      <c r="X196" s="45"/>
    </row>
    <row r="197" spans="1:24" x14ac:dyDescent="0.25">
      <c r="A197" s="44"/>
      <c r="B197" s="39" t="str">
        <f>IF($A197="","",IFERROR(INDEX(Références!$C$2:$C$201,MATCH($A197,Références!$A$2:$A$201,0)),""))</f>
        <v/>
      </c>
      <c r="C197" s="39" t="str">
        <f>IF($A197="","",IFERROR(INDEX(Références!$D$2:$D$201,MATCH($A197,Références!$A$2:$A$201,0)),""))</f>
        <v/>
      </c>
      <c r="D197" s="40" t="str">
        <f>IF($A197="","",IFERROR(INDEX(Références!$G$2:$G$201,MATCH($A197,Références!$A$2:$A$201,0)),""))</f>
        <v/>
      </c>
      <c r="E197" s="40" t="str">
        <f>IF($A197="","",IFERROR(INDEX(Références!$H$2:$H$201,MATCH($A197,Références!$A$2:$A$201,0)),""))</f>
        <v/>
      </c>
      <c r="F197" s="40" t="str">
        <f>IF($A197="","",IFERROR(INDEX(Références!$I$2:$I$201,MATCH($A197,Références!$A$2:$A$201,0)),""))</f>
        <v/>
      </c>
      <c r="G197" s="40" t="str">
        <f>IF($A197="","",IFERROR(INDEX(Références!$F$2:$F$201,MATCH($A197,Références!$A$2:$A$201,0)),""))</f>
        <v/>
      </c>
      <c r="H197" s="40" t="str">
        <f>IF($A197="","",IFERROR(INDEX(Références!$J$2:$J$201,MATCH($A197,Références!$A$2:$A$201,0)),""))</f>
        <v/>
      </c>
      <c r="I197" s="41" t="str">
        <f>IF($A197="","",IFERROR(IF(INDEX(Références!$AF$2:$AF$201,MATCH($A197,Références!$A$2:$A$201,0))="","",HYPERLINK(INDEX(Références!$AF$2:$AF$201,MATCH($A197,Références!$A$2:$A$201,0)),"Ouvrir")),""))</f>
        <v/>
      </c>
      <c r="J197" s="45"/>
      <c r="K197" s="45"/>
      <c r="L197" s="45"/>
      <c r="M197" s="45"/>
      <c r="N197" s="45"/>
      <c r="O197" s="45"/>
      <c r="P197" s="45"/>
      <c r="Q197" s="45"/>
      <c r="R197" s="45"/>
      <c r="S197" s="45"/>
      <c r="T197" s="45"/>
      <c r="U197" s="45"/>
      <c r="V197" s="45"/>
      <c r="W197" s="45"/>
      <c r="X197" s="45"/>
    </row>
    <row r="198" spans="1:24" x14ac:dyDescent="0.25">
      <c r="A198" s="44"/>
      <c r="B198" s="39" t="str">
        <f>IF($A198="","",IFERROR(INDEX(Références!$C$2:$C$201,MATCH($A198,Références!$A$2:$A$201,0)),""))</f>
        <v/>
      </c>
      <c r="C198" s="39" t="str">
        <f>IF($A198="","",IFERROR(INDEX(Références!$D$2:$D$201,MATCH($A198,Références!$A$2:$A$201,0)),""))</f>
        <v/>
      </c>
      <c r="D198" s="40" t="str">
        <f>IF($A198="","",IFERROR(INDEX(Références!$G$2:$G$201,MATCH($A198,Références!$A$2:$A$201,0)),""))</f>
        <v/>
      </c>
      <c r="E198" s="40" t="str">
        <f>IF($A198="","",IFERROR(INDEX(Références!$H$2:$H$201,MATCH($A198,Références!$A$2:$A$201,0)),""))</f>
        <v/>
      </c>
      <c r="F198" s="40" t="str">
        <f>IF($A198="","",IFERROR(INDEX(Références!$I$2:$I$201,MATCH($A198,Références!$A$2:$A$201,0)),""))</f>
        <v/>
      </c>
      <c r="G198" s="40" t="str">
        <f>IF($A198="","",IFERROR(INDEX(Références!$F$2:$F$201,MATCH($A198,Références!$A$2:$A$201,0)),""))</f>
        <v/>
      </c>
      <c r="H198" s="40" t="str">
        <f>IF($A198="","",IFERROR(INDEX(Références!$J$2:$J$201,MATCH($A198,Références!$A$2:$A$201,0)),""))</f>
        <v/>
      </c>
      <c r="I198" s="41" t="str">
        <f>IF($A198="","",IFERROR(IF(INDEX(Références!$AF$2:$AF$201,MATCH($A198,Références!$A$2:$A$201,0))="","",HYPERLINK(INDEX(Références!$AF$2:$AF$201,MATCH($A198,Références!$A$2:$A$201,0)),"Ouvrir")),""))</f>
        <v/>
      </c>
      <c r="J198" s="45"/>
      <c r="K198" s="45"/>
      <c r="L198" s="45"/>
      <c r="M198" s="45"/>
      <c r="N198" s="45"/>
      <c r="O198" s="45"/>
      <c r="P198" s="45"/>
      <c r="Q198" s="45"/>
      <c r="R198" s="45"/>
      <c r="S198" s="45"/>
      <c r="T198" s="45"/>
      <c r="U198" s="45"/>
      <c r="V198" s="45"/>
      <c r="W198" s="45"/>
      <c r="X198" s="45"/>
    </row>
    <row r="199" spans="1:24" x14ac:dyDescent="0.25">
      <c r="A199" s="44"/>
      <c r="B199" s="39" t="str">
        <f>IF($A199="","",IFERROR(INDEX(Références!$C$2:$C$201,MATCH($A199,Références!$A$2:$A$201,0)),""))</f>
        <v/>
      </c>
      <c r="C199" s="39" t="str">
        <f>IF($A199="","",IFERROR(INDEX(Références!$D$2:$D$201,MATCH($A199,Références!$A$2:$A$201,0)),""))</f>
        <v/>
      </c>
      <c r="D199" s="40" t="str">
        <f>IF($A199="","",IFERROR(INDEX(Références!$G$2:$G$201,MATCH($A199,Références!$A$2:$A$201,0)),""))</f>
        <v/>
      </c>
      <c r="E199" s="40" t="str">
        <f>IF($A199="","",IFERROR(INDEX(Références!$H$2:$H$201,MATCH($A199,Références!$A$2:$A$201,0)),""))</f>
        <v/>
      </c>
      <c r="F199" s="40" t="str">
        <f>IF($A199="","",IFERROR(INDEX(Références!$I$2:$I$201,MATCH($A199,Références!$A$2:$A$201,0)),""))</f>
        <v/>
      </c>
      <c r="G199" s="40" t="str">
        <f>IF($A199="","",IFERROR(INDEX(Références!$F$2:$F$201,MATCH($A199,Références!$A$2:$A$201,0)),""))</f>
        <v/>
      </c>
      <c r="H199" s="40" t="str">
        <f>IF($A199="","",IFERROR(INDEX(Références!$J$2:$J$201,MATCH($A199,Références!$A$2:$A$201,0)),""))</f>
        <v/>
      </c>
      <c r="I199" s="41" t="str">
        <f>IF($A199="","",IFERROR(IF(INDEX(Références!$AF$2:$AF$201,MATCH($A199,Références!$A$2:$A$201,0))="","",HYPERLINK(INDEX(Références!$AF$2:$AF$201,MATCH($A199,Références!$A$2:$A$201,0)),"Ouvrir")),""))</f>
        <v/>
      </c>
      <c r="J199" s="45"/>
      <c r="K199" s="45"/>
      <c r="L199" s="45"/>
      <c r="M199" s="45"/>
      <c r="N199" s="45"/>
      <c r="O199" s="45"/>
      <c r="P199" s="45"/>
      <c r="Q199" s="45"/>
      <c r="R199" s="45"/>
      <c r="S199" s="45"/>
      <c r="T199" s="45"/>
      <c r="U199" s="45"/>
      <c r="V199" s="45"/>
      <c r="W199" s="45"/>
      <c r="X199" s="45"/>
    </row>
    <row r="200" spans="1:24" x14ac:dyDescent="0.25">
      <c r="A200" s="44"/>
      <c r="B200" s="39" t="str">
        <f>IF($A200="","",IFERROR(INDEX(Références!$C$2:$C$201,MATCH($A200,Références!$A$2:$A$201,0)),""))</f>
        <v/>
      </c>
      <c r="C200" s="39" t="str">
        <f>IF($A200="","",IFERROR(INDEX(Références!$D$2:$D$201,MATCH($A200,Références!$A$2:$A$201,0)),""))</f>
        <v/>
      </c>
      <c r="D200" s="40" t="str">
        <f>IF($A200="","",IFERROR(INDEX(Références!$G$2:$G$201,MATCH($A200,Références!$A$2:$A$201,0)),""))</f>
        <v/>
      </c>
      <c r="E200" s="40" t="str">
        <f>IF($A200="","",IFERROR(INDEX(Références!$H$2:$H$201,MATCH($A200,Références!$A$2:$A$201,0)),""))</f>
        <v/>
      </c>
      <c r="F200" s="40" t="str">
        <f>IF($A200="","",IFERROR(INDEX(Références!$I$2:$I$201,MATCH($A200,Références!$A$2:$A$201,0)),""))</f>
        <v/>
      </c>
      <c r="G200" s="40" t="str">
        <f>IF($A200="","",IFERROR(INDEX(Références!$F$2:$F$201,MATCH($A200,Références!$A$2:$A$201,0)),""))</f>
        <v/>
      </c>
      <c r="H200" s="40" t="str">
        <f>IF($A200="","",IFERROR(INDEX(Références!$J$2:$J$201,MATCH($A200,Références!$A$2:$A$201,0)),""))</f>
        <v/>
      </c>
      <c r="I200" s="41" t="str">
        <f>IF($A200="","",IFERROR(IF(INDEX(Références!$AF$2:$AF$201,MATCH($A200,Références!$A$2:$A$201,0))="","",HYPERLINK(INDEX(Références!$AF$2:$AF$201,MATCH($A200,Références!$A$2:$A$201,0)),"Ouvrir")),""))</f>
        <v/>
      </c>
      <c r="J200" s="45"/>
      <c r="K200" s="45"/>
      <c r="L200" s="45"/>
      <c r="M200" s="45"/>
      <c r="N200" s="45"/>
      <c r="O200" s="45"/>
      <c r="P200" s="45"/>
      <c r="Q200" s="45"/>
      <c r="R200" s="45"/>
      <c r="S200" s="45"/>
      <c r="T200" s="45"/>
      <c r="U200" s="45"/>
      <c r="V200" s="45"/>
      <c r="W200" s="45"/>
      <c r="X200" s="45"/>
    </row>
    <row r="201" spans="1:24" x14ac:dyDescent="0.25">
      <c r="A201" s="44"/>
      <c r="B201" s="39" t="str">
        <f>IF($A201="","",IFERROR(INDEX(Références!$C$2:$C$201,MATCH($A201,Références!$A$2:$A$201,0)),""))</f>
        <v/>
      </c>
      <c r="C201" s="39" t="str">
        <f>IF($A201="","",IFERROR(INDEX(Références!$D$2:$D$201,MATCH($A201,Références!$A$2:$A$201,0)),""))</f>
        <v/>
      </c>
      <c r="D201" s="40" t="str">
        <f>IF($A201="","",IFERROR(INDEX(Références!$G$2:$G$201,MATCH($A201,Références!$A$2:$A$201,0)),""))</f>
        <v/>
      </c>
      <c r="E201" s="40" t="str">
        <f>IF($A201="","",IFERROR(INDEX(Références!$H$2:$H$201,MATCH($A201,Références!$A$2:$A$201,0)),""))</f>
        <v/>
      </c>
      <c r="F201" s="40" t="str">
        <f>IF($A201="","",IFERROR(INDEX(Références!$I$2:$I$201,MATCH($A201,Références!$A$2:$A$201,0)),""))</f>
        <v/>
      </c>
      <c r="G201" s="40" t="str">
        <f>IF($A201="","",IFERROR(INDEX(Références!$F$2:$F$201,MATCH($A201,Références!$A$2:$A$201,0)),""))</f>
        <v/>
      </c>
      <c r="H201" s="40" t="str">
        <f>IF($A201="","",IFERROR(INDEX(Références!$J$2:$J$201,MATCH($A201,Références!$A$2:$A$201,0)),""))</f>
        <v/>
      </c>
      <c r="I201" s="41" t="str">
        <f>IF($A201="","",IFERROR(IF(INDEX(Références!$AF$2:$AF$201,MATCH($A201,Références!$A$2:$A$201,0))="","",HYPERLINK(INDEX(Références!$AF$2:$AF$201,MATCH($A201,Références!$A$2:$A$201,0)),"Ouvrir")),""))</f>
        <v/>
      </c>
      <c r="J201" s="45"/>
      <c r="K201" s="45"/>
      <c r="L201" s="45"/>
      <c r="M201" s="45"/>
      <c r="N201" s="45"/>
      <c r="O201" s="45"/>
      <c r="P201" s="45"/>
      <c r="Q201" s="45"/>
      <c r="R201" s="45"/>
      <c r="S201" s="45"/>
      <c r="T201" s="45"/>
      <c r="U201" s="45"/>
      <c r="V201" s="45"/>
      <c r="W201" s="45"/>
      <c r="X201" s="45"/>
    </row>
    <row r="202" spans="1:24" x14ac:dyDescent="0.25">
      <c r="A202" s="44"/>
      <c r="B202" s="39" t="str">
        <f>IF($A202="","",IFERROR(INDEX(Références!$C$2:$C$201,MATCH($A202,Références!$A$2:$A$201,0)),""))</f>
        <v/>
      </c>
      <c r="C202" s="39" t="str">
        <f>IF($A202="","",IFERROR(INDEX(Références!$D$2:$D$201,MATCH($A202,Références!$A$2:$A$201,0)),""))</f>
        <v/>
      </c>
      <c r="D202" s="40" t="str">
        <f>IF($A202="","",IFERROR(INDEX(Références!$G$2:$G$201,MATCH($A202,Références!$A$2:$A$201,0)),""))</f>
        <v/>
      </c>
      <c r="E202" s="40" t="str">
        <f>IF($A202="","",IFERROR(INDEX(Références!$H$2:$H$201,MATCH($A202,Références!$A$2:$A$201,0)),""))</f>
        <v/>
      </c>
      <c r="F202" s="40" t="str">
        <f>IF($A202="","",IFERROR(INDEX(Références!$I$2:$I$201,MATCH($A202,Références!$A$2:$A$201,0)),""))</f>
        <v/>
      </c>
      <c r="G202" s="40" t="str">
        <f>IF($A202="","",IFERROR(INDEX(Références!$F$2:$F$201,MATCH($A202,Références!$A$2:$A$201,0)),""))</f>
        <v/>
      </c>
      <c r="H202" s="40" t="str">
        <f>IF($A202="","",IFERROR(INDEX(Références!$J$2:$J$201,MATCH($A202,Références!$A$2:$A$201,0)),""))</f>
        <v/>
      </c>
      <c r="I202" s="41" t="str">
        <f>IF($A202="","",IFERROR(IF(INDEX(Références!$AF$2:$AF$201,MATCH($A202,Références!$A$2:$A$201,0))="","",HYPERLINK(INDEX(Références!$AF$2:$AF$201,MATCH($A202,Références!$A$2:$A$201,0)),"Ouvrir")),""))</f>
        <v/>
      </c>
      <c r="J202" s="45"/>
      <c r="K202" s="45"/>
      <c r="L202" s="45"/>
      <c r="M202" s="45"/>
      <c r="N202" s="45"/>
      <c r="O202" s="45"/>
      <c r="P202" s="45"/>
      <c r="Q202" s="45"/>
      <c r="R202" s="45"/>
      <c r="S202" s="45"/>
      <c r="T202" s="45"/>
      <c r="U202" s="45"/>
      <c r="V202" s="45"/>
      <c r="W202" s="45"/>
      <c r="X202" s="45"/>
    </row>
    <row r="203" spans="1:24" x14ac:dyDescent="0.25">
      <c r="A203" s="44"/>
      <c r="B203" s="39" t="str">
        <f>IF($A203="","",IFERROR(INDEX(Références!$C$2:$C$201,MATCH($A203,Références!$A$2:$A$201,0)),""))</f>
        <v/>
      </c>
      <c r="C203" s="39" t="str">
        <f>IF($A203="","",IFERROR(INDEX(Références!$D$2:$D$201,MATCH($A203,Références!$A$2:$A$201,0)),""))</f>
        <v/>
      </c>
      <c r="D203" s="40" t="str">
        <f>IF($A203="","",IFERROR(INDEX(Références!$G$2:$G$201,MATCH($A203,Références!$A$2:$A$201,0)),""))</f>
        <v/>
      </c>
      <c r="E203" s="40" t="str">
        <f>IF($A203="","",IFERROR(INDEX(Références!$H$2:$H$201,MATCH($A203,Références!$A$2:$A$201,0)),""))</f>
        <v/>
      </c>
      <c r="F203" s="40" t="str">
        <f>IF($A203="","",IFERROR(INDEX(Références!$I$2:$I$201,MATCH($A203,Références!$A$2:$A$201,0)),""))</f>
        <v/>
      </c>
      <c r="G203" s="40" t="str">
        <f>IF($A203="","",IFERROR(INDEX(Références!$F$2:$F$201,MATCH($A203,Références!$A$2:$A$201,0)),""))</f>
        <v/>
      </c>
      <c r="H203" s="40" t="str">
        <f>IF($A203="","",IFERROR(INDEX(Références!$J$2:$J$201,MATCH($A203,Références!$A$2:$A$201,0)),""))</f>
        <v/>
      </c>
      <c r="I203" s="41" t="str">
        <f>IF($A203="","",IFERROR(IF(INDEX(Références!$AF$2:$AF$201,MATCH($A203,Références!$A$2:$A$201,0))="","",HYPERLINK(INDEX(Références!$AF$2:$AF$201,MATCH($A203,Références!$A$2:$A$201,0)),"Ouvrir")),""))</f>
        <v/>
      </c>
      <c r="J203" s="45"/>
      <c r="K203" s="45"/>
      <c r="L203" s="45"/>
      <c r="M203" s="45"/>
      <c r="N203" s="45"/>
      <c r="O203" s="45"/>
      <c r="P203" s="45"/>
      <c r="Q203" s="45"/>
      <c r="R203" s="45"/>
      <c r="S203" s="45"/>
      <c r="T203" s="45"/>
      <c r="U203" s="45"/>
      <c r="V203" s="45"/>
      <c r="W203" s="45"/>
      <c r="X203" s="45"/>
    </row>
    <row r="204" spans="1:24" x14ac:dyDescent="0.25">
      <c r="A204" s="44"/>
      <c r="B204" s="39" t="str">
        <f>IF($A204="","",IFERROR(INDEX(Références!$C$2:$C$201,MATCH($A204,Références!$A$2:$A$201,0)),""))</f>
        <v/>
      </c>
      <c r="C204" s="39" t="str">
        <f>IF($A204="","",IFERROR(INDEX(Références!$D$2:$D$201,MATCH($A204,Références!$A$2:$A$201,0)),""))</f>
        <v/>
      </c>
      <c r="D204" s="40" t="str">
        <f>IF($A204="","",IFERROR(INDEX(Références!$G$2:$G$201,MATCH($A204,Références!$A$2:$A$201,0)),""))</f>
        <v/>
      </c>
      <c r="E204" s="40" t="str">
        <f>IF($A204="","",IFERROR(INDEX(Références!$H$2:$H$201,MATCH($A204,Références!$A$2:$A$201,0)),""))</f>
        <v/>
      </c>
      <c r="F204" s="40" t="str">
        <f>IF($A204="","",IFERROR(INDEX(Références!$I$2:$I$201,MATCH($A204,Références!$A$2:$A$201,0)),""))</f>
        <v/>
      </c>
      <c r="G204" s="40" t="str">
        <f>IF($A204="","",IFERROR(INDEX(Références!$F$2:$F$201,MATCH($A204,Références!$A$2:$A$201,0)),""))</f>
        <v/>
      </c>
      <c r="H204" s="40" t="str">
        <f>IF($A204="","",IFERROR(INDEX(Références!$J$2:$J$201,MATCH($A204,Références!$A$2:$A$201,0)),""))</f>
        <v/>
      </c>
      <c r="I204" s="41" t="str">
        <f>IF($A204="","",IFERROR(IF(INDEX(Références!$AF$2:$AF$201,MATCH($A204,Références!$A$2:$A$201,0))="","",HYPERLINK(INDEX(Références!$AF$2:$AF$201,MATCH($A204,Références!$A$2:$A$201,0)),"Ouvrir")),""))</f>
        <v/>
      </c>
      <c r="J204" s="45"/>
      <c r="K204" s="45"/>
      <c r="L204" s="45"/>
      <c r="M204" s="45"/>
      <c r="N204" s="45"/>
      <c r="O204" s="45"/>
      <c r="P204" s="45"/>
      <c r="Q204" s="45"/>
      <c r="R204" s="45"/>
      <c r="S204" s="45"/>
      <c r="T204" s="45"/>
      <c r="U204" s="45"/>
      <c r="V204" s="45"/>
      <c r="W204" s="45"/>
      <c r="X204" s="45"/>
    </row>
  </sheetData>
  <autoFilter ref="A4:X204" xr:uid="{00000000-0009-0000-0000-000003000000}"/>
  <conditionalFormatting sqref="J5:J204">
    <cfRule type="expression" dxfId="52" priority="2">
      <formula>$J5="Complet"</formula>
    </cfRule>
    <cfRule type="expression" dxfId="51" priority="3">
      <formula>$J5="Partiel"</formula>
    </cfRule>
    <cfRule type="expression" dxfId="50" priority="4">
      <formula>$J5="Aucun"</formula>
    </cfRule>
  </conditionalFormatting>
  <dataValidations count="1">
    <dataValidation type="list" allowBlank="1" sqref="J5:J204" xr:uid="{00000000-0002-0000-0300-000000000000}">
      <formula1>"Complet,Partiel,Aucun"</formula1>
      <formula2>0</formula2>
    </dataValidation>
  </dataValidations>
  <pageMargins left="0.75" right="0.75" top="1" bottom="1"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tabColor rgb="FF7F60A8"/>
    <pageSetUpPr fitToPage="1"/>
  </sheetPr>
  <dimension ref="B1:M141"/>
  <sheetViews>
    <sheetView showGridLines="0" zoomScaleNormal="100" workbookViewId="0"/>
  </sheetViews>
  <sheetFormatPr baseColWidth="10" defaultColWidth="8.7109375" defaultRowHeight="15" x14ac:dyDescent="0.25"/>
  <cols>
    <col min="1" max="1" width="2" customWidth="1"/>
    <col min="2" max="2" width="32" customWidth="1"/>
    <col min="3" max="10" width="7" customWidth="1"/>
    <col min="11" max="11" width="8" customWidth="1"/>
    <col min="12" max="12" width="40" customWidth="1"/>
    <col min="13" max="13" width="34" customWidth="1"/>
  </cols>
  <sheetData>
    <row r="1" spans="2:13" ht="20.25" x14ac:dyDescent="0.3">
      <c r="B1" s="6" t="s">
        <v>4058</v>
      </c>
    </row>
    <row r="2" spans="2:13" ht="42.75" customHeight="1" x14ac:dyDescent="0.25">
      <c r="B2" s="80" t="s">
        <v>4059</v>
      </c>
      <c r="C2" s="80"/>
      <c r="D2" s="80"/>
      <c r="E2" s="80"/>
      <c r="F2" s="80"/>
      <c r="G2" s="80"/>
      <c r="H2" s="80"/>
      <c r="I2" s="80"/>
      <c r="J2" s="80"/>
      <c r="K2" s="80"/>
      <c r="L2" s="80"/>
      <c r="M2" s="80"/>
    </row>
    <row r="3" spans="2:13" x14ac:dyDescent="0.25">
      <c r="B3" s="9" t="s">
        <v>2676</v>
      </c>
    </row>
    <row r="6" spans="2:13" ht="21.75" customHeight="1" x14ac:dyDescent="0.25">
      <c r="B6" s="46" t="s">
        <v>2677</v>
      </c>
      <c r="C6" s="47"/>
      <c r="D6" s="47"/>
      <c r="E6" s="47"/>
      <c r="F6" s="47"/>
      <c r="G6" s="47"/>
      <c r="H6" s="47"/>
      <c r="I6" s="47"/>
      <c r="J6" s="47"/>
      <c r="K6" s="47"/>
      <c r="L6" s="47"/>
      <c r="M6" s="47"/>
    </row>
    <row r="7" spans="2:13" ht="21.75" customHeight="1" x14ac:dyDescent="0.25">
      <c r="B7" s="5" t="s">
        <v>2678</v>
      </c>
      <c r="C7" s="5">
        <v>1</v>
      </c>
      <c r="D7" s="5">
        <v>2</v>
      </c>
      <c r="E7" s="5">
        <v>3</v>
      </c>
      <c r="F7" s="5">
        <v>4</v>
      </c>
      <c r="G7" s="5">
        <v>5</v>
      </c>
      <c r="H7" s="5">
        <v>6</v>
      </c>
      <c r="I7" s="5">
        <v>7</v>
      </c>
      <c r="J7" s="5">
        <v>8</v>
      </c>
      <c r="K7" s="5" t="s">
        <v>121</v>
      </c>
    </row>
    <row r="8" spans="2:13" x14ac:dyDescent="0.25">
      <c r="B8" s="48" t="s">
        <v>2679</v>
      </c>
      <c r="C8" s="49">
        <f>COUNTIF('Matrice croisée'!$C$7:$C$330,C$7)</f>
        <v>16</v>
      </c>
      <c r="D8" s="49">
        <f>COUNTIF('Matrice croisée'!$C$7:$C$330,D$7)</f>
        <v>36</v>
      </c>
      <c r="E8" s="49">
        <f>COUNTIF('Matrice croisée'!$C$7:$C$330,E$7)</f>
        <v>20</v>
      </c>
      <c r="F8" s="49">
        <f>COUNTIF('Matrice croisée'!$C$7:$C$330,F$7)</f>
        <v>10</v>
      </c>
      <c r="G8" s="49">
        <f>COUNTIF('Matrice croisée'!$C$7:$C$330,G$7)</f>
        <v>45</v>
      </c>
      <c r="H8" s="49">
        <f>COUNTIF('Matrice croisée'!$C$7:$C$330,H$7)</f>
        <v>23</v>
      </c>
      <c r="I8" s="49">
        <f>COUNTIF('Matrice croisée'!$C$7:$C$330,I$7)</f>
        <v>22</v>
      </c>
      <c r="J8" s="49">
        <f>COUNTIF('Matrice croisée'!$C$7:$C$330,J$7)</f>
        <v>7</v>
      </c>
      <c r="K8" s="49">
        <f>SUM(C8:J8)</f>
        <v>179</v>
      </c>
    </row>
    <row r="9" spans="2:13" x14ac:dyDescent="0.25">
      <c r="B9" s="50" t="s">
        <v>1671</v>
      </c>
      <c r="C9" s="51"/>
      <c r="D9" s="51"/>
      <c r="E9" s="51"/>
      <c r="F9" s="51"/>
      <c r="G9" s="51"/>
      <c r="H9" s="51"/>
      <c r="I9" s="51"/>
      <c r="J9" s="51"/>
      <c r="K9" s="51"/>
    </row>
    <row r="10" spans="2:13" ht="15.75" customHeight="1" x14ac:dyDescent="0.25">
      <c r="B10" s="3" t="s">
        <v>2680</v>
      </c>
      <c r="C10" s="52">
        <f>COUNTIFS('Matrice croisée'!$C$7:$C$330,C$7,'Matrice croisée'!E$7:E$330,"●")</f>
        <v>9</v>
      </c>
      <c r="D10" s="52">
        <f>COUNTIFS('Matrice croisée'!$C$7:$C$330,D$7,'Matrice croisée'!E$7:E$330,"●")</f>
        <v>6</v>
      </c>
      <c r="E10" s="52">
        <f>COUNTIFS('Matrice croisée'!$C$7:$C$330,E$7,'Matrice croisée'!E$7:E$330,"●")</f>
        <v>0</v>
      </c>
      <c r="F10" s="52">
        <f>COUNTIFS('Matrice croisée'!$C$7:$C$330,F$7,'Matrice croisée'!E$7:E$330,"●")</f>
        <v>0</v>
      </c>
      <c r="G10" s="52">
        <f>COUNTIFS('Matrice croisée'!$C$7:$C$330,G$7,'Matrice croisée'!E$7:E$330,"●")</f>
        <v>12</v>
      </c>
      <c r="H10" s="52">
        <f>COUNTIFS('Matrice croisée'!$C$7:$C$330,H$7,'Matrice croisée'!E$7:E$330,"●")</f>
        <v>5</v>
      </c>
      <c r="I10" s="52">
        <f>COUNTIFS('Matrice croisée'!$C$7:$C$330,I$7,'Matrice croisée'!E$7:E$330,"●")</f>
        <v>0</v>
      </c>
      <c r="J10" s="52">
        <f>COUNTIFS('Matrice croisée'!$C$7:$C$330,J$7,'Matrice croisée'!E$7:E$330,"●")</f>
        <v>2</v>
      </c>
      <c r="K10" s="53">
        <f>COUNTIF('Matrice croisée'!E$7:E$330,"●")</f>
        <v>34</v>
      </c>
    </row>
    <row r="11" spans="2:13" ht="15.75" customHeight="1" x14ac:dyDescent="0.25">
      <c r="B11" s="3" t="s">
        <v>1793</v>
      </c>
      <c r="C11" s="52">
        <f>COUNTIFS('Matrice croisée'!$C$7:$C$330,C$7,'Matrice croisée'!F$7:F$330,"●")</f>
        <v>3</v>
      </c>
      <c r="D11" s="52">
        <f>COUNTIFS('Matrice croisée'!$C$7:$C$330,D$7,'Matrice croisée'!F$7:F$330,"●")</f>
        <v>5</v>
      </c>
      <c r="E11" s="52">
        <f>COUNTIFS('Matrice croisée'!$C$7:$C$330,E$7,'Matrice croisée'!F$7:F$330,"●")</f>
        <v>0</v>
      </c>
      <c r="F11" s="52">
        <f>COUNTIFS('Matrice croisée'!$C$7:$C$330,F$7,'Matrice croisée'!F$7:F$330,"●")</f>
        <v>0</v>
      </c>
      <c r="G11" s="52">
        <f>COUNTIFS('Matrice croisée'!$C$7:$C$330,G$7,'Matrice croisée'!F$7:F$330,"●")</f>
        <v>2</v>
      </c>
      <c r="H11" s="52">
        <f>COUNTIFS('Matrice croisée'!$C$7:$C$330,H$7,'Matrice croisée'!F$7:F$330,"●")</f>
        <v>2</v>
      </c>
      <c r="I11" s="52">
        <f>COUNTIFS('Matrice croisée'!$C$7:$C$330,I$7,'Matrice croisée'!F$7:F$330,"●")</f>
        <v>20</v>
      </c>
      <c r="J11" s="52">
        <f>COUNTIFS('Matrice croisée'!$C$7:$C$330,J$7,'Matrice croisée'!F$7:F$330,"●")</f>
        <v>0</v>
      </c>
      <c r="K11" s="53">
        <f>COUNTIF('Matrice croisée'!F$7:F$330,"●")</f>
        <v>32</v>
      </c>
    </row>
    <row r="12" spans="2:13" ht="15.75" customHeight="1" x14ac:dyDescent="0.25">
      <c r="B12" s="3" t="s">
        <v>2681</v>
      </c>
      <c r="C12" s="52">
        <f>COUNTIFS('Matrice croisée'!$C$7:$C$330,C$7,'Matrice croisée'!G$7:G$330,"●")</f>
        <v>0</v>
      </c>
      <c r="D12" s="52">
        <f>COUNTIFS('Matrice croisée'!$C$7:$C$330,D$7,'Matrice croisée'!G$7:G$330,"●")</f>
        <v>9</v>
      </c>
      <c r="E12" s="52">
        <f>COUNTIFS('Matrice croisée'!$C$7:$C$330,E$7,'Matrice croisée'!G$7:G$330,"●")</f>
        <v>0</v>
      </c>
      <c r="F12" s="52">
        <f>COUNTIFS('Matrice croisée'!$C$7:$C$330,F$7,'Matrice croisée'!G$7:G$330,"●")</f>
        <v>0</v>
      </c>
      <c r="G12" s="52">
        <f>COUNTIFS('Matrice croisée'!$C$7:$C$330,G$7,'Matrice croisée'!G$7:G$330,"●")</f>
        <v>0</v>
      </c>
      <c r="H12" s="52">
        <f>COUNTIFS('Matrice croisée'!$C$7:$C$330,H$7,'Matrice croisée'!G$7:G$330,"●")</f>
        <v>1</v>
      </c>
      <c r="I12" s="52">
        <f>COUNTIFS('Matrice croisée'!$C$7:$C$330,I$7,'Matrice croisée'!G$7:G$330,"●")</f>
        <v>0</v>
      </c>
      <c r="J12" s="52">
        <f>COUNTIFS('Matrice croisée'!$C$7:$C$330,J$7,'Matrice croisée'!G$7:G$330,"●")</f>
        <v>0</v>
      </c>
      <c r="K12" s="53">
        <f>COUNTIF('Matrice croisée'!G$7:G$330,"●")</f>
        <v>10</v>
      </c>
    </row>
    <row r="13" spans="2:13" x14ac:dyDescent="0.25">
      <c r="B13" s="50" t="s">
        <v>1672</v>
      </c>
      <c r="C13" s="51"/>
      <c r="D13" s="51"/>
      <c r="E13" s="51"/>
      <c r="F13" s="51"/>
      <c r="G13" s="51"/>
      <c r="H13" s="51"/>
      <c r="I13" s="51"/>
      <c r="J13" s="51"/>
      <c r="K13" s="51"/>
    </row>
    <row r="14" spans="2:13" ht="15.75" customHeight="1" x14ac:dyDescent="0.25">
      <c r="B14" s="3" t="s">
        <v>2244</v>
      </c>
      <c r="C14" s="52">
        <f>COUNTIFS('Matrice croisée'!$C$7:$C$330,C$7,'Matrice croisée'!H$7:H$330,"●")</f>
        <v>0</v>
      </c>
      <c r="D14" s="52">
        <f>COUNTIFS('Matrice croisée'!$C$7:$C$330,D$7,'Matrice croisée'!H$7:H$330,"●")</f>
        <v>0</v>
      </c>
      <c r="E14" s="52">
        <f>COUNTIFS('Matrice croisée'!$C$7:$C$330,E$7,'Matrice croisée'!H$7:H$330,"●")</f>
        <v>1</v>
      </c>
      <c r="F14" s="52">
        <f>COUNTIFS('Matrice croisée'!$C$7:$C$330,F$7,'Matrice croisée'!H$7:H$330,"●")</f>
        <v>0</v>
      </c>
      <c r="G14" s="52">
        <f>COUNTIFS('Matrice croisée'!$C$7:$C$330,G$7,'Matrice croisée'!H$7:H$330,"●")</f>
        <v>19</v>
      </c>
      <c r="H14" s="52">
        <f>COUNTIFS('Matrice croisée'!$C$7:$C$330,H$7,'Matrice croisée'!H$7:H$330,"●")</f>
        <v>1</v>
      </c>
      <c r="I14" s="52">
        <f>COUNTIFS('Matrice croisée'!$C$7:$C$330,I$7,'Matrice croisée'!H$7:H$330,"●")</f>
        <v>3</v>
      </c>
      <c r="J14" s="52">
        <f>COUNTIFS('Matrice croisée'!$C$7:$C$330,J$7,'Matrice croisée'!H$7:H$330,"●")</f>
        <v>0</v>
      </c>
      <c r="K14" s="53">
        <f>COUNTIF('Matrice croisée'!H$7:H$330,"●")</f>
        <v>24</v>
      </c>
    </row>
    <row r="15" spans="2:13" ht="15.75" customHeight="1" x14ac:dyDescent="0.25">
      <c r="B15" s="3" t="s">
        <v>1686</v>
      </c>
      <c r="C15" s="52">
        <f>COUNTIFS('Matrice croisée'!$C$7:$C$330,C$7,'Matrice croisée'!I$7:I$330,"●")</f>
        <v>11</v>
      </c>
      <c r="D15" s="52">
        <f>COUNTIFS('Matrice croisée'!$C$7:$C$330,D$7,'Matrice croisée'!I$7:I$330,"●")</f>
        <v>1</v>
      </c>
      <c r="E15" s="52">
        <f>COUNTIFS('Matrice croisée'!$C$7:$C$330,E$7,'Matrice croisée'!I$7:I$330,"●")</f>
        <v>0</v>
      </c>
      <c r="F15" s="52">
        <f>COUNTIFS('Matrice croisée'!$C$7:$C$330,F$7,'Matrice croisée'!I$7:I$330,"●")</f>
        <v>0</v>
      </c>
      <c r="G15" s="52">
        <f>COUNTIFS('Matrice croisée'!$C$7:$C$330,G$7,'Matrice croisée'!I$7:I$330,"●")</f>
        <v>3</v>
      </c>
      <c r="H15" s="52">
        <f>COUNTIFS('Matrice croisée'!$C$7:$C$330,H$7,'Matrice croisée'!I$7:I$330,"●")</f>
        <v>2</v>
      </c>
      <c r="I15" s="52">
        <f>COUNTIFS('Matrice croisée'!$C$7:$C$330,I$7,'Matrice croisée'!I$7:I$330,"●")</f>
        <v>0</v>
      </c>
      <c r="J15" s="52">
        <f>COUNTIFS('Matrice croisée'!$C$7:$C$330,J$7,'Matrice croisée'!I$7:I$330,"●")</f>
        <v>0</v>
      </c>
      <c r="K15" s="53">
        <f>COUNTIF('Matrice croisée'!I$7:I$330,"●")</f>
        <v>17</v>
      </c>
    </row>
    <row r="16" spans="2:13" ht="15.75" customHeight="1" x14ac:dyDescent="0.25">
      <c r="B16" s="3" t="s">
        <v>2682</v>
      </c>
      <c r="C16" s="52">
        <f>COUNTIFS('Matrice croisée'!$C$7:$C$330,C$7,'Matrice croisée'!J$7:J$330,"●")</f>
        <v>4</v>
      </c>
      <c r="D16" s="52">
        <f>COUNTIFS('Matrice croisée'!$C$7:$C$330,D$7,'Matrice croisée'!J$7:J$330,"●")</f>
        <v>27</v>
      </c>
      <c r="E16" s="52">
        <f>COUNTIFS('Matrice croisée'!$C$7:$C$330,E$7,'Matrice croisée'!J$7:J$330,"●")</f>
        <v>0</v>
      </c>
      <c r="F16" s="52">
        <f>COUNTIFS('Matrice croisée'!$C$7:$C$330,F$7,'Matrice croisée'!J$7:J$330,"●")</f>
        <v>0</v>
      </c>
      <c r="G16" s="52">
        <f>COUNTIFS('Matrice croisée'!$C$7:$C$330,G$7,'Matrice croisée'!J$7:J$330,"●")</f>
        <v>7</v>
      </c>
      <c r="H16" s="52">
        <f>COUNTIFS('Matrice croisée'!$C$7:$C$330,H$7,'Matrice croisée'!J$7:J$330,"●")</f>
        <v>2</v>
      </c>
      <c r="I16" s="52">
        <f>COUNTIFS('Matrice croisée'!$C$7:$C$330,I$7,'Matrice croisée'!J$7:J$330,"●")</f>
        <v>2</v>
      </c>
      <c r="J16" s="52">
        <f>COUNTIFS('Matrice croisée'!$C$7:$C$330,J$7,'Matrice croisée'!J$7:J$330,"●")</f>
        <v>0</v>
      </c>
      <c r="K16" s="53">
        <f>COUNTIF('Matrice croisée'!J$7:J$330,"●")</f>
        <v>42</v>
      </c>
    </row>
    <row r="17" spans="2:11" ht="15.75" customHeight="1" x14ac:dyDescent="0.25">
      <c r="B17" s="3" t="s">
        <v>2683</v>
      </c>
      <c r="C17" s="52">
        <f>COUNTIFS('Matrice croisée'!$C$7:$C$330,C$7,'Matrice croisée'!K$7:K$330,"●")</f>
        <v>5</v>
      </c>
      <c r="D17" s="52">
        <f>COUNTIFS('Matrice croisée'!$C$7:$C$330,D$7,'Matrice croisée'!K$7:K$330,"●")</f>
        <v>10</v>
      </c>
      <c r="E17" s="52">
        <f>COUNTIFS('Matrice croisée'!$C$7:$C$330,E$7,'Matrice croisée'!K$7:K$330,"●")</f>
        <v>0</v>
      </c>
      <c r="F17" s="52">
        <f>COUNTIFS('Matrice croisée'!$C$7:$C$330,F$7,'Matrice croisée'!K$7:K$330,"●")</f>
        <v>0</v>
      </c>
      <c r="G17" s="52">
        <f>COUNTIFS('Matrice croisée'!$C$7:$C$330,G$7,'Matrice croisée'!K$7:K$330,"●")</f>
        <v>9</v>
      </c>
      <c r="H17" s="52">
        <f>COUNTIFS('Matrice croisée'!$C$7:$C$330,H$7,'Matrice croisée'!K$7:K$330,"●")</f>
        <v>3</v>
      </c>
      <c r="I17" s="52">
        <f>COUNTIFS('Matrice croisée'!$C$7:$C$330,I$7,'Matrice croisée'!K$7:K$330,"●")</f>
        <v>0</v>
      </c>
      <c r="J17" s="52">
        <f>COUNTIFS('Matrice croisée'!$C$7:$C$330,J$7,'Matrice croisée'!K$7:K$330,"●")</f>
        <v>0</v>
      </c>
      <c r="K17" s="53">
        <f>COUNTIF('Matrice croisée'!K$7:K$330,"●")</f>
        <v>27</v>
      </c>
    </row>
    <row r="18" spans="2:11" x14ac:dyDescent="0.25">
      <c r="B18" s="50" t="s">
        <v>2684</v>
      </c>
      <c r="C18" s="51"/>
      <c r="D18" s="51"/>
      <c r="E18" s="51"/>
      <c r="F18" s="51"/>
      <c r="G18" s="51"/>
      <c r="H18" s="51"/>
      <c r="I18" s="51"/>
      <c r="J18" s="51"/>
      <c r="K18" s="51"/>
    </row>
    <row r="19" spans="2:11" ht="15.75" customHeight="1" x14ac:dyDescent="0.25">
      <c r="B19" s="3" t="s">
        <v>1687</v>
      </c>
      <c r="C19" s="52">
        <f>COUNTIFS('Matrice croisée'!$C$7:$C$330,C$7,'Matrice croisée'!L$7:L$330,"●")</f>
        <v>5</v>
      </c>
      <c r="D19" s="52">
        <f>COUNTIFS('Matrice croisée'!$C$7:$C$330,D$7,'Matrice croisée'!L$7:L$330,"●")</f>
        <v>19</v>
      </c>
      <c r="E19" s="52">
        <f>COUNTIFS('Matrice croisée'!$C$7:$C$330,E$7,'Matrice croisée'!L$7:L$330,"●")</f>
        <v>0</v>
      </c>
      <c r="F19" s="52">
        <f>COUNTIFS('Matrice croisée'!$C$7:$C$330,F$7,'Matrice croisée'!L$7:L$330,"●")</f>
        <v>0</v>
      </c>
      <c r="G19" s="52">
        <f>COUNTIFS('Matrice croisée'!$C$7:$C$330,G$7,'Matrice croisée'!L$7:L$330,"●")</f>
        <v>26</v>
      </c>
      <c r="H19" s="52">
        <f>COUNTIFS('Matrice croisée'!$C$7:$C$330,H$7,'Matrice croisée'!L$7:L$330,"●")</f>
        <v>3</v>
      </c>
      <c r="I19" s="52">
        <f>COUNTIFS('Matrice croisée'!$C$7:$C$330,I$7,'Matrice croisée'!L$7:L$330,"●")</f>
        <v>4</v>
      </c>
      <c r="J19" s="52">
        <f>COUNTIFS('Matrice croisée'!$C$7:$C$330,J$7,'Matrice croisée'!L$7:L$330,"●")</f>
        <v>3</v>
      </c>
      <c r="K19" s="53">
        <f>COUNTIF('Matrice croisée'!L$7:L$330,"●")</f>
        <v>60</v>
      </c>
    </row>
    <row r="20" spans="2:11" ht="15.75" customHeight="1" x14ac:dyDescent="0.25">
      <c r="B20" s="3" t="s">
        <v>2109</v>
      </c>
      <c r="C20" s="52">
        <f>COUNTIFS('Matrice croisée'!$C$7:$C$330,C$7,'Matrice croisée'!M$7:M$330,"●")</f>
        <v>0</v>
      </c>
      <c r="D20" s="52">
        <f>COUNTIFS('Matrice croisée'!$C$7:$C$330,D$7,'Matrice croisée'!M$7:M$330,"●")</f>
        <v>3</v>
      </c>
      <c r="E20" s="52">
        <f>COUNTIFS('Matrice croisée'!$C$7:$C$330,E$7,'Matrice croisée'!M$7:M$330,"●")</f>
        <v>19</v>
      </c>
      <c r="F20" s="52">
        <f>COUNTIFS('Matrice croisée'!$C$7:$C$330,F$7,'Matrice croisée'!M$7:M$330,"●")</f>
        <v>6</v>
      </c>
      <c r="G20" s="52">
        <f>COUNTIFS('Matrice croisée'!$C$7:$C$330,G$7,'Matrice croisée'!M$7:M$330,"●")</f>
        <v>20</v>
      </c>
      <c r="H20" s="52">
        <f>COUNTIFS('Matrice croisée'!$C$7:$C$330,H$7,'Matrice croisée'!M$7:M$330,"●")</f>
        <v>9</v>
      </c>
      <c r="I20" s="52">
        <f>COUNTIFS('Matrice croisée'!$C$7:$C$330,I$7,'Matrice croisée'!M$7:M$330,"●")</f>
        <v>1</v>
      </c>
      <c r="J20" s="52">
        <f>COUNTIFS('Matrice croisée'!$C$7:$C$330,J$7,'Matrice croisée'!M$7:M$330,"●")</f>
        <v>0</v>
      </c>
      <c r="K20" s="53">
        <f>COUNTIF('Matrice croisée'!M$7:M$330,"●")</f>
        <v>58</v>
      </c>
    </row>
    <row r="21" spans="2:11" ht="15.75" customHeight="1" x14ac:dyDescent="0.25">
      <c r="B21" s="3" t="s">
        <v>2685</v>
      </c>
      <c r="C21" s="52">
        <f>COUNTIFS('Matrice croisée'!$C$7:$C$330,C$7,'Matrice croisée'!N$7:N$330,"●")</f>
        <v>0</v>
      </c>
      <c r="D21" s="52">
        <f>COUNTIFS('Matrice croisée'!$C$7:$C$330,D$7,'Matrice croisée'!N$7:N$330,"●")</f>
        <v>7</v>
      </c>
      <c r="E21" s="52">
        <f>COUNTIFS('Matrice croisée'!$C$7:$C$330,E$7,'Matrice croisée'!N$7:N$330,"●")</f>
        <v>0</v>
      </c>
      <c r="F21" s="52">
        <f>COUNTIFS('Matrice croisée'!$C$7:$C$330,F$7,'Matrice croisée'!N$7:N$330,"●")</f>
        <v>0</v>
      </c>
      <c r="G21" s="52">
        <f>COUNTIFS('Matrice croisée'!$C$7:$C$330,G$7,'Matrice croisée'!N$7:N$330,"●")</f>
        <v>0</v>
      </c>
      <c r="H21" s="52">
        <f>COUNTIFS('Matrice croisée'!$C$7:$C$330,H$7,'Matrice croisée'!N$7:N$330,"●")</f>
        <v>0</v>
      </c>
      <c r="I21" s="52">
        <f>COUNTIFS('Matrice croisée'!$C$7:$C$330,I$7,'Matrice croisée'!N$7:N$330,"●")</f>
        <v>0</v>
      </c>
      <c r="J21" s="52">
        <f>COUNTIFS('Matrice croisée'!$C$7:$C$330,J$7,'Matrice croisée'!N$7:N$330,"●")</f>
        <v>0</v>
      </c>
      <c r="K21" s="53">
        <f>COUNTIF('Matrice croisée'!N$7:N$330,"●")</f>
        <v>7</v>
      </c>
    </row>
    <row r="22" spans="2:11" ht="15.75" customHeight="1" x14ac:dyDescent="0.25">
      <c r="B22" s="3" t="s">
        <v>2686</v>
      </c>
      <c r="C22" s="52">
        <f>COUNTIFS('Matrice croisée'!$C$7:$C$330,C$7,'Matrice croisée'!O$7:O$330,"●")</f>
        <v>0</v>
      </c>
      <c r="D22" s="52">
        <f>COUNTIFS('Matrice croisée'!$C$7:$C$330,D$7,'Matrice croisée'!O$7:O$330,"●")</f>
        <v>0</v>
      </c>
      <c r="E22" s="52">
        <f>COUNTIFS('Matrice croisée'!$C$7:$C$330,E$7,'Matrice croisée'!O$7:O$330,"●")</f>
        <v>1</v>
      </c>
      <c r="F22" s="52">
        <f>COUNTIFS('Matrice croisée'!$C$7:$C$330,F$7,'Matrice croisée'!O$7:O$330,"●")</f>
        <v>0</v>
      </c>
      <c r="G22" s="52">
        <f>COUNTIFS('Matrice croisée'!$C$7:$C$330,G$7,'Matrice croisée'!O$7:O$330,"●")</f>
        <v>0</v>
      </c>
      <c r="H22" s="52">
        <f>COUNTIFS('Matrice croisée'!$C$7:$C$330,H$7,'Matrice croisée'!O$7:O$330,"●")</f>
        <v>9</v>
      </c>
      <c r="I22" s="52">
        <f>COUNTIFS('Matrice croisée'!$C$7:$C$330,I$7,'Matrice croisée'!O$7:O$330,"●")</f>
        <v>1</v>
      </c>
      <c r="J22" s="52">
        <f>COUNTIFS('Matrice croisée'!$C$7:$C$330,J$7,'Matrice croisée'!O$7:O$330,"●")</f>
        <v>0</v>
      </c>
      <c r="K22" s="53">
        <f>COUNTIF('Matrice croisée'!O$7:O$330,"●")</f>
        <v>11</v>
      </c>
    </row>
    <row r="23" spans="2:11" x14ac:dyDescent="0.25">
      <c r="B23" s="50" t="s">
        <v>1666</v>
      </c>
      <c r="C23" s="51"/>
      <c r="D23" s="51"/>
      <c r="E23" s="51"/>
      <c r="F23" s="51"/>
      <c r="G23" s="51"/>
      <c r="H23" s="51"/>
      <c r="I23" s="51"/>
      <c r="J23" s="51"/>
      <c r="K23" s="51"/>
    </row>
    <row r="24" spans="2:11" ht="15.75" customHeight="1" x14ac:dyDescent="0.25">
      <c r="B24" s="3" t="s">
        <v>1702</v>
      </c>
      <c r="C24" s="52">
        <f>COUNTIFS('Matrice croisée'!$C$7:$C$330,C$7,'Matrice croisée'!P$7:P$330,"●")</f>
        <v>10</v>
      </c>
      <c r="D24" s="52">
        <f>COUNTIFS('Matrice croisée'!$C$7:$C$330,D$7,'Matrice croisée'!P$7:P$330,"●")</f>
        <v>0</v>
      </c>
      <c r="E24" s="52">
        <f>COUNTIFS('Matrice croisée'!$C$7:$C$330,E$7,'Matrice croisée'!P$7:P$330,"●")</f>
        <v>0</v>
      </c>
      <c r="F24" s="52">
        <f>COUNTIFS('Matrice croisée'!$C$7:$C$330,F$7,'Matrice croisée'!P$7:P$330,"●")</f>
        <v>0</v>
      </c>
      <c r="G24" s="52">
        <f>COUNTIFS('Matrice croisée'!$C$7:$C$330,G$7,'Matrice croisée'!P$7:P$330,"●")</f>
        <v>0</v>
      </c>
      <c r="H24" s="52">
        <f>COUNTIFS('Matrice croisée'!$C$7:$C$330,H$7,'Matrice croisée'!P$7:P$330,"●")</f>
        <v>1</v>
      </c>
      <c r="I24" s="52">
        <f>COUNTIFS('Matrice croisée'!$C$7:$C$330,I$7,'Matrice croisée'!P$7:P$330,"●")</f>
        <v>0</v>
      </c>
      <c r="J24" s="52">
        <f>COUNTIFS('Matrice croisée'!$C$7:$C$330,J$7,'Matrice croisée'!P$7:P$330,"●")</f>
        <v>0</v>
      </c>
      <c r="K24" s="53">
        <f>COUNTIF('Matrice croisée'!P$7:P$330,"●")</f>
        <v>11</v>
      </c>
    </row>
    <row r="25" spans="2:11" ht="30" customHeight="1" x14ac:dyDescent="0.25">
      <c r="B25" s="3" t="s">
        <v>2687</v>
      </c>
      <c r="C25" s="52">
        <f>COUNTIFS('Matrice croisée'!$C$7:$C$330,C$7,'Matrice croisée'!Q$7:Q$330,"●")</f>
        <v>1</v>
      </c>
      <c r="D25" s="52">
        <f>COUNTIFS('Matrice croisée'!$C$7:$C$330,D$7,'Matrice croisée'!Q$7:Q$330,"●")</f>
        <v>0</v>
      </c>
      <c r="E25" s="52">
        <f>COUNTIFS('Matrice croisée'!$C$7:$C$330,E$7,'Matrice croisée'!Q$7:Q$330,"●")</f>
        <v>0</v>
      </c>
      <c r="F25" s="52">
        <f>COUNTIFS('Matrice croisée'!$C$7:$C$330,F$7,'Matrice croisée'!Q$7:Q$330,"●")</f>
        <v>0</v>
      </c>
      <c r="G25" s="52">
        <f>COUNTIFS('Matrice croisée'!$C$7:$C$330,G$7,'Matrice croisée'!Q$7:Q$330,"●")</f>
        <v>1</v>
      </c>
      <c r="H25" s="52">
        <f>COUNTIFS('Matrice croisée'!$C$7:$C$330,H$7,'Matrice croisée'!Q$7:Q$330,"●")</f>
        <v>4</v>
      </c>
      <c r="I25" s="52">
        <f>COUNTIFS('Matrice croisée'!$C$7:$C$330,I$7,'Matrice croisée'!Q$7:Q$330,"●")</f>
        <v>8</v>
      </c>
      <c r="J25" s="52">
        <f>COUNTIFS('Matrice croisée'!$C$7:$C$330,J$7,'Matrice croisée'!Q$7:Q$330,"●")</f>
        <v>0</v>
      </c>
      <c r="K25" s="53">
        <f>COUNTIF('Matrice croisée'!Q$7:Q$330,"●")</f>
        <v>14</v>
      </c>
    </row>
    <row r="26" spans="2:11" ht="15.75" customHeight="1" x14ac:dyDescent="0.25">
      <c r="B26" s="3" t="s">
        <v>2688</v>
      </c>
      <c r="C26" s="52">
        <f>COUNTIFS('Matrice croisée'!$C$7:$C$330,C$7,'Matrice croisée'!R$7:R$330,"●")</f>
        <v>0</v>
      </c>
      <c r="D26" s="52">
        <f>COUNTIFS('Matrice croisée'!$C$7:$C$330,D$7,'Matrice croisée'!R$7:R$330,"●")</f>
        <v>2</v>
      </c>
      <c r="E26" s="52">
        <f>COUNTIFS('Matrice croisée'!$C$7:$C$330,E$7,'Matrice croisée'!R$7:R$330,"●")</f>
        <v>12</v>
      </c>
      <c r="F26" s="52">
        <f>COUNTIFS('Matrice croisée'!$C$7:$C$330,F$7,'Matrice croisée'!R$7:R$330,"●")</f>
        <v>9</v>
      </c>
      <c r="G26" s="52">
        <f>COUNTIFS('Matrice croisée'!$C$7:$C$330,G$7,'Matrice croisée'!R$7:R$330,"●")</f>
        <v>0</v>
      </c>
      <c r="H26" s="52">
        <f>COUNTIFS('Matrice croisée'!$C$7:$C$330,H$7,'Matrice croisée'!R$7:R$330,"●")</f>
        <v>8</v>
      </c>
      <c r="I26" s="52">
        <f>COUNTIFS('Matrice croisée'!$C$7:$C$330,I$7,'Matrice croisée'!R$7:R$330,"●")</f>
        <v>0</v>
      </c>
      <c r="J26" s="52">
        <f>COUNTIFS('Matrice croisée'!$C$7:$C$330,J$7,'Matrice croisée'!R$7:R$330,"●")</f>
        <v>0</v>
      </c>
      <c r="K26" s="53">
        <f>COUNTIF('Matrice croisée'!R$7:R$330,"●")</f>
        <v>31</v>
      </c>
    </row>
    <row r="27" spans="2:11" ht="15.75" customHeight="1" x14ac:dyDescent="0.25">
      <c r="B27" s="3" t="s">
        <v>2689</v>
      </c>
      <c r="C27" s="52">
        <f>COUNTIFS('Matrice croisée'!$C$7:$C$330,C$7,'Matrice croisée'!S$7:S$330,"●")</f>
        <v>4</v>
      </c>
      <c r="D27" s="52">
        <f>COUNTIFS('Matrice croisée'!$C$7:$C$330,D$7,'Matrice croisée'!S$7:S$330,"●")</f>
        <v>13</v>
      </c>
      <c r="E27" s="52">
        <f>COUNTIFS('Matrice croisée'!$C$7:$C$330,E$7,'Matrice croisée'!S$7:S$330,"●")</f>
        <v>0</v>
      </c>
      <c r="F27" s="52">
        <f>COUNTIFS('Matrice croisée'!$C$7:$C$330,F$7,'Matrice croisée'!S$7:S$330,"●")</f>
        <v>0</v>
      </c>
      <c r="G27" s="52">
        <f>COUNTIFS('Matrice croisée'!$C$7:$C$330,G$7,'Matrice croisée'!S$7:S$330,"●")</f>
        <v>11</v>
      </c>
      <c r="H27" s="52">
        <f>COUNTIFS('Matrice croisée'!$C$7:$C$330,H$7,'Matrice croisée'!S$7:S$330,"●")</f>
        <v>5</v>
      </c>
      <c r="I27" s="52">
        <f>COUNTIFS('Matrice croisée'!$C$7:$C$330,I$7,'Matrice croisée'!S$7:S$330,"●")</f>
        <v>3</v>
      </c>
      <c r="J27" s="52">
        <f>COUNTIFS('Matrice croisée'!$C$7:$C$330,J$7,'Matrice croisée'!S$7:S$330,"●")</f>
        <v>0</v>
      </c>
      <c r="K27" s="53">
        <f>COUNTIF('Matrice croisée'!S$7:S$330,"●")</f>
        <v>36</v>
      </c>
    </row>
    <row r="28" spans="2:11" ht="15.75" customHeight="1" x14ac:dyDescent="0.25">
      <c r="B28" s="3" t="s">
        <v>2690</v>
      </c>
      <c r="C28" s="52">
        <f>COUNTIFS('Matrice croisée'!$C$7:$C$330,C$7,'Matrice croisée'!T$7:T$330,"●")</f>
        <v>2</v>
      </c>
      <c r="D28" s="52">
        <f>COUNTIFS('Matrice croisée'!$C$7:$C$330,D$7,'Matrice croisée'!T$7:T$330,"●")</f>
        <v>12</v>
      </c>
      <c r="E28" s="52">
        <f>COUNTIFS('Matrice croisée'!$C$7:$C$330,E$7,'Matrice croisée'!T$7:T$330,"●")</f>
        <v>2</v>
      </c>
      <c r="F28" s="52">
        <f>COUNTIFS('Matrice croisée'!$C$7:$C$330,F$7,'Matrice croisée'!T$7:T$330,"●")</f>
        <v>0</v>
      </c>
      <c r="G28" s="52">
        <f>COUNTIFS('Matrice croisée'!$C$7:$C$330,G$7,'Matrice croisée'!T$7:T$330,"●")</f>
        <v>26</v>
      </c>
      <c r="H28" s="52">
        <f>COUNTIFS('Matrice croisée'!$C$7:$C$330,H$7,'Matrice croisée'!T$7:T$330,"●")</f>
        <v>2</v>
      </c>
      <c r="I28" s="52">
        <f>COUNTIFS('Matrice croisée'!$C$7:$C$330,I$7,'Matrice croisée'!T$7:T$330,"●")</f>
        <v>3</v>
      </c>
      <c r="J28" s="52">
        <f>COUNTIFS('Matrice croisée'!$C$7:$C$330,J$7,'Matrice croisée'!T$7:T$330,"●")</f>
        <v>3</v>
      </c>
      <c r="K28" s="53">
        <f>COUNTIF('Matrice croisée'!T$7:T$330,"●")</f>
        <v>50</v>
      </c>
    </row>
    <row r="29" spans="2:11" ht="15.75" customHeight="1" x14ac:dyDescent="0.25">
      <c r="B29" s="3" t="s">
        <v>2691</v>
      </c>
      <c r="C29" s="52">
        <f>COUNTIFS('Matrice croisée'!$C$7:$C$330,C$7,'Matrice croisée'!U$7:U$330,"●")</f>
        <v>0</v>
      </c>
      <c r="D29" s="52">
        <f>COUNTIFS('Matrice croisée'!$C$7:$C$330,D$7,'Matrice croisée'!U$7:U$330,"●")</f>
        <v>0</v>
      </c>
      <c r="E29" s="52">
        <f>COUNTIFS('Matrice croisée'!$C$7:$C$330,E$7,'Matrice croisée'!U$7:U$330,"●")</f>
        <v>2</v>
      </c>
      <c r="F29" s="52">
        <f>COUNTIFS('Matrice croisée'!$C$7:$C$330,F$7,'Matrice croisée'!U$7:U$330,"●")</f>
        <v>0</v>
      </c>
      <c r="G29" s="52">
        <f>COUNTIFS('Matrice croisée'!$C$7:$C$330,G$7,'Matrice croisée'!U$7:U$330,"●")</f>
        <v>13</v>
      </c>
      <c r="H29" s="52">
        <f>COUNTIFS('Matrice croisée'!$C$7:$C$330,H$7,'Matrice croisée'!U$7:U$330,"●")</f>
        <v>0</v>
      </c>
      <c r="I29" s="52">
        <f>COUNTIFS('Matrice croisée'!$C$7:$C$330,I$7,'Matrice croisée'!U$7:U$330,"●")</f>
        <v>0</v>
      </c>
      <c r="J29" s="52">
        <f>COUNTIFS('Matrice croisée'!$C$7:$C$330,J$7,'Matrice croisée'!U$7:U$330,"●")</f>
        <v>0</v>
      </c>
      <c r="K29" s="53">
        <f>COUNTIF('Matrice croisée'!U$7:U$330,"●")</f>
        <v>15</v>
      </c>
    </row>
    <row r="30" spans="2:11" ht="15.75" customHeight="1" x14ac:dyDescent="0.25">
      <c r="B30" s="3" t="s">
        <v>2692</v>
      </c>
      <c r="C30" s="52">
        <f>COUNTIFS('Matrice croisée'!$C$7:$C$330,C$7,'Matrice croisée'!V$7:V$330,"●")</f>
        <v>4</v>
      </c>
      <c r="D30" s="52">
        <f>COUNTIFS('Matrice croisée'!$C$7:$C$330,D$7,'Matrice croisée'!V$7:V$330,"●")</f>
        <v>11</v>
      </c>
      <c r="E30" s="52">
        <f>COUNTIFS('Matrice croisée'!$C$7:$C$330,E$7,'Matrice croisée'!V$7:V$330,"●")</f>
        <v>0</v>
      </c>
      <c r="F30" s="52">
        <f>COUNTIFS('Matrice croisée'!$C$7:$C$330,F$7,'Matrice croisée'!V$7:V$330,"●")</f>
        <v>0</v>
      </c>
      <c r="G30" s="52">
        <f>COUNTIFS('Matrice croisée'!$C$7:$C$330,G$7,'Matrice croisée'!V$7:V$330,"●")</f>
        <v>0</v>
      </c>
      <c r="H30" s="52">
        <f>COUNTIFS('Matrice croisée'!$C$7:$C$330,H$7,'Matrice croisée'!V$7:V$330,"●")</f>
        <v>1</v>
      </c>
      <c r="I30" s="52">
        <f>COUNTIFS('Matrice croisée'!$C$7:$C$330,I$7,'Matrice croisée'!V$7:V$330,"●")</f>
        <v>1</v>
      </c>
      <c r="J30" s="52">
        <f>COUNTIFS('Matrice croisée'!$C$7:$C$330,J$7,'Matrice croisée'!V$7:V$330,"●")</f>
        <v>0</v>
      </c>
      <c r="K30" s="53">
        <f>COUNTIF('Matrice croisée'!V$7:V$330,"●")</f>
        <v>17</v>
      </c>
    </row>
    <row r="31" spans="2:11" ht="15.75" customHeight="1" x14ac:dyDescent="0.25">
      <c r="B31" s="3" t="s">
        <v>2693</v>
      </c>
      <c r="C31" s="52">
        <f>COUNTIFS('Matrice croisée'!$C$7:$C$330,C$7,'Matrice croisée'!W$7:W$330,"●")</f>
        <v>0</v>
      </c>
      <c r="D31" s="52">
        <f>COUNTIFS('Matrice croisée'!$C$7:$C$330,D$7,'Matrice croisée'!W$7:W$330,"●")</f>
        <v>1</v>
      </c>
      <c r="E31" s="52">
        <f>COUNTIFS('Matrice croisée'!$C$7:$C$330,E$7,'Matrice croisée'!W$7:W$330,"●")</f>
        <v>2</v>
      </c>
      <c r="F31" s="52">
        <f>COUNTIFS('Matrice croisée'!$C$7:$C$330,F$7,'Matrice croisée'!W$7:W$330,"●")</f>
        <v>1</v>
      </c>
      <c r="G31" s="52">
        <f>COUNTIFS('Matrice croisée'!$C$7:$C$330,G$7,'Matrice croisée'!W$7:W$330,"●")</f>
        <v>1</v>
      </c>
      <c r="H31" s="52">
        <f>COUNTIFS('Matrice croisée'!$C$7:$C$330,H$7,'Matrice croisée'!W$7:W$330,"●")</f>
        <v>0</v>
      </c>
      <c r="I31" s="52">
        <f>COUNTIFS('Matrice croisée'!$C$7:$C$330,I$7,'Matrice croisée'!W$7:W$330,"●")</f>
        <v>0</v>
      </c>
      <c r="J31" s="52">
        <f>COUNTIFS('Matrice croisée'!$C$7:$C$330,J$7,'Matrice croisée'!W$7:W$330,"●")</f>
        <v>0</v>
      </c>
      <c r="K31" s="53">
        <f>COUNTIF('Matrice croisée'!W$7:W$330,"●")</f>
        <v>5</v>
      </c>
    </row>
    <row r="32" spans="2:11" ht="15.75" customHeight="1" x14ac:dyDescent="0.25">
      <c r="B32" s="3" t="s">
        <v>2694</v>
      </c>
      <c r="C32" s="52">
        <f>COUNTIFS('Matrice croisée'!$C$7:$C$330,C$7,'Matrice croisée'!X$7:X$330,"●")</f>
        <v>1</v>
      </c>
      <c r="D32" s="52">
        <f>COUNTIFS('Matrice croisée'!$C$7:$C$330,D$7,'Matrice croisée'!X$7:X$330,"●")</f>
        <v>9</v>
      </c>
      <c r="E32" s="52">
        <f>COUNTIFS('Matrice croisée'!$C$7:$C$330,E$7,'Matrice croisée'!X$7:X$330,"●")</f>
        <v>6</v>
      </c>
      <c r="F32" s="52">
        <f>COUNTIFS('Matrice croisée'!$C$7:$C$330,F$7,'Matrice croisée'!X$7:X$330,"●")</f>
        <v>4</v>
      </c>
      <c r="G32" s="52">
        <f>COUNTIFS('Matrice croisée'!$C$7:$C$330,G$7,'Matrice croisée'!X$7:X$330,"●")</f>
        <v>7</v>
      </c>
      <c r="H32" s="52">
        <f>COUNTIFS('Matrice croisée'!$C$7:$C$330,H$7,'Matrice croisée'!X$7:X$330,"●")</f>
        <v>6</v>
      </c>
      <c r="I32" s="52">
        <f>COUNTIFS('Matrice croisée'!$C$7:$C$330,I$7,'Matrice croisée'!X$7:X$330,"●")</f>
        <v>12</v>
      </c>
      <c r="J32" s="52">
        <f>COUNTIFS('Matrice croisée'!$C$7:$C$330,J$7,'Matrice croisée'!X$7:X$330,"●")</f>
        <v>7</v>
      </c>
      <c r="K32" s="53">
        <f>COUNTIF('Matrice croisée'!X$7:X$330,"●")</f>
        <v>52</v>
      </c>
    </row>
    <row r="33" spans="2:11" x14ac:dyDescent="0.25">
      <c r="B33" s="50" t="s">
        <v>151</v>
      </c>
      <c r="C33" s="51"/>
      <c r="D33" s="51"/>
      <c r="E33" s="51"/>
      <c r="F33" s="51"/>
      <c r="G33" s="51"/>
      <c r="H33" s="51"/>
      <c r="I33" s="51"/>
      <c r="J33" s="51"/>
      <c r="K33" s="51"/>
    </row>
    <row r="34" spans="2:11" ht="15.75" customHeight="1" x14ac:dyDescent="0.25">
      <c r="B34" s="3" t="s">
        <v>1715</v>
      </c>
      <c r="C34" s="52">
        <f>COUNTIFS('Matrice croisée'!$C$7:$C$330,C$7,'Matrice croisée'!Y$7:Y$330,"●")</f>
        <v>8</v>
      </c>
      <c r="D34" s="52">
        <f>COUNTIFS('Matrice croisée'!$C$7:$C$330,D$7,'Matrice croisée'!Y$7:Y$330,"●")</f>
        <v>22</v>
      </c>
      <c r="E34" s="52">
        <f>COUNTIFS('Matrice croisée'!$C$7:$C$330,E$7,'Matrice croisée'!Y$7:Y$330,"●")</f>
        <v>0</v>
      </c>
      <c r="F34" s="52">
        <f>COUNTIFS('Matrice croisée'!$C$7:$C$330,F$7,'Matrice croisée'!Y$7:Y$330,"●")</f>
        <v>0</v>
      </c>
      <c r="G34" s="52">
        <f>COUNTIFS('Matrice croisée'!$C$7:$C$330,G$7,'Matrice croisée'!Y$7:Y$330,"●")</f>
        <v>18</v>
      </c>
      <c r="H34" s="52">
        <f>COUNTIFS('Matrice croisée'!$C$7:$C$330,H$7,'Matrice croisée'!Y$7:Y$330,"●")</f>
        <v>5</v>
      </c>
      <c r="I34" s="52">
        <f>COUNTIFS('Matrice croisée'!$C$7:$C$330,I$7,'Matrice croisée'!Y$7:Y$330,"●")</f>
        <v>1</v>
      </c>
      <c r="J34" s="52">
        <f>COUNTIFS('Matrice croisée'!$C$7:$C$330,J$7,'Matrice croisée'!Y$7:Y$330,"●")</f>
        <v>0</v>
      </c>
      <c r="K34" s="53">
        <f>COUNTIF('Matrice croisée'!Y$7:Y$330,"●")</f>
        <v>54</v>
      </c>
    </row>
    <row r="35" spans="2:11" ht="15.75" customHeight="1" x14ac:dyDescent="0.25">
      <c r="B35" s="3" t="s">
        <v>2695</v>
      </c>
      <c r="C35" s="52">
        <f>COUNTIFS('Matrice croisée'!$C$7:$C$330,C$7,'Matrice croisée'!Z$7:Z$330,"●")</f>
        <v>7</v>
      </c>
      <c r="D35" s="52">
        <f>COUNTIFS('Matrice croisée'!$C$7:$C$330,D$7,'Matrice croisée'!Z$7:Z$330,"●")</f>
        <v>9</v>
      </c>
      <c r="E35" s="52">
        <f>COUNTIFS('Matrice croisée'!$C$7:$C$330,E$7,'Matrice croisée'!Z$7:Z$330,"●")</f>
        <v>1</v>
      </c>
      <c r="F35" s="52">
        <f>COUNTIFS('Matrice croisée'!$C$7:$C$330,F$7,'Matrice croisée'!Z$7:Z$330,"●")</f>
        <v>0</v>
      </c>
      <c r="G35" s="52">
        <f>COUNTIFS('Matrice croisée'!$C$7:$C$330,G$7,'Matrice croisée'!Z$7:Z$330,"●")</f>
        <v>17</v>
      </c>
      <c r="H35" s="52">
        <f>COUNTIFS('Matrice croisée'!$C$7:$C$330,H$7,'Matrice croisée'!Z$7:Z$330,"●")</f>
        <v>7</v>
      </c>
      <c r="I35" s="52">
        <f>COUNTIFS('Matrice croisée'!$C$7:$C$330,I$7,'Matrice croisée'!Z$7:Z$330,"●")</f>
        <v>9</v>
      </c>
      <c r="J35" s="52">
        <f>COUNTIFS('Matrice croisée'!$C$7:$C$330,J$7,'Matrice croisée'!Z$7:Z$330,"●")</f>
        <v>0</v>
      </c>
      <c r="K35" s="53">
        <f>COUNTIF('Matrice croisée'!Z$7:Z$330,"●")</f>
        <v>50</v>
      </c>
    </row>
    <row r="36" spans="2:11" ht="15.75" customHeight="1" x14ac:dyDescent="0.25">
      <c r="B36" s="3" t="s">
        <v>2696</v>
      </c>
      <c r="C36" s="52">
        <f>COUNTIFS('Matrice croisée'!$C$7:$C$330,C$7,'Matrice croisée'!AA$7:AA$330,"●")</f>
        <v>0</v>
      </c>
      <c r="D36" s="52">
        <f>COUNTIFS('Matrice croisée'!$C$7:$C$330,D$7,'Matrice croisée'!AA$7:AA$330,"●")</f>
        <v>0</v>
      </c>
      <c r="E36" s="52">
        <f>COUNTIFS('Matrice croisée'!$C$7:$C$330,E$7,'Matrice croisée'!AA$7:AA$330,"●")</f>
        <v>11</v>
      </c>
      <c r="F36" s="52">
        <f>COUNTIFS('Matrice croisée'!$C$7:$C$330,F$7,'Matrice croisée'!AA$7:AA$330,"●")</f>
        <v>6</v>
      </c>
      <c r="G36" s="52">
        <f>COUNTIFS('Matrice croisée'!$C$7:$C$330,G$7,'Matrice croisée'!AA$7:AA$330,"●")</f>
        <v>0</v>
      </c>
      <c r="H36" s="52">
        <f>COUNTIFS('Matrice croisée'!$C$7:$C$330,H$7,'Matrice croisée'!AA$7:AA$330,"●")</f>
        <v>5</v>
      </c>
      <c r="I36" s="52">
        <f>COUNTIFS('Matrice croisée'!$C$7:$C$330,I$7,'Matrice croisée'!AA$7:AA$330,"●")</f>
        <v>0</v>
      </c>
      <c r="J36" s="52">
        <f>COUNTIFS('Matrice croisée'!$C$7:$C$330,J$7,'Matrice croisée'!AA$7:AA$330,"●")</f>
        <v>0</v>
      </c>
      <c r="K36" s="53">
        <f>COUNTIF('Matrice croisée'!AA$7:AA$330,"●")</f>
        <v>22</v>
      </c>
    </row>
    <row r="37" spans="2:11" ht="15.75" customHeight="1" x14ac:dyDescent="0.25">
      <c r="B37" s="3" t="s">
        <v>2697</v>
      </c>
      <c r="C37" s="52">
        <f>COUNTIFS('Matrice croisée'!$C$7:$C$330,C$7,'Matrice croisée'!AB$7:AB$330,"●")</f>
        <v>0</v>
      </c>
      <c r="D37" s="52">
        <f>COUNTIFS('Matrice croisée'!$C$7:$C$330,D$7,'Matrice croisée'!AB$7:AB$330,"●")</f>
        <v>0</v>
      </c>
      <c r="E37" s="52">
        <f>COUNTIFS('Matrice croisée'!$C$7:$C$330,E$7,'Matrice croisée'!AB$7:AB$330,"●")</f>
        <v>0</v>
      </c>
      <c r="F37" s="52">
        <f>COUNTIFS('Matrice croisée'!$C$7:$C$330,F$7,'Matrice croisée'!AB$7:AB$330,"●")</f>
        <v>0</v>
      </c>
      <c r="G37" s="52">
        <f>COUNTIFS('Matrice croisée'!$C$7:$C$330,G$7,'Matrice croisée'!AB$7:AB$330,"●")</f>
        <v>5</v>
      </c>
      <c r="H37" s="52">
        <f>COUNTIFS('Matrice croisée'!$C$7:$C$330,H$7,'Matrice croisée'!AB$7:AB$330,"●")</f>
        <v>1</v>
      </c>
      <c r="I37" s="52">
        <f>COUNTIFS('Matrice croisée'!$C$7:$C$330,I$7,'Matrice croisée'!AB$7:AB$330,"●")</f>
        <v>2</v>
      </c>
      <c r="J37" s="52">
        <f>COUNTIFS('Matrice croisée'!$C$7:$C$330,J$7,'Matrice croisée'!AB$7:AB$330,"●")</f>
        <v>0</v>
      </c>
      <c r="K37" s="53">
        <f>COUNTIF('Matrice croisée'!AB$7:AB$330,"●")</f>
        <v>8</v>
      </c>
    </row>
    <row r="38" spans="2:11" x14ac:dyDescent="0.25">
      <c r="B38" s="50" t="s">
        <v>1676</v>
      </c>
      <c r="C38" s="51"/>
      <c r="D38" s="51"/>
      <c r="E38" s="51"/>
      <c r="F38" s="51"/>
      <c r="G38" s="51"/>
      <c r="H38" s="51"/>
      <c r="I38" s="51"/>
      <c r="J38" s="51"/>
      <c r="K38" s="51"/>
    </row>
    <row r="39" spans="2:11" ht="15.75" customHeight="1" x14ac:dyDescent="0.25">
      <c r="B39" s="3" t="s">
        <v>2698</v>
      </c>
      <c r="C39" s="52">
        <f>COUNTIFS('Matrice croisée'!$C$7:$C$330,C$7,'Matrice croisée'!AC$7:AC$330,"●")</f>
        <v>13</v>
      </c>
      <c r="D39" s="52">
        <f>COUNTIFS('Matrice croisée'!$C$7:$C$330,D$7,'Matrice croisée'!AC$7:AC$330,"●")</f>
        <v>33</v>
      </c>
      <c r="E39" s="52">
        <f>COUNTIFS('Matrice croisée'!$C$7:$C$330,E$7,'Matrice croisée'!AC$7:AC$330,"●")</f>
        <v>0</v>
      </c>
      <c r="F39" s="52">
        <f>COUNTIFS('Matrice croisée'!$C$7:$C$330,F$7,'Matrice croisée'!AC$7:AC$330,"●")</f>
        <v>0</v>
      </c>
      <c r="G39" s="52">
        <f>COUNTIFS('Matrice croisée'!$C$7:$C$330,G$7,'Matrice croisée'!AC$7:AC$330,"●")</f>
        <v>3</v>
      </c>
      <c r="H39" s="52">
        <f>COUNTIFS('Matrice croisée'!$C$7:$C$330,H$7,'Matrice croisée'!AC$7:AC$330,"●")</f>
        <v>1</v>
      </c>
      <c r="I39" s="52">
        <f>COUNTIFS('Matrice croisée'!$C$7:$C$330,I$7,'Matrice croisée'!AC$7:AC$330,"●")</f>
        <v>1</v>
      </c>
      <c r="J39" s="52">
        <f>COUNTIFS('Matrice croisée'!$C$7:$C$330,J$7,'Matrice croisée'!AC$7:AC$330,"●")</f>
        <v>0</v>
      </c>
      <c r="K39" s="53">
        <f>COUNTIF('Matrice croisée'!AC$7:AC$330,"●")</f>
        <v>51</v>
      </c>
    </row>
    <row r="40" spans="2:11" ht="30" customHeight="1" x14ac:dyDescent="0.25">
      <c r="B40" s="3" t="s">
        <v>2699</v>
      </c>
      <c r="C40" s="52">
        <f>COUNTIFS('Matrice croisée'!$C$7:$C$330,C$7,'Matrice croisée'!AD$7:AD$330,"●")</f>
        <v>3</v>
      </c>
      <c r="D40" s="52">
        <f>COUNTIFS('Matrice croisée'!$C$7:$C$330,D$7,'Matrice croisée'!AD$7:AD$330,"●")</f>
        <v>6</v>
      </c>
      <c r="E40" s="52">
        <f>COUNTIFS('Matrice croisée'!$C$7:$C$330,E$7,'Matrice croisée'!AD$7:AD$330,"●")</f>
        <v>0</v>
      </c>
      <c r="F40" s="52">
        <f>COUNTIFS('Matrice croisée'!$C$7:$C$330,F$7,'Matrice croisée'!AD$7:AD$330,"●")</f>
        <v>0</v>
      </c>
      <c r="G40" s="52">
        <f>COUNTIFS('Matrice croisée'!$C$7:$C$330,G$7,'Matrice croisée'!AD$7:AD$330,"●")</f>
        <v>6</v>
      </c>
      <c r="H40" s="52">
        <f>COUNTIFS('Matrice croisée'!$C$7:$C$330,H$7,'Matrice croisée'!AD$7:AD$330,"●")</f>
        <v>9</v>
      </c>
      <c r="I40" s="52">
        <f>COUNTIFS('Matrice croisée'!$C$7:$C$330,I$7,'Matrice croisée'!AD$7:AD$330,"●")</f>
        <v>3</v>
      </c>
      <c r="J40" s="52">
        <f>COUNTIFS('Matrice croisée'!$C$7:$C$330,J$7,'Matrice croisée'!AD$7:AD$330,"●")</f>
        <v>4</v>
      </c>
      <c r="K40" s="53">
        <f>COUNTIF('Matrice croisée'!AD$7:AD$330,"●")</f>
        <v>31</v>
      </c>
    </row>
    <row r="41" spans="2:11" ht="15.75" customHeight="1" x14ac:dyDescent="0.25">
      <c r="B41" s="3" t="s">
        <v>2700</v>
      </c>
      <c r="C41" s="52">
        <f>COUNTIFS('Matrice croisée'!$C$7:$C$330,C$7,'Matrice croisée'!AE$7:AE$330,"●")</f>
        <v>2</v>
      </c>
      <c r="D41" s="52">
        <f>COUNTIFS('Matrice croisée'!$C$7:$C$330,D$7,'Matrice croisée'!AE$7:AE$330,"●")</f>
        <v>0</v>
      </c>
      <c r="E41" s="52">
        <f>COUNTIFS('Matrice croisée'!$C$7:$C$330,E$7,'Matrice croisée'!AE$7:AE$330,"●")</f>
        <v>0</v>
      </c>
      <c r="F41" s="52">
        <f>COUNTIFS('Matrice croisée'!$C$7:$C$330,F$7,'Matrice croisée'!AE$7:AE$330,"●")</f>
        <v>0</v>
      </c>
      <c r="G41" s="52">
        <f>COUNTIFS('Matrice croisée'!$C$7:$C$330,G$7,'Matrice croisée'!AE$7:AE$330,"●")</f>
        <v>7</v>
      </c>
      <c r="H41" s="52">
        <f>COUNTIFS('Matrice croisée'!$C$7:$C$330,H$7,'Matrice croisée'!AE$7:AE$330,"●")</f>
        <v>1</v>
      </c>
      <c r="I41" s="52">
        <f>COUNTIFS('Matrice croisée'!$C$7:$C$330,I$7,'Matrice croisée'!AE$7:AE$330,"●")</f>
        <v>4</v>
      </c>
      <c r="J41" s="52">
        <f>COUNTIFS('Matrice croisée'!$C$7:$C$330,J$7,'Matrice croisée'!AE$7:AE$330,"●")</f>
        <v>2</v>
      </c>
      <c r="K41" s="53">
        <f>COUNTIF('Matrice croisée'!AE$7:AE$330,"●")</f>
        <v>16</v>
      </c>
    </row>
    <row r="42" spans="2:11" ht="15.75" customHeight="1" x14ac:dyDescent="0.25">
      <c r="B42" s="3" t="s">
        <v>2508</v>
      </c>
      <c r="C42" s="52">
        <f>COUNTIFS('Matrice croisée'!$C$7:$C$330,C$7,'Matrice croisée'!AF$7:AF$330,"●")</f>
        <v>0</v>
      </c>
      <c r="D42" s="52">
        <f>COUNTIFS('Matrice croisée'!$C$7:$C$330,D$7,'Matrice croisée'!AF$7:AF$330,"●")</f>
        <v>0</v>
      </c>
      <c r="E42" s="52">
        <f>COUNTIFS('Matrice croisée'!$C$7:$C$330,E$7,'Matrice croisée'!AF$7:AF$330,"●")</f>
        <v>0</v>
      </c>
      <c r="F42" s="52">
        <f>COUNTIFS('Matrice croisée'!$C$7:$C$330,F$7,'Matrice croisée'!AF$7:AF$330,"●")</f>
        <v>0</v>
      </c>
      <c r="G42" s="52">
        <f>COUNTIFS('Matrice croisée'!$C$7:$C$330,G$7,'Matrice croisée'!AF$7:AF$330,"●")</f>
        <v>3</v>
      </c>
      <c r="H42" s="52">
        <f>COUNTIFS('Matrice croisée'!$C$7:$C$330,H$7,'Matrice croisée'!AF$7:AF$330,"●")</f>
        <v>3</v>
      </c>
      <c r="I42" s="52">
        <f>COUNTIFS('Matrice croisée'!$C$7:$C$330,I$7,'Matrice croisée'!AF$7:AF$330,"●")</f>
        <v>4</v>
      </c>
      <c r="J42" s="52">
        <f>COUNTIFS('Matrice croisée'!$C$7:$C$330,J$7,'Matrice croisée'!AF$7:AF$330,"●")</f>
        <v>0</v>
      </c>
      <c r="K42" s="53">
        <f>COUNTIF('Matrice croisée'!AF$7:AF$330,"●")</f>
        <v>10</v>
      </c>
    </row>
    <row r="43" spans="2:11" ht="15.75" customHeight="1" x14ac:dyDescent="0.25">
      <c r="B43" s="3" t="s">
        <v>2701</v>
      </c>
      <c r="C43" s="52">
        <f>COUNTIFS('Matrice croisée'!$C$7:$C$330,C$7,'Matrice croisée'!AG$7:AG$330,"●")</f>
        <v>2</v>
      </c>
      <c r="D43" s="52">
        <f>COUNTIFS('Matrice croisée'!$C$7:$C$330,D$7,'Matrice croisée'!AG$7:AG$330,"●")</f>
        <v>0</v>
      </c>
      <c r="E43" s="52">
        <f>COUNTIFS('Matrice croisée'!$C$7:$C$330,E$7,'Matrice croisée'!AG$7:AG$330,"●")</f>
        <v>0</v>
      </c>
      <c r="F43" s="52">
        <f>COUNTIFS('Matrice croisée'!$C$7:$C$330,F$7,'Matrice croisée'!AG$7:AG$330,"●")</f>
        <v>2</v>
      </c>
      <c r="G43" s="52">
        <f>COUNTIFS('Matrice croisée'!$C$7:$C$330,G$7,'Matrice croisée'!AG$7:AG$330,"●")</f>
        <v>2</v>
      </c>
      <c r="H43" s="52">
        <f>COUNTIFS('Matrice croisée'!$C$7:$C$330,H$7,'Matrice croisée'!AG$7:AG$330,"●")</f>
        <v>15</v>
      </c>
      <c r="I43" s="52">
        <f>COUNTIFS('Matrice croisée'!$C$7:$C$330,I$7,'Matrice croisée'!AG$7:AG$330,"●")</f>
        <v>2</v>
      </c>
      <c r="J43" s="52">
        <f>COUNTIFS('Matrice croisée'!$C$7:$C$330,J$7,'Matrice croisée'!AG$7:AG$330,"●")</f>
        <v>0</v>
      </c>
      <c r="K43" s="53">
        <f>COUNTIF('Matrice croisée'!AG$7:AG$330,"●")</f>
        <v>23</v>
      </c>
    </row>
    <row r="44" spans="2:11" ht="15.75" customHeight="1" x14ac:dyDescent="0.25">
      <c r="B44" s="3" t="s">
        <v>2702</v>
      </c>
      <c r="C44" s="52">
        <f>COUNTIFS('Matrice croisée'!$C$7:$C$330,C$7,'Matrice croisée'!AH$7:AH$330,"●")</f>
        <v>0</v>
      </c>
      <c r="D44" s="52">
        <f>COUNTIFS('Matrice croisée'!$C$7:$C$330,D$7,'Matrice croisée'!AH$7:AH$330,"●")</f>
        <v>0</v>
      </c>
      <c r="E44" s="52">
        <f>COUNTIFS('Matrice croisée'!$C$7:$C$330,E$7,'Matrice croisée'!AH$7:AH$330,"●")</f>
        <v>19</v>
      </c>
      <c r="F44" s="52">
        <f>COUNTIFS('Matrice croisée'!$C$7:$C$330,F$7,'Matrice croisée'!AH$7:AH$330,"●")</f>
        <v>10</v>
      </c>
      <c r="G44" s="52">
        <f>COUNTIFS('Matrice croisée'!$C$7:$C$330,G$7,'Matrice croisée'!AH$7:AH$330,"●")</f>
        <v>2</v>
      </c>
      <c r="H44" s="52">
        <f>COUNTIFS('Matrice croisée'!$C$7:$C$330,H$7,'Matrice croisée'!AH$7:AH$330,"●")</f>
        <v>3</v>
      </c>
      <c r="I44" s="52">
        <f>COUNTIFS('Matrice croisée'!$C$7:$C$330,I$7,'Matrice croisée'!AH$7:AH$330,"●")</f>
        <v>0</v>
      </c>
      <c r="J44" s="52">
        <f>COUNTIFS('Matrice croisée'!$C$7:$C$330,J$7,'Matrice croisée'!AH$7:AH$330,"●")</f>
        <v>0</v>
      </c>
      <c r="K44" s="53">
        <f>COUNTIF('Matrice croisée'!AH$7:AH$330,"●")</f>
        <v>34</v>
      </c>
    </row>
    <row r="45" spans="2:11" ht="15.75" customHeight="1" x14ac:dyDescent="0.25">
      <c r="B45" s="3" t="s">
        <v>2703</v>
      </c>
      <c r="C45" s="52">
        <f>COUNTIFS('Matrice croisée'!$C$7:$C$330,C$7,'Matrice croisée'!AI$7:AI$330,"●")</f>
        <v>0</v>
      </c>
      <c r="D45" s="52">
        <f>COUNTIFS('Matrice croisée'!$C$7:$C$330,D$7,'Matrice croisée'!AI$7:AI$330,"●")</f>
        <v>0</v>
      </c>
      <c r="E45" s="52">
        <f>COUNTIFS('Matrice croisée'!$C$7:$C$330,E$7,'Matrice croisée'!AI$7:AI$330,"●")</f>
        <v>0</v>
      </c>
      <c r="F45" s="52">
        <f>COUNTIFS('Matrice croisée'!$C$7:$C$330,F$7,'Matrice croisée'!AI$7:AI$330,"●")</f>
        <v>0</v>
      </c>
      <c r="G45" s="52">
        <f>COUNTIFS('Matrice croisée'!$C$7:$C$330,G$7,'Matrice croisée'!AI$7:AI$330,"●")</f>
        <v>8</v>
      </c>
      <c r="H45" s="52">
        <f>COUNTIFS('Matrice croisée'!$C$7:$C$330,H$7,'Matrice croisée'!AI$7:AI$330,"●")</f>
        <v>3</v>
      </c>
      <c r="I45" s="52">
        <f>COUNTIFS('Matrice croisée'!$C$7:$C$330,I$7,'Matrice croisée'!AI$7:AI$330,"●")</f>
        <v>3</v>
      </c>
      <c r="J45" s="52">
        <f>COUNTIFS('Matrice croisée'!$C$7:$C$330,J$7,'Matrice croisée'!AI$7:AI$330,"●")</f>
        <v>0</v>
      </c>
      <c r="K45" s="53">
        <f>COUNTIF('Matrice croisée'!AI$7:AI$330,"●")</f>
        <v>14</v>
      </c>
    </row>
    <row r="46" spans="2:11" ht="30" customHeight="1" x14ac:dyDescent="0.25">
      <c r="B46" s="3" t="s">
        <v>2704</v>
      </c>
      <c r="C46" s="52">
        <f>COUNTIFS('Matrice croisée'!$C$7:$C$330,C$7,'Matrice croisée'!AJ$7:AJ$330,"●")</f>
        <v>1</v>
      </c>
      <c r="D46" s="52">
        <f>COUNTIFS('Matrice croisée'!$C$7:$C$330,D$7,'Matrice croisée'!AJ$7:AJ$330,"●")</f>
        <v>0</v>
      </c>
      <c r="E46" s="52">
        <f>COUNTIFS('Matrice croisée'!$C$7:$C$330,E$7,'Matrice croisée'!AJ$7:AJ$330,"●")</f>
        <v>1</v>
      </c>
      <c r="F46" s="52">
        <f>COUNTIFS('Matrice croisée'!$C$7:$C$330,F$7,'Matrice croisée'!AJ$7:AJ$330,"●")</f>
        <v>0</v>
      </c>
      <c r="G46" s="52">
        <f>COUNTIFS('Matrice croisée'!$C$7:$C$330,G$7,'Matrice croisée'!AJ$7:AJ$330,"●")</f>
        <v>20</v>
      </c>
      <c r="H46" s="52">
        <f>COUNTIFS('Matrice croisée'!$C$7:$C$330,H$7,'Matrice croisée'!AJ$7:AJ$330,"●")</f>
        <v>2</v>
      </c>
      <c r="I46" s="52">
        <f>COUNTIFS('Matrice croisée'!$C$7:$C$330,I$7,'Matrice croisée'!AJ$7:AJ$330,"●")</f>
        <v>6</v>
      </c>
      <c r="J46" s="52">
        <f>COUNTIFS('Matrice croisée'!$C$7:$C$330,J$7,'Matrice croisée'!AJ$7:AJ$330,"●")</f>
        <v>1</v>
      </c>
      <c r="K46" s="53">
        <f>COUNTIF('Matrice croisée'!AJ$7:AJ$330,"●")</f>
        <v>31</v>
      </c>
    </row>
    <row r="47" spans="2:11" ht="15.75" customHeight="1" x14ac:dyDescent="0.25">
      <c r="B47" s="3" t="s">
        <v>2705</v>
      </c>
      <c r="C47" s="52">
        <f>COUNTIFS('Matrice croisée'!$C$7:$C$330,C$7,'Matrice croisée'!AK$7:AK$330,"●")</f>
        <v>0</v>
      </c>
      <c r="D47" s="52">
        <f>COUNTIFS('Matrice croisée'!$C$7:$C$330,D$7,'Matrice croisée'!AK$7:AK$330,"●")</f>
        <v>4</v>
      </c>
      <c r="E47" s="52">
        <f>COUNTIFS('Matrice croisée'!$C$7:$C$330,E$7,'Matrice croisée'!AK$7:AK$330,"●")</f>
        <v>3</v>
      </c>
      <c r="F47" s="52">
        <f>COUNTIFS('Matrice croisée'!$C$7:$C$330,F$7,'Matrice croisée'!AK$7:AK$330,"●")</f>
        <v>0</v>
      </c>
      <c r="G47" s="52">
        <f>COUNTIFS('Matrice croisée'!$C$7:$C$330,G$7,'Matrice croisée'!AK$7:AK$330,"●")</f>
        <v>10</v>
      </c>
      <c r="H47" s="52">
        <f>COUNTIFS('Matrice croisée'!$C$7:$C$330,H$7,'Matrice croisée'!AK$7:AK$330,"●")</f>
        <v>2</v>
      </c>
      <c r="I47" s="52">
        <f>COUNTIFS('Matrice croisée'!$C$7:$C$330,I$7,'Matrice croisée'!AK$7:AK$330,"●")</f>
        <v>11</v>
      </c>
      <c r="J47" s="52">
        <f>COUNTIFS('Matrice croisée'!$C$7:$C$330,J$7,'Matrice croisée'!AK$7:AK$330,"●")</f>
        <v>4</v>
      </c>
      <c r="K47" s="53">
        <f>COUNTIF('Matrice croisée'!AK$7:AK$330,"●")</f>
        <v>34</v>
      </c>
    </row>
    <row r="48" spans="2:11" x14ac:dyDescent="0.25">
      <c r="B48" s="50" t="s">
        <v>1677</v>
      </c>
      <c r="C48" s="51"/>
      <c r="D48" s="51"/>
      <c r="E48" s="51"/>
      <c r="F48" s="51"/>
      <c r="G48" s="51"/>
      <c r="H48" s="51"/>
      <c r="I48" s="51"/>
      <c r="J48" s="51"/>
      <c r="K48" s="51"/>
    </row>
    <row r="49" spans="2:13" ht="15.75" customHeight="1" x14ac:dyDescent="0.25">
      <c r="B49" s="3" t="s">
        <v>2706</v>
      </c>
      <c r="C49" s="52">
        <f>COUNTIFS('Matrice croisée'!$C$7:$C$330,C$7,'Matrice croisée'!AL$7:AL$330,"●")</f>
        <v>2</v>
      </c>
      <c r="D49" s="52">
        <f>COUNTIFS('Matrice croisée'!$C$7:$C$330,D$7,'Matrice croisée'!AL$7:AL$330,"●")</f>
        <v>1</v>
      </c>
      <c r="E49" s="52">
        <f>COUNTIFS('Matrice croisée'!$C$7:$C$330,E$7,'Matrice croisée'!AL$7:AL$330,"●")</f>
        <v>0</v>
      </c>
      <c r="F49" s="52">
        <f>COUNTIFS('Matrice croisée'!$C$7:$C$330,F$7,'Matrice croisée'!AL$7:AL$330,"●")</f>
        <v>0</v>
      </c>
      <c r="G49" s="52">
        <f>COUNTIFS('Matrice croisée'!$C$7:$C$330,G$7,'Matrice croisée'!AL$7:AL$330,"●")</f>
        <v>7</v>
      </c>
      <c r="H49" s="52">
        <f>COUNTIFS('Matrice croisée'!$C$7:$C$330,H$7,'Matrice croisée'!AL$7:AL$330,"●")</f>
        <v>5</v>
      </c>
      <c r="I49" s="52">
        <f>COUNTIFS('Matrice croisée'!$C$7:$C$330,I$7,'Matrice croisée'!AL$7:AL$330,"●")</f>
        <v>8</v>
      </c>
      <c r="J49" s="52">
        <f>COUNTIFS('Matrice croisée'!$C$7:$C$330,J$7,'Matrice croisée'!AL$7:AL$330,"●")</f>
        <v>1</v>
      </c>
      <c r="K49" s="53">
        <f>COUNTIF('Matrice croisée'!AL$7:AL$330,"●")</f>
        <v>24</v>
      </c>
    </row>
    <row r="50" spans="2:13" ht="15.75" customHeight="1" x14ac:dyDescent="0.25">
      <c r="B50" s="3" t="s">
        <v>2707</v>
      </c>
      <c r="C50" s="52">
        <f>COUNTIFS('Matrice croisée'!$C$7:$C$330,C$7,'Matrice croisée'!AM$7:AM$330,"●")</f>
        <v>4</v>
      </c>
      <c r="D50" s="52">
        <f>COUNTIFS('Matrice croisée'!$C$7:$C$330,D$7,'Matrice croisée'!AM$7:AM$330,"●")</f>
        <v>11</v>
      </c>
      <c r="E50" s="52">
        <f>COUNTIFS('Matrice croisée'!$C$7:$C$330,E$7,'Matrice croisée'!AM$7:AM$330,"●")</f>
        <v>10</v>
      </c>
      <c r="F50" s="52">
        <f>COUNTIFS('Matrice croisée'!$C$7:$C$330,F$7,'Matrice croisée'!AM$7:AM$330,"●")</f>
        <v>6</v>
      </c>
      <c r="G50" s="52">
        <f>COUNTIFS('Matrice croisée'!$C$7:$C$330,G$7,'Matrice croisée'!AM$7:AM$330,"●")</f>
        <v>3</v>
      </c>
      <c r="H50" s="52">
        <f>COUNTIFS('Matrice croisée'!$C$7:$C$330,H$7,'Matrice croisée'!AM$7:AM$330,"●")</f>
        <v>10</v>
      </c>
      <c r="I50" s="52">
        <f>COUNTIFS('Matrice croisée'!$C$7:$C$330,I$7,'Matrice croisée'!AM$7:AM$330,"●")</f>
        <v>0</v>
      </c>
      <c r="J50" s="52">
        <f>COUNTIFS('Matrice croisée'!$C$7:$C$330,J$7,'Matrice croisée'!AM$7:AM$330,"●")</f>
        <v>0</v>
      </c>
      <c r="K50" s="53">
        <f>COUNTIF('Matrice croisée'!AM$7:AM$330,"●")</f>
        <v>44</v>
      </c>
    </row>
    <row r="51" spans="2:13" ht="15.75" customHeight="1" x14ac:dyDescent="0.25">
      <c r="B51" s="3" t="s">
        <v>2708</v>
      </c>
      <c r="C51" s="52">
        <f>COUNTIFS('Matrice croisée'!$C$7:$C$330,C$7,'Matrice croisée'!AN$7:AN$330,"●")</f>
        <v>1</v>
      </c>
      <c r="D51" s="52">
        <f>COUNTIFS('Matrice croisée'!$C$7:$C$330,D$7,'Matrice croisée'!AN$7:AN$330,"●")</f>
        <v>13</v>
      </c>
      <c r="E51" s="52">
        <f>COUNTIFS('Matrice croisée'!$C$7:$C$330,E$7,'Matrice croisée'!AN$7:AN$330,"●")</f>
        <v>1</v>
      </c>
      <c r="F51" s="52">
        <f>COUNTIFS('Matrice croisée'!$C$7:$C$330,F$7,'Matrice croisée'!AN$7:AN$330,"●")</f>
        <v>0</v>
      </c>
      <c r="G51" s="52">
        <f>COUNTIFS('Matrice croisée'!$C$7:$C$330,G$7,'Matrice croisée'!AN$7:AN$330,"●")</f>
        <v>17</v>
      </c>
      <c r="H51" s="52">
        <f>COUNTIFS('Matrice croisée'!$C$7:$C$330,H$7,'Matrice croisée'!AN$7:AN$330,"●")</f>
        <v>3</v>
      </c>
      <c r="I51" s="52">
        <f>COUNTIFS('Matrice croisée'!$C$7:$C$330,I$7,'Matrice croisée'!AN$7:AN$330,"●")</f>
        <v>0</v>
      </c>
      <c r="J51" s="52">
        <f>COUNTIFS('Matrice croisée'!$C$7:$C$330,J$7,'Matrice croisée'!AN$7:AN$330,"●")</f>
        <v>0</v>
      </c>
      <c r="K51" s="53">
        <f>COUNTIF('Matrice croisée'!AN$7:AN$330,"●")</f>
        <v>35</v>
      </c>
    </row>
    <row r="52" spans="2:13" x14ac:dyDescent="0.25">
      <c r="B52" s="9" t="s">
        <v>2709</v>
      </c>
    </row>
    <row r="54" spans="2:13" ht="21.75" customHeight="1" x14ac:dyDescent="0.25">
      <c r="B54" s="46" t="s">
        <v>2710</v>
      </c>
      <c r="C54" s="47"/>
      <c r="D54" s="47"/>
      <c r="E54" s="47"/>
      <c r="F54" s="47"/>
      <c r="G54" s="47"/>
      <c r="H54" s="47"/>
      <c r="I54" s="47"/>
      <c r="J54" s="47"/>
      <c r="K54" s="47"/>
      <c r="L54" s="47"/>
      <c r="M54" s="47"/>
    </row>
    <row r="55" spans="2:13" ht="24" customHeight="1" x14ac:dyDescent="0.25">
      <c r="B55" s="5" t="s">
        <v>2711</v>
      </c>
      <c r="C55" s="82" t="s">
        <v>2712</v>
      </c>
      <c r="D55" s="82"/>
      <c r="E55" s="82"/>
      <c r="F55" s="82"/>
      <c r="G55" s="82"/>
      <c r="H55" s="82"/>
      <c r="I55" s="82"/>
      <c r="J55" s="82"/>
      <c r="K55" s="5" t="s">
        <v>181</v>
      </c>
      <c r="L55" s="82" t="s">
        <v>2713</v>
      </c>
      <c r="M55" s="82"/>
    </row>
    <row r="56" spans="2:13" ht="30" customHeight="1" x14ac:dyDescent="0.25">
      <c r="B56" s="43" t="s">
        <v>2714</v>
      </c>
      <c r="C56" s="83" t="s">
        <v>2715</v>
      </c>
      <c r="D56" s="83"/>
      <c r="E56" s="83"/>
      <c r="F56" s="83"/>
      <c r="G56" s="83"/>
      <c r="H56" s="83"/>
      <c r="I56" s="83"/>
      <c r="J56" s="83"/>
      <c r="K56" s="53">
        <f>COUNTIFS('Matrice croisée'!F$7:F$330,"●",'Matrice croisée'!I$7:I$330,"●")</f>
        <v>2</v>
      </c>
      <c r="L56" s="83" t="s">
        <v>2716</v>
      </c>
      <c r="M56" s="83"/>
    </row>
    <row r="57" spans="2:13" ht="30" customHeight="1" x14ac:dyDescent="0.25">
      <c r="B57" s="43" t="s">
        <v>2717</v>
      </c>
      <c r="C57" s="83" t="s">
        <v>2718</v>
      </c>
      <c r="D57" s="83"/>
      <c r="E57" s="83"/>
      <c r="F57" s="83"/>
      <c r="G57" s="83"/>
      <c r="H57" s="83"/>
      <c r="I57" s="83"/>
      <c r="J57" s="83"/>
      <c r="K57" s="53">
        <f>COUNTIFS('Matrice croisée'!F$7:F$330,"●",'Matrice croisée'!I$7:I$330,"●",'Matrice croisée'!M$7:M$330,"●")</f>
        <v>0</v>
      </c>
      <c r="L57" s="83" t="s">
        <v>2719</v>
      </c>
      <c r="M57" s="83"/>
    </row>
    <row r="58" spans="2:13" ht="30" customHeight="1" x14ac:dyDescent="0.25">
      <c r="B58" s="43" t="s">
        <v>2720</v>
      </c>
      <c r="C58" s="83" t="s">
        <v>2721</v>
      </c>
      <c r="D58" s="83"/>
      <c r="E58" s="83"/>
      <c r="F58" s="83"/>
      <c r="G58" s="83"/>
      <c r="H58" s="83"/>
      <c r="I58" s="83"/>
      <c r="J58" s="83"/>
      <c r="K58" s="53">
        <f>COUNTIFS('Matrice croisée'!I$7:I$330,"●",'Matrice croisée'!M$7:M$330,"●")</f>
        <v>4</v>
      </c>
      <c r="L58" s="83" t="s">
        <v>2722</v>
      </c>
      <c r="M58" s="83"/>
    </row>
    <row r="59" spans="2:13" ht="18" customHeight="1" x14ac:dyDescent="0.25">
      <c r="B59" s="43" t="s">
        <v>2723</v>
      </c>
      <c r="C59" s="83" t="s">
        <v>2724</v>
      </c>
      <c r="D59" s="83"/>
      <c r="E59" s="83"/>
      <c r="F59" s="83"/>
      <c r="G59" s="83"/>
      <c r="H59" s="83"/>
      <c r="I59" s="83"/>
      <c r="J59" s="83"/>
      <c r="K59" s="53">
        <f>COUNTIFS('Matrice croisée'!F$7:F$330,"●",'Matrice croisée'!AD$7:AD$330,"●")</f>
        <v>4</v>
      </c>
      <c r="L59" s="83" t="s">
        <v>2725</v>
      </c>
      <c r="M59" s="83"/>
    </row>
    <row r="60" spans="2:13" ht="42.75" customHeight="1" x14ac:dyDescent="0.25">
      <c r="B60" s="43" t="s">
        <v>2726</v>
      </c>
      <c r="C60" s="83" t="s">
        <v>2727</v>
      </c>
      <c r="D60" s="83"/>
      <c r="E60" s="83"/>
      <c r="F60" s="83"/>
      <c r="G60" s="83"/>
      <c r="H60" s="83"/>
      <c r="I60" s="83"/>
      <c r="J60" s="83"/>
      <c r="K60" s="53">
        <f>COUNTIFS('Matrice croisée'!AD$7:AD$330,"●",'Matrice croisée'!M$7:M$330,"●")</f>
        <v>11</v>
      </c>
      <c r="L60" s="83" t="s">
        <v>2728</v>
      </c>
      <c r="M60" s="83"/>
    </row>
    <row r="61" spans="2:13" ht="30" customHeight="1" x14ac:dyDescent="0.25">
      <c r="B61" s="43" t="s">
        <v>2729</v>
      </c>
      <c r="C61" s="83" t="s">
        <v>2718</v>
      </c>
      <c r="D61" s="83"/>
      <c r="E61" s="83"/>
      <c r="F61" s="83"/>
      <c r="G61" s="83"/>
      <c r="H61" s="83"/>
      <c r="I61" s="83"/>
      <c r="J61" s="83"/>
      <c r="K61" s="53">
        <f>COUNTIFS('Matrice croisée'!U$7:U$330,"●",'Matrice croisée'!J$7:J$330,"●")</f>
        <v>0</v>
      </c>
      <c r="L61" s="83" t="s">
        <v>2730</v>
      </c>
      <c r="M61" s="83"/>
    </row>
    <row r="62" spans="2:13" ht="30" customHeight="1" x14ac:dyDescent="0.25">
      <c r="B62" s="43" t="s">
        <v>2731</v>
      </c>
      <c r="C62" s="83" t="s">
        <v>2718</v>
      </c>
      <c r="D62" s="83"/>
      <c r="E62" s="83"/>
      <c r="F62" s="83"/>
      <c r="G62" s="83"/>
      <c r="H62" s="83"/>
      <c r="I62" s="83"/>
      <c r="J62" s="83"/>
      <c r="K62" s="53">
        <f>COUNTIFS('Matrice croisée'!U$7:U$330,"●",'Matrice croisée'!I$7:I$330,"●")</f>
        <v>0</v>
      </c>
      <c r="L62" s="83" t="s">
        <v>2732</v>
      </c>
      <c r="M62" s="83"/>
    </row>
    <row r="63" spans="2:13" ht="42.75" customHeight="1" x14ac:dyDescent="0.25">
      <c r="B63" s="43" t="s">
        <v>2733</v>
      </c>
      <c r="C63" s="83" t="s">
        <v>2734</v>
      </c>
      <c r="D63" s="83"/>
      <c r="E63" s="83"/>
      <c r="F63" s="83"/>
      <c r="G63" s="83"/>
      <c r="H63" s="83"/>
      <c r="I63" s="83"/>
      <c r="J63" s="83"/>
      <c r="K63" s="53">
        <f>COUNTIFS('Matrice croisée'!T$7:T$330,"●",'Matrice croisée'!M$7:M$330,"●")</f>
        <v>12</v>
      </c>
      <c r="L63" s="83" t="s">
        <v>2735</v>
      </c>
      <c r="M63" s="83"/>
    </row>
    <row r="64" spans="2:13" ht="18" customHeight="1" x14ac:dyDescent="0.25">
      <c r="B64" s="43" t="s">
        <v>2736</v>
      </c>
      <c r="C64" s="83" t="s">
        <v>693</v>
      </c>
      <c r="D64" s="83"/>
      <c r="E64" s="83"/>
      <c r="F64" s="83"/>
      <c r="G64" s="83"/>
      <c r="H64" s="83"/>
      <c r="I64" s="83"/>
      <c r="J64" s="83"/>
      <c r="K64" s="53">
        <f>COUNTIFS('Matrice croisée'!F$7:F$330,"●",'Matrice croisée'!K$7:K$330,"●")</f>
        <v>1</v>
      </c>
      <c r="L64" s="83" t="s">
        <v>2737</v>
      </c>
      <c r="M64" s="83"/>
    </row>
    <row r="65" spans="2:13" ht="30" customHeight="1" x14ac:dyDescent="0.25">
      <c r="B65" s="43" t="s">
        <v>2738</v>
      </c>
      <c r="C65" s="83" t="s">
        <v>2739</v>
      </c>
      <c r="D65" s="83"/>
      <c r="E65" s="83"/>
      <c r="F65" s="83"/>
      <c r="G65" s="83"/>
      <c r="H65" s="83"/>
      <c r="I65" s="83"/>
      <c r="J65" s="83"/>
      <c r="K65" s="53">
        <f>COUNTIFS('Matrice croisée'!AD$7:AD$330,"●",'Matrice croisée'!AL$7:AL$330,"●")</f>
        <v>10</v>
      </c>
      <c r="L65" s="83" t="s">
        <v>2740</v>
      </c>
      <c r="M65" s="83"/>
    </row>
    <row r="67" spans="2:13" ht="21.75" customHeight="1" x14ac:dyDescent="0.25">
      <c r="B67" s="46" t="s">
        <v>2741</v>
      </c>
      <c r="C67" s="47"/>
      <c r="D67" s="47"/>
      <c r="E67" s="47"/>
      <c r="F67" s="47"/>
      <c r="G67" s="47"/>
      <c r="H67" s="47"/>
      <c r="I67" s="47"/>
      <c r="J67" s="47"/>
      <c r="K67" s="47"/>
      <c r="L67" s="47"/>
      <c r="M67" s="47"/>
    </row>
    <row r="68" spans="2:13" ht="24" customHeight="1" x14ac:dyDescent="0.25">
      <c r="B68" s="5" t="s">
        <v>2742</v>
      </c>
      <c r="C68" s="82" t="s">
        <v>1898</v>
      </c>
      <c r="D68" s="82"/>
      <c r="E68" s="82"/>
      <c r="F68" s="82"/>
      <c r="G68" s="82"/>
      <c r="H68" s="82"/>
      <c r="I68" s="82"/>
      <c r="J68" s="82"/>
      <c r="K68" s="82"/>
      <c r="L68" s="82" t="s">
        <v>2743</v>
      </c>
      <c r="M68" s="82"/>
    </row>
    <row r="69" spans="2:13" ht="247.5" customHeight="1" x14ac:dyDescent="0.25">
      <c r="B69" s="43" t="s">
        <v>2744</v>
      </c>
      <c r="C69" s="83" t="s">
        <v>2745</v>
      </c>
      <c r="D69" s="83"/>
      <c r="E69" s="83"/>
      <c r="F69" s="83"/>
      <c r="G69" s="83"/>
      <c r="H69" s="83"/>
      <c r="I69" s="83"/>
      <c r="J69" s="83"/>
      <c r="K69" s="83"/>
      <c r="L69" s="84" t="s">
        <v>2746</v>
      </c>
      <c r="M69" s="84"/>
    </row>
    <row r="70" spans="2:13" ht="247.5" customHeight="1" x14ac:dyDescent="0.25">
      <c r="B70" s="43" t="s">
        <v>2747</v>
      </c>
      <c r="C70" s="83" t="s">
        <v>2748</v>
      </c>
      <c r="D70" s="83"/>
      <c r="E70" s="83"/>
      <c r="F70" s="83"/>
      <c r="G70" s="83"/>
      <c r="H70" s="83"/>
      <c r="I70" s="83"/>
      <c r="J70" s="83"/>
      <c r="K70" s="83"/>
      <c r="L70" s="84" t="s">
        <v>2749</v>
      </c>
      <c r="M70" s="84"/>
    </row>
    <row r="71" spans="2:13" ht="286.5" customHeight="1" x14ac:dyDescent="0.25">
      <c r="B71" s="43" t="s">
        <v>2750</v>
      </c>
      <c r="C71" s="83" t="s">
        <v>2751</v>
      </c>
      <c r="D71" s="83"/>
      <c r="E71" s="83"/>
      <c r="F71" s="83"/>
      <c r="G71" s="83"/>
      <c r="H71" s="83"/>
      <c r="I71" s="83"/>
      <c r="J71" s="83"/>
      <c r="K71" s="83"/>
      <c r="L71" s="84" t="s">
        <v>2752</v>
      </c>
      <c r="M71" s="84"/>
    </row>
    <row r="72" spans="2:13" ht="286.5" customHeight="1" x14ac:dyDescent="0.25">
      <c r="B72" s="43" t="s">
        <v>2753</v>
      </c>
      <c r="C72" s="83" t="s">
        <v>2754</v>
      </c>
      <c r="D72" s="83"/>
      <c r="E72" s="83"/>
      <c r="F72" s="83"/>
      <c r="G72" s="83"/>
      <c r="H72" s="83"/>
      <c r="I72" s="83"/>
      <c r="J72" s="83"/>
      <c r="K72" s="83"/>
      <c r="L72" s="84" t="s">
        <v>2755</v>
      </c>
      <c r="M72" s="84"/>
    </row>
    <row r="73" spans="2:13" ht="196.5" customHeight="1" x14ac:dyDescent="0.25">
      <c r="B73" s="43" t="s">
        <v>2756</v>
      </c>
      <c r="C73" s="83" t="s">
        <v>2757</v>
      </c>
      <c r="D73" s="83"/>
      <c r="E73" s="83"/>
      <c r="F73" s="83"/>
      <c r="G73" s="83"/>
      <c r="H73" s="83"/>
      <c r="I73" s="83"/>
      <c r="J73" s="83"/>
      <c r="K73" s="83"/>
      <c r="L73" s="84" t="s">
        <v>2758</v>
      </c>
      <c r="M73" s="84"/>
    </row>
    <row r="74" spans="2:13" ht="261" customHeight="1" x14ac:dyDescent="0.25">
      <c r="B74" s="43" t="s">
        <v>2759</v>
      </c>
      <c r="C74" s="83" t="s">
        <v>2760</v>
      </c>
      <c r="D74" s="83"/>
      <c r="E74" s="83"/>
      <c r="F74" s="83"/>
      <c r="G74" s="83"/>
      <c r="H74" s="83"/>
      <c r="I74" s="83"/>
      <c r="J74" s="83"/>
      <c r="K74" s="83"/>
      <c r="L74" s="84" t="s">
        <v>2761</v>
      </c>
      <c r="M74" s="84"/>
    </row>
    <row r="75" spans="2:13" ht="120" customHeight="1" x14ac:dyDescent="0.25">
      <c r="B75" s="43" t="s">
        <v>2762</v>
      </c>
      <c r="C75" s="83" t="s">
        <v>2763</v>
      </c>
      <c r="D75" s="83"/>
      <c r="E75" s="83"/>
      <c r="F75" s="83"/>
      <c r="G75" s="83"/>
      <c r="H75" s="83"/>
      <c r="I75" s="83"/>
      <c r="J75" s="83"/>
      <c r="K75" s="83"/>
      <c r="L75" s="84" t="s">
        <v>2764</v>
      </c>
      <c r="M75" s="84"/>
    </row>
    <row r="77" spans="2:13" ht="21.75" customHeight="1" x14ac:dyDescent="0.25">
      <c r="B77" s="46" t="s">
        <v>2765</v>
      </c>
      <c r="C77" s="47"/>
      <c r="D77" s="47"/>
      <c r="E77" s="47"/>
      <c r="F77" s="47"/>
      <c r="G77" s="47"/>
      <c r="H77" s="47"/>
      <c r="I77" s="47"/>
      <c r="J77" s="47"/>
      <c r="K77" s="47"/>
      <c r="L77" s="47"/>
      <c r="M77" s="47"/>
    </row>
    <row r="78" spans="2:13" ht="24" customHeight="1" x14ac:dyDescent="0.25">
      <c r="B78" s="5" t="s">
        <v>2766</v>
      </c>
      <c r="C78" s="82" t="s">
        <v>3</v>
      </c>
      <c r="D78" s="82"/>
      <c r="E78" s="82"/>
      <c r="F78" s="82"/>
      <c r="G78" s="82"/>
      <c r="H78" s="82"/>
      <c r="I78" s="82"/>
      <c r="J78" s="82"/>
      <c r="K78" s="82"/>
      <c r="L78" s="82" t="s">
        <v>2767</v>
      </c>
      <c r="M78" s="82"/>
    </row>
    <row r="79" spans="2:13" ht="55.5" customHeight="1" x14ac:dyDescent="0.25">
      <c r="B79" s="43" t="s">
        <v>2768</v>
      </c>
      <c r="C79" s="83" t="s">
        <v>2769</v>
      </c>
      <c r="D79" s="83"/>
      <c r="E79" s="83"/>
      <c r="F79" s="83"/>
      <c r="G79" s="83"/>
      <c r="H79" s="83"/>
      <c r="I79" s="83"/>
      <c r="J79" s="83"/>
      <c r="K79" s="83"/>
      <c r="L79" s="83" t="s">
        <v>2770</v>
      </c>
      <c r="M79" s="83"/>
    </row>
    <row r="80" spans="2:13" ht="55.5" customHeight="1" x14ac:dyDescent="0.25">
      <c r="B80" s="43" t="s">
        <v>2771</v>
      </c>
      <c r="C80" s="83" t="s">
        <v>2772</v>
      </c>
      <c r="D80" s="83"/>
      <c r="E80" s="83"/>
      <c r="F80" s="83"/>
      <c r="G80" s="83"/>
      <c r="H80" s="83"/>
      <c r="I80" s="83"/>
      <c r="J80" s="83"/>
      <c r="K80" s="83"/>
      <c r="L80" s="83" t="s">
        <v>2773</v>
      </c>
      <c r="M80" s="83"/>
    </row>
    <row r="81" spans="2:13" ht="55.5" customHeight="1" x14ac:dyDescent="0.25">
      <c r="B81" s="43" t="s">
        <v>2774</v>
      </c>
      <c r="C81" s="83" t="s">
        <v>2775</v>
      </c>
      <c r="D81" s="83"/>
      <c r="E81" s="83"/>
      <c r="F81" s="83"/>
      <c r="G81" s="83"/>
      <c r="H81" s="83"/>
      <c r="I81" s="83"/>
      <c r="J81" s="83"/>
      <c r="K81" s="83"/>
      <c r="L81" s="83" t="s">
        <v>2776</v>
      </c>
      <c r="M81" s="83"/>
    </row>
    <row r="82" spans="2:13" ht="42.75" customHeight="1" x14ac:dyDescent="0.25">
      <c r="B82" s="43" t="s">
        <v>2777</v>
      </c>
      <c r="C82" s="83" t="s">
        <v>2778</v>
      </c>
      <c r="D82" s="83"/>
      <c r="E82" s="83"/>
      <c r="F82" s="83"/>
      <c r="G82" s="83"/>
      <c r="H82" s="83"/>
      <c r="I82" s="83"/>
      <c r="J82" s="83"/>
      <c r="K82" s="83"/>
      <c r="L82" s="83" t="s">
        <v>2779</v>
      </c>
      <c r="M82" s="83"/>
    </row>
    <row r="83" spans="2:13" ht="55.5" customHeight="1" x14ac:dyDescent="0.25">
      <c r="B83" s="43" t="s">
        <v>2780</v>
      </c>
      <c r="C83" s="83" t="s">
        <v>2781</v>
      </c>
      <c r="D83" s="83"/>
      <c r="E83" s="83"/>
      <c r="F83" s="83"/>
      <c r="G83" s="83"/>
      <c r="H83" s="83"/>
      <c r="I83" s="83"/>
      <c r="J83" s="83"/>
      <c r="K83" s="83"/>
      <c r="L83" s="83" t="s">
        <v>2782</v>
      </c>
      <c r="M83" s="83"/>
    </row>
    <row r="84" spans="2:13" ht="30" customHeight="1" x14ac:dyDescent="0.25">
      <c r="B84" s="43" t="s">
        <v>2783</v>
      </c>
      <c r="C84" s="83" t="s">
        <v>2784</v>
      </c>
      <c r="D84" s="83"/>
      <c r="E84" s="83"/>
      <c r="F84" s="83"/>
      <c r="G84" s="83"/>
      <c r="H84" s="83"/>
      <c r="I84" s="83"/>
      <c r="J84" s="83"/>
      <c r="K84" s="83"/>
      <c r="L84" s="83" t="s">
        <v>2785</v>
      </c>
      <c r="M84" s="83"/>
    </row>
    <row r="85" spans="2:13" ht="55.5" customHeight="1" x14ac:dyDescent="0.25">
      <c r="B85" s="43" t="s">
        <v>2786</v>
      </c>
      <c r="C85" s="83" t="s">
        <v>2787</v>
      </c>
      <c r="D85" s="83"/>
      <c r="E85" s="83"/>
      <c r="F85" s="83"/>
      <c r="G85" s="83"/>
      <c r="H85" s="83"/>
      <c r="I85" s="83"/>
      <c r="J85" s="83"/>
      <c r="K85" s="83"/>
      <c r="L85" s="83" t="s">
        <v>2788</v>
      </c>
      <c r="M85" s="83"/>
    </row>
    <row r="86" spans="2:13" ht="69" customHeight="1" x14ac:dyDescent="0.25">
      <c r="B86" s="43" t="s">
        <v>2789</v>
      </c>
      <c r="C86" s="83" t="s">
        <v>2790</v>
      </c>
      <c r="D86" s="83"/>
      <c r="E86" s="83"/>
      <c r="F86" s="83"/>
      <c r="G86" s="83"/>
      <c r="H86" s="83"/>
      <c r="I86" s="83"/>
      <c r="J86" s="83"/>
      <c r="K86" s="83"/>
      <c r="L86" s="83" t="s">
        <v>2791</v>
      </c>
      <c r="M86" s="83"/>
    </row>
    <row r="87" spans="2:13" ht="55.5" customHeight="1" x14ac:dyDescent="0.25">
      <c r="B87" s="43" t="s">
        <v>2792</v>
      </c>
      <c r="C87" s="83" t="s">
        <v>2793</v>
      </c>
      <c r="D87" s="83"/>
      <c r="E87" s="83"/>
      <c r="F87" s="83"/>
      <c r="G87" s="83"/>
      <c r="H87" s="83"/>
      <c r="I87" s="83"/>
      <c r="J87" s="83"/>
      <c r="K87" s="83"/>
      <c r="L87" s="83" t="s">
        <v>2794</v>
      </c>
      <c r="M87" s="83"/>
    </row>
    <row r="89" spans="2:13" ht="21.75" customHeight="1" x14ac:dyDescent="0.25">
      <c r="B89" s="46" t="s">
        <v>2795</v>
      </c>
      <c r="C89" s="47"/>
      <c r="D89" s="47"/>
      <c r="E89" s="47"/>
      <c r="F89" s="47"/>
      <c r="G89" s="47"/>
      <c r="H89" s="47"/>
      <c r="I89" s="47"/>
      <c r="J89" s="47"/>
      <c r="K89" s="47"/>
      <c r="L89" s="47"/>
      <c r="M89" s="47"/>
    </row>
    <row r="90" spans="2:13" ht="24" customHeight="1" x14ac:dyDescent="0.25">
      <c r="B90" s="5" t="s">
        <v>2796</v>
      </c>
      <c r="C90" s="82" t="s">
        <v>2797</v>
      </c>
      <c r="D90" s="82"/>
      <c r="E90" s="82"/>
      <c r="F90" s="82"/>
      <c r="G90" s="82"/>
      <c r="H90" s="82"/>
      <c r="I90" s="82"/>
      <c r="J90" s="82"/>
      <c r="K90" s="82"/>
      <c r="L90" s="5" t="s">
        <v>2798</v>
      </c>
      <c r="M90" s="5" t="s">
        <v>2799</v>
      </c>
    </row>
    <row r="91" spans="2:13" ht="94.5" customHeight="1" x14ac:dyDescent="0.25">
      <c r="B91" s="43" t="s">
        <v>2800</v>
      </c>
      <c r="C91" s="83" t="s">
        <v>2801</v>
      </c>
      <c r="D91" s="83"/>
      <c r="E91" s="83"/>
      <c r="F91" s="83"/>
      <c r="G91" s="83"/>
      <c r="H91" s="83"/>
      <c r="I91" s="83"/>
      <c r="J91" s="83"/>
      <c r="K91" s="83"/>
      <c r="L91" s="3" t="s">
        <v>2802</v>
      </c>
      <c r="M91" s="3" t="s">
        <v>2803</v>
      </c>
    </row>
    <row r="92" spans="2:13" ht="81.75" customHeight="1" x14ac:dyDescent="0.25">
      <c r="B92" s="43" t="s">
        <v>2804</v>
      </c>
      <c r="C92" s="83" t="s">
        <v>2805</v>
      </c>
      <c r="D92" s="83"/>
      <c r="E92" s="83"/>
      <c r="F92" s="83"/>
      <c r="G92" s="83"/>
      <c r="H92" s="83"/>
      <c r="I92" s="83"/>
      <c r="J92" s="83"/>
      <c r="K92" s="83"/>
      <c r="L92" s="3" t="s">
        <v>2806</v>
      </c>
      <c r="M92" s="3" t="s">
        <v>2807</v>
      </c>
    </row>
    <row r="93" spans="2:13" ht="69" customHeight="1" x14ac:dyDescent="0.25">
      <c r="B93" s="43" t="s">
        <v>2808</v>
      </c>
      <c r="C93" s="83" t="s">
        <v>2809</v>
      </c>
      <c r="D93" s="83"/>
      <c r="E93" s="83"/>
      <c r="F93" s="83"/>
      <c r="G93" s="83"/>
      <c r="H93" s="83"/>
      <c r="I93" s="83"/>
      <c r="J93" s="83"/>
      <c r="K93" s="83"/>
      <c r="L93" s="3" t="s">
        <v>2810</v>
      </c>
      <c r="M93" s="3" t="s">
        <v>2811</v>
      </c>
    </row>
    <row r="94" spans="2:13" ht="94.5" customHeight="1" x14ac:dyDescent="0.25">
      <c r="B94" s="43" t="s">
        <v>2812</v>
      </c>
      <c r="C94" s="83" t="s">
        <v>2813</v>
      </c>
      <c r="D94" s="83"/>
      <c r="E94" s="83"/>
      <c r="F94" s="83"/>
      <c r="G94" s="83"/>
      <c r="H94" s="83"/>
      <c r="I94" s="83"/>
      <c r="J94" s="83"/>
      <c r="K94" s="83"/>
      <c r="L94" s="3" t="s">
        <v>2814</v>
      </c>
      <c r="M94" s="3" t="s">
        <v>2815</v>
      </c>
    </row>
    <row r="95" spans="2:13" ht="55.5" customHeight="1" x14ac:dyDescent="0.25">
      <c r="B95" s="43" t="s">
        <v>2816</v>
      </c>
      <c r="C95" s="83" t="s">
        <v>2817</v>
      </c>
      <c r="D95" s="83"/>
      <c r="E95" s="83"/>
      <c r="F95" s="83"/>
      <c r="G95" s="83"/>
      <c r="H95" s="83"/>
      <c r="I95" s="83"/>
      <c r="J95" s="83"/>
      <c r="K95" s="83"/>
      <c r="L95" s="3" t="s">
        <v>2818</v>
      </c>
      <c r="M95" s="3" t="s">
        <v>2819</v>
      </c>
    </row>
    <row r="96" spans="2:13" ht="81.75" customHeight="1" x14ac:dyDescent="0.25">
      <c r="B96" s="43" t="s">
        <v>2820</v>
      </c>
      <c r="C96" s="83" t="s">
        <v>2821</v>
      </c>
      <c r="D96" s="83"/>
      <c r="E96" s="83"/>
      <c r="F96" s="83"/>
      <c r="G96" s="83"/>
      <c r="H96" s="83"/>
      <c r="I96" s="83"/>
      <c r="J96" s="83"/>
      <c r="K96" s="83"/>
      <c r="L96" s="3" t="s">
        <v>2822</v>
      </c>
      <c r="M96" s="3" t="s">
        <v>2823</v>
      </c>
    </row>
    <row r="97" spans="2:13" ht="69" customHeight="1" x14ac:dyDescent="0.25">
      <c r="B97" s="43" t="s">
        <v>2824</v>
      </c>
      <c r="C97" s="83" t="s">
        <v>2825</v>
      </c>
      <c r="D97" s="83"/>
      <c r="E97" s="83"/>
      <c r="F97" s="83"/>
      <c r="G97" s="83"/>
      <c r="H97" s="83"/>
      <c r="I97" s="83"/>
      <c r="J97" s="83"/>
      <c r="K97" s="83"/>
      <c r="L97" s="3" t="s">
        <v>2826</v>
      </c>
      <c r="M97" s="3" t="s">
        <v>2827</v>
      </c>
    </row>
    <row r="99" spans="2:13" ht="21.75" customHeight="1" x14ac:dyDescent="0.25">
      <c r="B99" s="46" t="s">
        <v>2828</v>
      </c>
      <c r="C99" s="47"/>
      <c r="D99" s="47"/>
      <c r="E99" s="47"/>
      <c r="F99" s="47"/>
      <c r="G99" s="47"/>
      <c r="H99" s="47"/>
      <c r="I99" s="47"/>
      <c r="J99" s="47"/>
      <c r="K99" s="47"/>
      <c r="L99" s="47"/>
      <c r="M99" s="47"/>
    </row>
    <row r="100" spans="2:13" ht="24" customHeight="1" x14ac:dyDescent="0.25">
      <c r="B100" s="5" t="s">
        <v>2829</v>
      </c>
      <c r="C100" s="82" t="s">
        <v>2830</v>
      </c>
      <c r="D100" s="82"/>
      <c r="E100" s="82"/>
      <c r="F100" s="82"/>
      <c r="G100" s="82"/>
      <c r="H100" s="82"/>
      <c r="I100" s="82"/>
      <c r="J100" s="82"/>
      <c r="K100" s="82"/>
      <c r="L100" s="82" t="s">
        <v>2831</v>
      </c>
      <c r="M100" s="82"/>
    </row>
    <row r="101" spans="2:13" ht="30" customHeight="1" x14ac:dyDescent="0.25">
      <c r="B101" s="43" t="s">
        <v>2832</v>
      </c>
      <c r="C101" s="83" t="s">
        <v>2833</v>
      </c>
      <c r="D101" s="83"/>
      <c r="E101" s="83"/>
      <c r="F101" s="83"/>
      <c r="G101" s="83"/>
      <c r="H101" s="83"/>
      <c r="I101" s="83"/>
      <c r="J101" s="83"/>
      <c r="K101" s="83"/>
      <c r="L101" s="83" t="s">
        <v>2834</v>
      </c>
      <c r="M101" s="83"/>
    </row>
    <row r="102" spans="2:13" ht="42.75" customHeight="1" x14ac:dyDescent="0.25">
      <c r="B102" s="43" t="s">
        <v>2835</v>
      </c>
      <c r="C102" s="83" t="s">
        <v>2836</v>
      </c>
      <c r="D102" s="83"/>
      <c r="E102" s="83"/>
      <c r="F102" s="83"/>
      <c r="G102" s="83"/>
      <c r="H102" s="83"/>
      <c r="I102" s="83"/>
      <c r="J102" s="83"/>
      <c r="K102" s="83"/>
      <c r="L102" s="83" t="s">
        <v>2837</v>
      </c>
      <c r="M102" s="83"/>
    </row>
    <row r="103" spans="2:13" ht="55.5" customHeight="1" x14ac:dyDescent="0.25">
      <c r="B103" s="43" t="s">
        <v>2838</v>
      </c>
      <c r="C103" s="83" t="s">
        <v>2839</v>
      </c>
      <c r="D103" s="83"/>
      <c r="E103" s="83"/>
      <c r="F103" s="83"/>
      <c r="G103" s="83"/>
      <c r="H103" s="83"/>
      <c r="I103" s="83"/>
      <c r="J103" s="83"/>
      <c r="K103" s="83"/>
      <c r="L103" s="83" t="s">
        <v>2840</v>
      </c>
      <c r="M103" s="83"/>
    </row>
    <row r="104" spans="2:13" ht="42.75" customHeight="1" x14ac:dyDescent="0.25">
      <c r="B104" s="43" t="s">
        <v>2841</v>
      </c>
      <c r="C104" s="83" t="s">
        <v>2842</v>
      </c>
      <c r="D104" s="83"/>
      <c r="E104" s="83"/>
      <c r="F104" s="83"/>
      <c r="G104" s="83"/>
      <c r="H104" s="83"/>
      <c r="I104" s="83"/>
      <c r="J104" s="83"/>
      <c r="K104" s="83"/>
      <c r="L104" s="83" t="s">
        <v>2843</v>
      </c>
      <c r="M104" s="83"/>
    </row>
    <row r="105" spans="2:13" ht="30" customHeight="1" x14ac:dyDescent="0.25">
      <c r="B105" s="43" t="s">
        <v>2844</v>
      </c>
      <c r="C105" s="83" t="s">
        <v>2845</v>
      </c>
      <c r="D105" s="83"/>
      <c r="E105" s="83"/>
      <c r="F105" s="83"/>
      <c r="G105" s="83"/>
      <c r="H105" s="83"/>
      <c r="I105" s="83"/>
      <c r="J105" s="83"/>
      <c r="K105" s="83"/>
      <c r="L105" s="83" t="s">
        <v>2846</v>
      </c>
      <c r="M105" s="83"/>
    </row>
    <row r="106" spans="2:13" ht="42.75" customHeight="1" x14ac:dyDescent="0.25">
      <c r="B106" s="43" t="s">
        <v>2847</v>
      </c>
      <c r="C106" s="83" t="s">
        <v>2848</v>
      </c>
      <c r="D106" s="83"/>
      <c r="E106" s="83"/>
      <c r="F106" s="83"/>
      <c r="G106" s="83"/>
      <c r="H106" s="83"/>
      <c r="I106" s="83"/>
      <c r="J106" s="83"/>
      <c r="K106" s="83"/>
      <c r="L106" s="83" t="s">
        <v>2849</v>
      </c>
      <c r="M106" s="83"/>
    </row>
    <row r="107" spans="2:13" ht="30" customHeight="1" x14ac:dyDescent="0.25">
      <c r="B107" s="43" t="s">
        <v>2850</v>
      </c>
      <c r="C107" s="83" t="s">
        <v>2851</v>
      </c>
      <c r="D107" s="83"/>
      <c r="E107" s="83"/>
      <c r="F107" s="83"/>
      <c r="G107" s="83"/>
      <c r="H107" s="83"/>
      <c r="I107" s="83"/>
      <c r="J107" s="83"/>
      <c r="K107" s="83"/>
      <c r="L107" s="83" t="s">
        <v>2852</v>
      </c>
      <c r="M107" s="83"/>
    </row>
    <row r="109" spans="2:13" ht="21.75" customHeight="1" x14ac:dyDescent="0.25">
      <c r="B109" s="46" t="s">
        <v>2853</v>
      </c>
      <c r="C109" s="47"/>
      <c r="D109" s="47"/>
      <c r="E109" s="47"/>
      <c r="F109" s="47"/>
      <c r="G109" s="47"/>
      <c r="H109" s="47"/>
      <c r="I109" s="47"/>
      <c r="J109" s="47"/>
      <c r="K109" s="47"/>
      <c r="L109" s="47"/>
      <c r="M109" s="47"/>
    </row>
    <row r="110" spans="2:13" ht="55.5" customHeight="1" x14ac:dyDescent="0.25">
      <c r="B110" s="43" t="s">
        <v>2854</v>
      </c>
      <c r="C110" s="83" t="s">
        <v>2855</v>
      </c>
      <c r="D110" s="83"/>
      <c r="E110" s="83"/>
      <c r="F110" s="83"/>
      <c r="G110" s="83"/>
      <c r="H110" s="83"/>
      <c r="I110" s="83"/>
      <c r="J110" s="83"/>
      <c r="K110" s="83"/>
      <c r="L110" s="83"/>
      <c r="M110" s="83"/>
    </row>
    <row r="111" spans="2:13" ht="30" customHeight="1" x14ac:dyDescent="0.25">
      <c r="B111" s="43" t="s">
        <v>2856</v>
      </c>
      <c r="C111" s="83" t="s">
        <v>2857</v>
      </c>
      <c r="D111" s="83"/>
      <c r="E111" s="83"/>
      <c r="F111" s="83"/>
      <c r="G111" s="83"/>
      <c r="H111" s="83"/>
      <c r="I111" s="83"/>
      <c r="J111" s="83"/>
      <c r="K111" s="83"/>
      <c r="L111" s="83"/>
      <c r="M111" s="83"/>
    </row>
    <row r="112" spans="2:13" ht="30" customHeight="1" x14ac:dyDescent="0.25">
      <c r="B112" s="43" t="s">
        <v>2858</v>
      </c>
      <c r="C112" s="83" t="s">
        <v>2859</v>
      </c>
      <c r="D112" s="83"/>
      <c r="E112" s="83"/>
      <c r="F112" s="83"/>
      <c r="G112" s="83"/>
      <c r="H112" s="83"/>
      <c r="I112" s="83"/>
      <c r="J112" s="83"/>
      <c r="K112" s="83"/>
      <c r="L112" s="83"/>
      <c r="M112" s="83"/>
    </row>
    <row r="113" spans="2:13" ht="30" customHeight="1" x14ac:dyDescent="0.25">
      <c r="B113" s="43" t="s">
        <v>2860</v>
      </c>
      <c r="C113" s="83" t="s">
        <v>2861</v>
      </c>
      <c r="D113" s="83"/>
      <c r="E113" s="83"/>
      <c r="F113" s="83"/>
      <c r="G113" s="83"/>
      <c r="H113" s="83"/>
      <c r="I113" s="83"/>
      <c r="J113" s="83"/>
      <c r="K113" s="83"/>
      <c r="L113" s="83"/>
      <c r="M113" s="83"/>
    </row>
    <row r="114" spans="2:13" ht="30" customHeight="1" x14ac:dyDescent="0.25">
      <c r="B114" s="43" t="s">
        <v>2862</v>
      </c>
      <c r="C114" s="83" t="s">
        <v>2863</v>
      </c>
      <c r="D114" s="83"/>
      <c r="E114" s="83"/>
      <c r="F114" s="83"/>
      <c r="G114" s="83"/>
      <c r="H114" s="83"/>
      <c r="I114" s="83"/>
      <c r="J114" s="83"/>
      <c r="K114" s="83"/>
      <c r="L114" s="83"/>
      <c r="M114" s="83"/>
    </row>
    <row r="116" spans="2:13" ht="21.75" customHeight="1" x14ac:dyDescent="0.25">
      <c r="B116" s="46" t="s">
        <v>2864</v>
      </c>
      <c r="C116" s="47"/>
      <c r="D116" s="47"/>
      <c r="E116" s="47"/>
      <c r="F116" s="47"/>
      <c r="G116" s="47"/>
      <c r="H116" s="47"/>
      <c r="I116" s="47"/>
      <c r="J116" s="47"/>
      <c r="K116" s="47"/>
      <c r="L116" s="47"/>
      <c r="M116" s="47"/>
    </row>
    <row r="117" spans="2:13" ht="24" customHeight="1" x14ac:dyDescent="0.25">
      <c r="B117" s="5" t="s">
        <v>2865</v>
      </c>
      <c r="C117" s="82" t="s">
        <v>2866</v>
      </c>
      <c r="D117" s="82"/>
      <c r="E117" s="82"/>
      <c r="F117" s="82"/>
      <c r="G117" s="82"/>
      <c r="H117" s="82"/>
      <c r="I117" s="82"/>
      <c r="J117" s="82"/>
      <c r="K117" s="5" t="s">
        <v>2867</v>
      </c>
      <c r="L117" s="82" t="s">
        <v>2868</v>
      </c>
      <c r="M117" s="82"/>
    </row>
    <row r="118" spans="2:13" ht="30" customHeight="1" x14ac:dyDescent="0.25">
      <c r="B118" s="43" t="s">
        <v>2869</v>
      </c>
      <c r="C118" s="83" t="s">
        <v>2870</v>
      </c>
      <c r="D118" s="83"/>
      <c r="E118" s="83"/>
      <c r="F118" s="83"/>
      <c r="G118" s="83"/>
      <c r="H118" s="83"/>
      <c r="I118" s="83"/>
      <c r="J118" s="83"/>
      <c r="K118" s="54" t="s">
        <v>235</v>
      </c>
      <c r="L118" s="83" t="s">
        <v>2871</v>
      </c>
      <c r="M118" s="83"/>
    </row>
    <row r="119" spans="2:13" ht="30" customHeight="1" x14ac:dyDescent="0.25">
      <c r="B119" s="43" t="s">
        <v>2872</v>
      </c>
      <c r="C119" s="83" t="s">
        <v>2873</v>
      </c>
      <c r="D119" s="83"/>
      <c r="E119" s="83"/>
      <c r="F119" s="83"/>
      <c r="G119" s="83"/>
      <c r="H119" s="83"/>
      <c r="I119" s="83"/>
      <c r="J119" s="83"/>
      <c r="K119" s="54" t="s">
        <v>235</v>
      </c>
      <c r="L119" s="83" t="s">
        <v>2874</v>
      </c>
      <c r="M119" s="83"/>
    </row>
    <row r="120" spans="2:13" ht="42.75" customHeight="1" x14ac:dyDescent="0.25">
      <c r="B120" s="43" t="s">
        <v>2875</v>
      </c>
      <c r="C120" s="83" t="s">
        <v>2876</v>
      </c>
      <c r="D120" s="83"/>
      <c r="E120" s="83"/>
      <c r="F120" s="83"/>
      <c r="G120" s="83"/>
      <c r="H120" s="83"/>
      <c r="I120" s="83"/>
      <c r="J120" s="83"/>
      <c r="K120" s="54" t="s">
        <v>235</v>
      </c>
      <c r="L120" s="83" t="s">
        <v>2877</v>
      </c>
      <c r="M120" s="83"/>
    </row>
    <row r="121" spans="2:13" ht="30" customHeight="1" x14ac:dyDescent="0.25">
      <c r="B121" s="43" t="s">
        <v>2878</v>
      </c>
      <c r="C121" s="83" t="s">
        <v>2879</v>
      </c>
      <c r="D121" s="83"/>
      <c r="E121" s="83"/>
      <c r="F121" s="83"/>
      <c r="G121" s="83"/>
      <c r="H121" s="83"/>
      <c r="I121" s="83"/>
      <c r="J121" s="83"/>
      <c r="K121" s="54" t="s">
        <v>235</v>
      </c>
      <c r="L121" s="83" t="s">
        <v>2880</v>
      </c>
      <c r="M121" s="83"/>
    </row>
    <row r="122" spans="2:13" ht="42.75" customHeight="1" x14ac:dyDescent="0.25">
      <c r="B122" s="43" t="s">
        <v>2881</v>
      </c>
      <c r="C122" s="83" t="s">
        <v>2882</v>
      </c>
      <c r="D122" s="83"/>
      <c r="E122" s="83"/>
      <c r="F122" s="83"/>
      <c r="G122" s="83"/>
      <c r="H122" s="83"/>
      <c r="I122" s="83"/>
      <c r="J122" s="83"/>
      <c r="K122" s="54" t="s">
        <v>235</v>
      </c>
      <c r="L122" s="83" t="s">
        <v>2883</v>
      </c>
      <c r="M122" s="83"/>
    </row>
    <row r="123" spans="2:13" ht="42.75" customHeight="1" x14ac:dyDescent="0.25">
      <c r="B123" s="43" t="s">
        <v>2884</v>
      </c>
      <c r="C123" s="83" t="s">
        <v>2885</v>
      </c>
      <c r="D123" s="83"/>
      <c r="E123" s="83"/>
      <c r="F123" s="83"/>
      <c r="G123" s="83"/>
      <c r="H123" s="83"/>
      <c r="I123" s="83"/>
      <c r="J123" s="83"/>
      <c r="K123" s="54" t="s">
        <v>235</v>
      </c>
      <c r="L123" s="83" t="s">
        <v>2886</v>
      </c>
      <c r="M123" s="83"/>
    </row>
    <row r="124" spans="2:13" ht="55.5" customHeight="1" x14ac:dyDescent="0.25">
      <c r="B124" s="43" t="s">
        <v>2887</v>
      </c>
      <c r="C124" s="83" t="s">
        <v>2888</v>
      </c>
      <c r="D124" s="83"/>
      <c r="E124" s="83"/>
      <c r="F124" s="83"/>
      <c r="G124" s="83"/>
      <c r="H124" s="83"/>
      <c r="I124" s="83"/>
      <c r="J124" s="83"/>
      <c r="K124" s="54" t="s">
        <v>235</v>
      </c>
      <c r="L124" s="83" t="s">
        <v>2889</v>
      </c>
      <c r="M124" s="83"/>
    </row>
    <row r="126" spans="2:13" ht="21.75" customHeight="1" x14ac:dyDescent="0.25">
      <c r="B126" s="46" t="s">
        <v>4060</v>
      </c>
      <c r="C126" s="47"/>
      <c r="D126" s="47"/>
      <c r="E126" s="47"/>
      <c r="F126" s="47"/>
      <c r="G126" s="47"/>
      <c r="H126" s="47"/>
      <c r="I126" s="47"/>
      <c r="J126" s="47"/>
      <c r="K126" s="47"/>
      <c r="L126" s="47"/>
      <c r="M126" s="47"/>
    </row>
    <row r="127" spans="2:13" ht="54.95" customHeight="1" x14ac:dyDescent="0.25">
      <c r="B127" s="43" t="s">
        <v>4061</v>
      </c>
      <c r="C127" s="83" t="s">
        <v>4062</v>
      </c>
      <c r="D127" s="83"/>
      <c r="E127" s="83"/>
      <c r="F127" s="83"/>
      <c r="G127" s="83"/>
      <c r="H127" s="83"/>
      <c r="I127" s="83"/>
      <c r="J127" s="83"/>
      <c r="K127" s="83"/>
      <c r="L127" s="84" t="s">
        <v>4063</v>
      </c>
      <c r="M127" s="84"/>
    </row>
    <row r="129" spans="2:13" ht="24" customHeight="1" x14ac:dyDescent="0.25">
      <c r="B129" s="5" t="s">
        <v>2742</v>
      </c>
      <c r="C129" s="82" t="s">
        <v>1898</v>
      </c>
      <c r="D129" s="82"/>
      <c r="E129" s="82"/>
      <c r="F129" s="82"/>
      <c r="G129" s="82"/>
      <c r="H129" s="82"/>
      <c r="I129" s="82"/>
      <c r="J129" s="82"/>
      <c r="K129" s="82"/>
      <c r="L129" s="82" t="s">
        <v>2743</v>
      </c>
      <c r="M129" s="82"/>
    </row>
    <row r="130" spans="2:13" ht="150" customHeight="1" x14ac:dyDescent="0.25">
      <c r="B130" s="43" t="s">
        <v>4064</v>
      </c>
      <c r="C130" s="83" t="s">
        <v>4065</v>
      </c>
      <c r="D130" s="83"/>
      <c r="E130" s="83"/>
      <c r="F130" s="83"/>
      <c r="G130" s="83"/>
      <c r="H130" s="83"/>
      <c r="I130" s="83"/>
      <c r="J130" s="83"/>
      <c r="K130" s="83"/>
      <c r="L130" s="84" t="s">
        <v>4066</v>
      </c>
      <c r="M130" s="84"/>
    </row>
    <row r="131" spans="2:13" ht="180" customHeight="1" x14ac:dyDescent="0.25">
      <c r="B131" s="43" t="s">
        <v>4067</v>
      </c>
      <c r="C131" s="83" t="s">
        <v>4068</v>
      </c>
      <c r="D131" s="83"/>
      <c r="E131" s="83"/>
      <c r="F131" s="83"/>
      <c r="G131" s="83"/>
      <c r="H131" s="83"/>
      <c r="I131" s="83"/>
      <c r="J131" s="83"/>
      <c r="K131" s="83"/>
      <c r="L131" s="84" t="s">
        <v>4069</v>
      </c>
      <c r="M131" s="84"/>
    </row>
    <row r="132" spans="2:13" ht="165" customHeight="1" x14ac:dyDescent="0.25">
      <c r="B132" s="43" t="s">
        <v>4070</v>
      </c>
      <c r="C132" s="83" t="s">
        <v>4071</v>
      </c>
      <c r="D132" s="83"/>
      <c r="E132" s="83"/>
      <c r="F132" s="83"/>
      <c r="G132" s="83"/>
      <c r="H132" s="83"/>
      <c r="I132" s="83"/>
      <c r="J132" s="83"/>
      <c r="K132" s="83"/>
      <c r="L132" s="84" t="s">
        <v>4072</v>
      </c>
      <c r="M132" s="84"/>
    </row>
    <row r="133" spans="2:13" ht="180" customHeight="1" x14ac:dyDescent="0.25">
      <c r="B133" s="43" t="s">
        <v>4073</v>
      </c>
      <c r="C133" s="83" t="s">
        <v>4074</v>
      </c>
      <c r="D133" s="83"/>
      <c r="E133" s="83"/>
      <c r="F133" s="83"/>
      <c r="G133" s="83"/>
      <c r="H133" s="83"/>
      <c r="I133" s="83"/>
      <c r="J133" s="83"/>
      <c r="K133" s="83"/>
      <c r="L133" s="84" t="s">
        <v>4075</v>
      </c>
      <c r="M133" s="84"/>
    </row>
    <row r="135" spans="2:13" ht="24" customHeight="1" x14ac:dyDescent="0.25">
      <c r="B135" s="5" t="s">
        <v>4076</v>
      </c>
      <c r="C135" s="82" t="s">
        <v>2866</v>
      </c>
      <c r="D135" s="82"/>
      <c r="E135" s="82"/>
      <c r="F135" s="82"/>
      <c r="G135" s="82"/>
      <c r="H135" s="82"/>
      <c r="I135" s="82"/>
      <c r="J135" s="82"/>
      <c r="K135" s="82"/>
      <c r="L135" s="82" t="s">
        <v>2831</v>
      </c>
      <c r="M135" s="82"/>
    </row>
    <row r="136" spans="2:13" ht="57.95" customHeight="1" x14ac:dyDescent="0.25">
      <c r="B136" s="43" t="s">
        <v>4077</v>
      </c>
      <c r="C136" s="83" t="s">
        <v>4078</v>
      </c>
      <c r="D136" s="83"/>
      <c r="E136" s="83"/>
      <c r="F136" s="83"/>
      <c r="G136" s="83"/>
      <c r="H136" s="83"/>
      <c r="I136" s="83"/>
      <c r="J136" s="83"/>
      <c r="K136" s="83"/>
      <c r="L136" s="84" t="s">
        <v>4079</v>
      </c>
      <c r="M136" s="84"/>
    </row>
    <row r="137" spans="2:13" ht="45" customHeight="1" x14ac:dyDescent="0.25">
      <c r="B137" s="43" t="s">
        <v>4080</v>
      </c>
      <c r="C137" s="83" t="s">
        <v>4081</v>
      </c>
      <c r="D137" s="83"/>
      <c r="E137" s="83"/>
      <c r="F137" s="83"/>
      <c r="G137" s="83"/>
      <c r="H137" s="83"/>
      <c r="I137" s="83"/>
      <c r="J137" s="83"/>
      <c r="K137" s="83"/>
      <c r="L137" s="84" t="s">
        <v>4082</v>
      </c>
      <c r="M137" s="84"/>
    </row>
    <row r="138" spans="2:13" ht="57.95" customHeight="1" x14ac:dyDescent="0.25">
      <c r="B138" s="43" t="s">
        <v>4083</v>
      </c>
      <c r="C138" s="83" t="s">
        <v>4084</v>
      </c>
      <c r="D138" s="83"/>
      <c r="E138" s="83"/>
      <c r="F138" s="83"/>
      <c r="G138" s="83"/>
      <c r="H138" s="83"/>
      <c r="I138" s="83"/>
      <c r="J138" s="83"/>
      <c r="K138" s="83"/>
      <c r="L138" s="84" t="s">
        <v>4085</v>
      </c>
      <c r="M138" s="84"/>
    </row>
    <row r="139" spans="2:13" ht="57.95" customHeight="1" x14ac:dyDescent="0.25">
      <c r="B139" s="43" t="s">
        <v>4086</v>
      </c>
      <c r="C139" s="83" t="s">
        <v>4087</v>
      </c>
      <c r="D139" s="83"/>
      <c r="E139" s="83"/>
      <c r="F139" s="83"/>
      <c r="G139" s="83"/>
      <c r="H139" s="83"/>
      <c r="I139" s="83"/>
      <c r="J139" s="83"/>
      <c r="K139" s="83"/>
      <c r="L139" s="84" t="s">
        <v>4088</v>
      </c>
      <c r="M139" s="84"/>
    </row>
    <row r="140" spans="2:13" ht="45" customHeight="1" x14ac:dyDescent="0.25">
      <c r="B140" s="43" t="s">
        <v>4089</v>
      </c>
      <c r="C140" s="83" t="s">
        <v>4090</v>
      </c>
      <c r="D140" s="83"/>
      <c r="E140" s="83"/>
      <c r="F140" s="83"/>
      <c r="G140" s="83"/>
      <c r="H140" s="83"/>
      <c r="I140" s="83"/>
      <c r="J140" s="83"/>
      <c r="K140" s="83"/>
      <c r="L140" s="84" t="s">
        <v>4091</v>
      </c>
      <c r="M140" s="84"/>
    </row>
    <row r="141" spans="2:13" ht="45" customHeight="1" x14ac:dyDescent="0.25">
      <c r="B141" s="43" t="s">
        <v>4092</v>
      </c>
      <c r="C141" s="83" t="s">
        <v>4093</v>
      </c>
      <c r="D141" s="83"/>
      <c r="E141" s="83"/>
      <c r="F141" s="83"/>
      <c r="G141" s="83"/>
      <c r="H141" s="83"/>
      <c r="I141" s="83"/>
      <c r="J141" s="83"/>
      <c r="K141" s="83"/>
      <c r="L141" s="84" t="s">
        <v>4094</v>
      </c>
      <c r="M141" s="84"/>
    </row>
  </sheetData>
  <mergeCells count="130">
    <mergeCell ref="C127:K127"/>
    <mergeCell ref="L127:M127"/>
    <mergeCell ref="C129:K129"/>
    <mergeCell ref="L129:M129"/>
    <mergeCell ref="C130:K130"/>
    <mergeCell ref="L130:M130"/>
    <mergeCell ref="C131:K131"/>
    <mergeCell ref="L131:M131"/>
    <mergeCell ref="C132:K132"/>
    <mergeCell ref="L132:M132"/>
    <mergeCell ref="C133:K133"/>
    <mergeCell ref="L133:M133"/>
    <mergeCell ref="C135:K135"/>
    <mergeCell ref="L135:M135"/>
    <mergeCell ref="C136:K136"/>
    <mergeCell ref="L136:M136"/>
    <mergeCell ref="C137:K137"/>
    <mergeCell ref="L137:M137"/>
    <mergeCell ref="C138:K138"/>
    <mergeCell ref="L138:M138"/>
    <mergeCell ref="C139:K139"/>
    <mergeCell ref="L139:M139"/>
    <mergeCell ref="C140:K140"/>
    <mergeCell ref="L140:M140"/>
    <mergeCell ref="C141:K141"/>
    <mergeCell ref="L141:M141"/>
    <mergeCell ref="B2:M2"/>
    <mergeCell ref="C55:J55"/>
    <mergeCell ref="L55:M55"/>
    <mergeCell ref="C56:J56"/>
    <mergeCell ref="L56:M56"/>
    <mergeCell ref="C57:J57"/>
    <mergeCell ref="L57:M57"/>
    <mergeCell ref="C58:J58"/>
    <mergeCell ref="L58:M58"/>
    <mergeCell ref="C59:J59"/>
    <mergeCell ref="L59:M59"/>
    <mergeCell ref="C60:J60"/>
    <mergeCell ref="L60:M60"/>
    <mergeCell ref="C61:J61"/>
    <mergeCell ref="L61:M61"/>
    <mergeCell ref="C62:J62"/>
    <mergeCell ref="L62:M62"/>
    <mergeCell ref="C63:J63"/>
    <mergeCell ref="L63:M63"/>
    <mergeCell ref="C64:J64"/>
    <mergeCell ref="L64:M64"/>
    <mergeCell ref="C65:J65"/>
    <mergeCell ref="L65:M65"/>
    <mergeCell ref="C68:K68"/>
    <mergeCell ref="L68:M68"/>
    <mergeCell ref="C69:K69"/>
    <mergeCell ref="L69:M69"/>
    <mergeCell ref="C70:K70"/>
    <mergeCell ref="L70:M70"/>
    <mergeCell ref="C71:K71"/>
    <mergeCell ref="L71:M71"/>
    <mergeCell ref="C72:K72"/>
    <mergeCell ref="L72:M72"/>
    <mergeCell ref="C73:K73"/>
    <mergeCell ref="L73:M73"/>
    <mergeCell ref="C74:K74"/>
    <mergeCell ref="L74:M74"/>
    <mergeCell ref="C75:K75"/>
    <mergeCell ref="L75:M75"/>
    <mergeCell ref="C78:K78"/>
    <mergeCell ref="L78:M78"/>
    <mergeCell ref="C79:K79"/>
    <mergeCell ref="L79:M79"/>
    <mergeCell ref="C80:K80"/>
    <mergeCell ref="L80:M80"/>
    <mergeCell ref="C81:K81"/>
    <mergeCell ref="L81:M81"/>
    <mergeCell ref="C82:K82"/>
    <mergeCell ref="L82:M82"/>
    <mergeCell ref="C83:K83"/>
    <mergeCell ref="L83:M83"/>
    <mergeCell ref="C84:K84"/>
    <mergeCell ref="L84:M84"/>
    <mergeCell ref="C85:K85"/>
    <mergeCell ref="L85:M85"/>
    <mergeCell ref="C86:K86"/>
    <mergeCell ref="L86:M86"/>
    <mergeCell ref="C87:K87"/>
    <mergeCell ref="L87:M87"/>
    <mergeCell ref="C90:K90"/>
    <mergeCell ref="C91:K91"/>
    <mergeCell ref="C92:K92"/>
    <mergeCell ref="C93:K93"/>
    <mergeCell ref="C94:K94"/>
    <mergeCell ref="C95:K95"/>
    <mergeCell ref="C96:K96"/>
    <mergeCell ref="C97:K97"/>
    <mergeCell ref="C100:K100"/>
    <mergeCell ref="L100:M100"/>
    <mergeCell ref="C101:K101"/>
    <mergeCell ref="L101:M101"/>
    <mergeCell ref="C102:K102"/>
    <mergeCell ref="L102:M102"/>
    <mergeCell ref="C103:K103"/>
    <mergeCell ref="L103:M103"/>
    <mergeCell ref="C104:K104"/>
    <mergeCell ref="L104:M104"/>
    <mergeCell ref="C105:K105"/>
    <mergeCell ref="L105:M105"/>
    <mergeCell ref="C106:K106"/>
    <mergeCell ref="L106:M106"/>
    <mergeCell ref="C107:K107"/>
    <mergeCell ref="L107:M107"/>
    <mergeCell ref="C110:M110"/>
    <mergeCell ref="C111:M111"/>
    <mergeCell ref="C112:M112"/>
    <mergeCell ref="C121:J121"/>
    <mergeCell ref="L121:M121"/>
    <mergeCell ref="C122:J122"/>
    <mergeCell ref="L122:M122"/>
    <mergeCell ref="C123:J123"/>
    <mergeCell ref="L123:M123"/>
    <mergeCell ref="C124:J124"/>
    <mergeCell ref="L124:M124"/>
    <mergeCell ref="C113:M113"/>
    <mergeCell ref="C114:M114"/>
    <mergeCell ref="C117:J117"/>
    <mergeCell ref="L117:M117"/>
    <mergeCell ref="C118:J118"/>
    <mergeCell ref="L118:M118"/>
    <mergeCell ref="C119:J119"/>
    <mergeCell ref="L119:M119"/>
    <mergeCell ref="C120:J120"/>
    <mergeCell ref="L120:M120"/>
  </mergeCells>
  <conditionalFormatting sqref="C9:J51">
    <cfRule type="colorScale" priority="2">
      <colorScale>
        <cfvo type="num" val="0"/>
        <cfvo type="max"/>
        <color rgb="FFFFFFFF"/>
        <color rgb="FF8EA9DB"/>
      </colorScale>
    </cfRule>
  </conditionalFormatting>
  <conditionalFormatting sqref="K118:K124">
    <cfRule type="expression" dxfId="49" priority="3">
      <formula>$K118="Oui"</formula>
    </cfRule>
    <cfRule type="expression" dxfId="48" priority="4">
      <formula>$K118="Non"</formula>
    </cfRule>
  </conditionalFormatting>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400-000000000000}">
          <x14:formula1>
            <xm:f>Paramètres!$G$6:$G$7</xm:f>
          </x14:formula1>
          <x14:formula2>
            <xm:f>0</xm:f>
          </x14:formula2>
          <xm:sqref>K118:K124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tabColor rgb="FFB4A7D6"/>
    <pageSetUpPr fitToPage="1"/>
  </sheetPr>
  <dimension ref="A1:AN185"/>
  <sheetViews>
    <sheetView showGridLines="0" zoomScaleNormal="100" workbookViewId="0">
      <pane xSplit="4" ySplit="6" topLeftCell="E7" activePane="bottomRight" state="frozen"/>
      <selection pane="topRight" activeCell="E1" sqref="E1"/>
      <selection pane="bottomLeft" activeCell="A7" sqref="A7"/>
      <selection pane="bottomRight"/>
    </sheetView>
  </sheetViews>
  <sheetFormatPr baseColWidth="10" defaultColWidth="8.7109375" defaultRowHeight="15" x14ac:dyDescent="0.25"/>
  <cols>
    <col min="1" max="1" width="9" customWidth="1"/>
    <col min="2" max="2" width="22" customWidth="1"/>
    <col min="3" max="3" width="5" customWidth="1"/>
    <col min="4" max="4" width="9" customWidth="1"/>
    <col min="5" max="40" width="3.42578125" customWidth="1"/>
  </cols>
  <sheetData>
    <row r="1" spans="1:40" ht="20.25" x14ac:dyDescent="0.3">
      <c r="B1" s="6" t="s">
        <v>2890</v>
      </c>
    </row>
    <row r="2" spans="1:40" x14ac:dyDescent="0.25">
      <c r="B2" s="9" t="s">
        <v>2891</v>
      </c>
    </row>
    <row r="4" spans="1:40" ht="19.5" customHeight="1" x14ac:dyDescent="0.25">
      <c r="A4" s="85" t="s">
        <v>2892</v>
      </c>
      <c r="B4" s="85"/>
      <c r="C4" s="85"/>
      <c r="D4" s="85"/>
      <c r="E4" s="85" t="s">
        <v>1671</v>
      </c>
      <c r="F4" s="85"/>
      <c r="G4" s="85"/>
      <c r="H4" s="85" t="s">
        <v>1672</v>
      </c>
      <c r="I4" s="85"/>
      <c r="J4" s="85"/>
      <c r="K4" s="85"/>
      <c r="L4" s="85" t="s">
        <v>2684</v>
      </c>
      <c r="M4" s="85"/>
      <c r="N4" s="85"/>
      <c r="O4" s="85"/>
      <c r="P4" s="85" t="s">
        <v>1666</v>
      </c>
      <c r="Q4" s="85"/>
      <c r="R4" s="85"/>
      <c r="S4" s="85"/>
      <c r="T4" s="85"/>
      <c r="U4" s="85"/>
      <c r="V4" s="85"/>
      <c r="W4" s="85"/>
      <c r="X4" s="85"/>
      <c r="Y4" s="85" t="s">
        <v>151</v>
      </c>
      <c r="Z4" s="85"/>
      <c r="AA4" s="85"/>
      <c r="AB4" s="85"/>
      <c r="AC4" s="85" t="s">
        <v>1676</v>
      </c>
      <c r="AD4" s="85"/>
      <c r="AE4" s="85"/>
      <c r="AF4" s="85"/>
      <c r="AG4" s="85"/>
      <c r="AH4" s="85"/>
      <c r="AI4" s="85"/>
      <c r="AJ4" s="85"/>
      <c r="AK4" s="85"/>
      <c r="AL4" s="85" t="s">
        <v>1677</v>
      </c>
      <c r="AM4" s="85"/>
      <c r="AN4" s="85"/>
    </row>
    <row r="5" spans="1:40" ht="150" customHeight="1" x14ac:dyDescent="0.25">
      <c r="A5" s="5" t="s">
        <v>51</v>
      </c>
      <c r="B5" s="5" t="s">
        <v>169</v>
      </c>
      <c r="C5" s="5" t="s">
        <v>119</v>
      </c>
      <c r="D5" s="5" t="s">
        <v>1663</v>
      </c>
      <c r="E5" s="55" t="s">
        <v>2680</v>
      </c>
      <c r="F5" s="55" t="s">
        <v>1793</v>
      </c>
      <c r="G5" s="55" t="s">
        <v>2681</v>
      </c>
      <c r="H5" s="55" t="s">
        <v>2244</v>
      </c>
      <c r="I5" s="55" t="s">
        <v>1686</v>
      </c>
      <c r="J5" s="55" t="s">
        <v>1713</v>
      </c>
      <c r="K5" s="55" t="s">
        <v>2683</v>
      </c>
      <c r="L5" s="55" t="s">
        <v>1687</v>
      </c>
      <c r="M5" s="55" t="s">
        <v>2109</v>
      </c>
      <c r="N5" s="55" t="s">
        <v>2893</v>
      </c>
      <c r="O5" s="55" t="s">
        <v>2894</v>
      </c>
      <c r="P5" s="55" t="s">
        <v>1702</v>
      </c>
      <c r="Q5" s="55" t="s">
        <v>2895</v>
      </c>
      <c r="R5" s="55" t="s">
        <v>2688</v>
      </c>
      <c r="S5" s="55" t="s">
        <v>2689</v>
      </c>
      <c r="T5" s="55" t="s">
        <v>2317</v>
      </c>
      <c r="U5" s="55" t="s">
        <v>2896</v>
      </c>
      <c r="V5" s="55" t="s">
        <v>2692</v>
      </c>
      <c r="W5" s="55" t="s">
        <v>2897</v>
      </c>
      <c r="X5" s="55" t="s">
        <v>2898</v>
      </c>
      <c r="Y5" s="55" t="s">
        <v>1715</v>
      </c>
      <c r="Z5" s="55" t="s">
        <v>1703</v>
      </c>
      <c r="AA5" s="55" t="s">
        <v>1969</v>
      </c>
      <c r="AB5" s="55" t="s">
        <v>2152</v>
      </c>
      <c r="AC5" s="55" t="s">
        <v>2698</v>
      </c>
      <c r="AD5" s="55" t="s">
        <v>2899</v>
      </c>
      <c r="AE5" s="55" t="s">
        <v>2900</v>
      </c>
      <c r="AF5" s="55" t="s">
        <v>2508</v>
      </c>
      <c r="AG5" s="55" t="s">
        <v>2701</v>
      </c>
      <c r="AH5" s="55" t="s">
        <v>2901</v>
      </c>
      <c r="AI5" s="55" t="s">
        <v>2703</v>
      </c>
      <c r="AJ5" s="55" t="s">
        <v>2075</v>
      </c>
      <c r="AK5" s="55" t="s">
        <v>2902</v>
      </c>
      <c r="AL5" s="55" t="s">
        <v>2706</v>
      </c>
      <c r="AM5" s="55" t="s">
        <v>2903</v>
      </c>
      <c r="AN5" s="55" t="s">
        <v>2708</v>
      </c>
    </row>
    <row r="6" spans="1:40" ht="18" customHeight="1" x14ac:dyDescent="0.25">
      <c r="A6" s="56"/>
      <c r="B6" s="48" t="s">
        <v>2904</v>
      </c>
      <c r="C6" s="56"/>
      <c r="D6" s="56"/>
      <c r="E6" s="53">
        <f t="shared" ref="E6:AN6" si="0">COUNTIF(E7:E330,"●")</f>
        <v>34</v>
      </c>
      <c r="F6" s="53">
        <f t="shared" si="0"/>
        <v>32</v>
      </c>
      <c r="G6" s="53">
        <f t="shared" si="0"/>
        <v>10</v>
      </c>
      <c r="H6" s="53">
        <f t="shared" si="0"/>
        <v>24</v>
      </c>
      <c r="I6" s="53">
        <f t="shared" si="0"/>
        <v>17</v>
      </c>
      <c r="J6" s="53">
        <f t="shared" si="0"/>
        <v>42</v>
      </c>
      <c r="K6" s="53">
        <f t="shared" si="0"/>
        <v>27</v>
      </c>
      <c r="L6" s="53">
        <f t="shared" si="0"/>
        <v>60</v>
      </c>
      <c r="M6" s="53">
        <f t="shared" si="0"/>
        <v>58</v>
      </c>
      <c r="N6" s="53">
        <f t="shared" si="0"/>
        <v>7</v>
      </c>
      <c r="O6" s="53">
        <f t="shared" si="0"/>
        <v>11</v>
      </c>
      <c r="P6" s="53">
        <f t="shared" si="0"/>
        <v>11</v>
      </c>
      <c r="Q6" s="53">
        <f t="shared" si="0"/>
        <v>14</v>
      </c>
      <c r="R6" s="53">
        <f t="shared" si="0"/>
        <v>31</v>
      </c>
      <c r="S6" s="53">
        <f t="shared" si="0"/>
        <v>36</v>
      </c>
      <c r="T6" s="53">
        <f t="shared" si="0"/>
        <v>50</v>
      </c>
      <c r="U6" s="53">
        <f t="shared" si="0"/>
        <v>15</v>
      </c>
      <c r="V6" s="53">
        <f t="shared" si="0"/>
        <v>17</v>
      </c>
      <c r="W6" s="53">
        <f t="shared" si="0"/>
        <v>5</v>
      </c>
      <c r="X6" s="53">
        <f t="shared" si="0"/>
        <v>52</v>
      </c>
      <c r="Y6" s="53">
        <f t="shared" si="0"/>
        <v>54</v>
      </c>
      <c r="Z6" s="53">
        <f t="shared" si="0"/>
        <v>50</v>
      </c>
      <c r="AA6" s="53">
        <f t="shared" si="0"/>
        <v>22</v>
      </c>
      <c r="AB6" s="53">
        <f t="shared" si="0"/>
        <v>8</v>
      </c>
      <c r="AC6" s="53">
        <f t="shared" si="0"/>
        <v>51</v>
      </c>
      <c r="AD6" s="53">
        <f t="shared" si="0"/>
        <v>31</v>
      </c>
      <c r="AE6" s="53">
        <f t="shared" si="0"/>
        <v>16</v>
      </c>
      <c r="AF6" s="53">
        <f t="shared" si="0"/>
        <v>10</v>
      </c>
      <c r="AG6" s="53">
        <f t="shared" si="0"/>
        <v>23</v>
      </c>
      <c r="AH6" s="53">
        <f t="shared" si="0"/>
        <v>34</v>
      </c>
      <c r="AI6" s="53">
        <f t="shared" si="0"/>
        <v>14</v>
      </c>
      <c r="AJ6" s="53">
        <f t="shared" si="0"/>
        <v>31</v>
      </c>
      <c r="AK6" s="53">
        <f t="shared" si="0"/>
        <v>34</v>
      </c>
      <c r="AL6" s="53">
        <f t="shared" si="0"/>
        <v>24</v>
      </c>
      <c r="AM6" s="53">
        <f t="shared" si="0"/>
        <v>44</v>
      </c>
      <c r="AN6" s="53">
        <f t="shared" si="0"/>
        <v>35</v>
      </c>
    </row>
    <row r="7" spans="1:40" x14ac:dyDescent="0.25">
      <c r="A7" s="38" t="s">
        <v>230</v>
      </c>
      <c r="B7" s="57" t="str">
        <f>IF($A7="","",IFERROR(INDEX(Références!$C$2:$C$201,MATCH($A7,Références!$A$2:$A$201,0)),""))</f>
        <v>De Beer et al. (2012)</v>
      </c>
      <c r="C7" s="58">
        <f>IF($A7="","",IFERROR(INDEX(Références!$G$2:$G$201,MATCH($A7,Références!$A$2:$A$201,0)),""))</f>
        <v>1</v>
      </c>
      <c r="D7" s="57" t="str">
        <f>IF($A7="","",IFERROR(INDEX('Lecture détaillée'!$J$5:$J$204,MATCH($A7,'Lecture détaillée'!$A$5:$A$204,0)),""))</f>
        <v>Partiel</v>
      </c>
      <c r="E7" s="59" t="s">
        <v>2905</v>
      </c>
      <c r="F7" s="59"/>
      <c r="G7" s="59"/>
      <c r="H7" s="59"/>
      <c r="I7" s="59" t="s">
        <v>2905</v>
      </c>
      <c r="J7" s="59"/>
      <c r="K7" s="59"/>
      <c r="L7" s="59" t="s">
        <v>2905</v>
      </c>
      <c r="M7" s="59"/>
      <c r="N7" s="59"/>
      <c r="O7" s="59"/>
      <c r="P7" s="59" t="s">
        <v>2905</v>
      </c>
      <c r="Q7" s="59"/>
      <c r="R7" s="59"/>
      <c r="S7" s="59"/>
      <c r="T7" s="59"/>
      <c r="U7" s="59"/>
      <c r="V7" s="59"/>
      <c r="W7" s="59"/>
      <c r="X7" s="59"/>
      <c r="Y7" s="59"/>
      <c r="Z7" s="59" t="s">
        <v>2905</v>
      </c>
      <c r="AA7" s="59"/>
      <c r="AB7" s="59"/>
      <c r="AC7" s="59" t="s">
        <v>2905</v>
      </c>
      <c r="AD7" s="59" t="s">
        <v>2905</v>
      </c>
      <c r="AE7" s="59"/>
      <c r="AF7" s="59"/>
      <c r="AG7" s="59" t="s">
        <v>2905</v>
      </c>
      <c r="AH7" s="59"/>
      <c r="AI7" s="59"/>
      <c r="AJ7" s="59"/>
      <c r="AK7" s="59"/>
      <c r="AL7" s="59"/>
      <c r="AM7" s="59" t="s">
        <v>2905</v>
      </c>
      <c r="AN7" s="59"/>
    </row>
    <row r="8" spans="1:40" x14ac:dyDescent="0.25">
      <c r="A8" s="38" t="s">
        <v>253</v>
      </c>
      <c r="B8" s="57" t="str">
        <f>IF($A8="","",IFERROR(INDEX(Références!$C$2:$C$201,MATCH($A8,Références!$A$2:$A$201,0)),""))</f>
        <v>De Beer &amp; Fisher (2013)</v>
      </c>
      <c r="C8" s="58">
        <f>IF($A8="","",IFERROR(INDEX(Références!$G$2:$G$201,MATCH($A8,Références!$A$2:$A$201,0)),""))</f>
        <v>1</v>
      </c>
      <c r="D8" s="57" t="str">
        <f>IF($A8="","",IFERROR(INDEX('Lecture détaillée'!$J$5:$J$204,MATCH($A8,'Lecture détaillée'!$A$5:$A$204,0)),""))</f>
        <v>Complet</v>
      </c>
      <c r="E8" s="59" t="s">
        <v>2905</v>
      </c>
      <c r="F8" s="59"/>
      <c r="G8" s="59"/>
      <c r="H8" s="59"/>
      <c r="I8" s="59" t="s">
        <v>2905</v>
      </c>
      <c r="J8" s="59"/>
      <c r="K8" s="59" t="s">
        <v>2905</v>
      </c>
      <c r="L8" s="59"/>
      <c r="M8" s="59"/>
      <c r="N8" s="59"/>
      <c r="O8" s="59"/>
      <c r="P8" s="59" t="s">
        <v>2905</v>
      </c>
      <c r="Q8" s="59"/>
      <c r="R8" s="59"/>
      <c r="S8" s="59"/>
      <c r="T8" s="59"/>
      <c r="U8" s="59"/>
      <c r="V8" s="59"/>
      <c r="W8" s="59"/>
      <c r="X8" s="59"/>
      <c r="Y8" s="59"/>
      <c r="Z8" s="59" t="s">
        <v>2905</v>
      </c>
      <c r="AA8" s="59"/>
      <c r="AB8" s="59"/>
      <c r="AC8" s="59" t="s">
        <v>2905</v>
      </c>
      <c r="AD8" s="59"/>
      <c r="AE8" s="59"/>
      <c r="AF8" s="59"/>
      <c r="AG8" s="59"/>
      <c r="AH8" s="59"/>
      <c r="AI8" s="59"/>
      <c r="AJ8" s="59"/>
      <c r="AK8" s="59"/>
      <c r="AL8" s="59"/>
      <c r="AM8" s="59" t="s">
        <v>2905</v>
      </c>
      <c r="AN8" s="59"/>
    </row>
    <row r="9" spans="1:40" x14ac:dyDescent="0.25">
      <c r="A9" s="38" t="s">
        <v>268</v>
      </c>
      <c r="B9" s="57" t="str">
        <f>IF($A9="","",IFERROR(INDEX(Références!$C$2:$C$201,MATCH($A9,Références!$A$2:$A$201,0)),""))</f>
        <v>Tielking (1989)</v>
      </c>
      <c r="C9" s="58">
        <f>IF($A9="","",IFERROR(INDEX(Références!$G$2:$G$201,MATCH($A9,Références!$A$2:$A$201,0)),""))</f>
        <v>1</v>
      </c>
      <c r="D9" s="57" t="str">
        <f>IF($A9="","",IFERROR(INDEX('Lecture détaillée'!$J$5:$J$204,MATCH($A9,'Lecture détaillée'!$A$5:$A$204,0)),""))</f>
        <v>Complet</v>
      </c>
      <c r="E9" s="59"/>
      <c r="F9" s="59" t="s">
        <v>2905</v>
      </c>
      <c r="G9" s="59"/>
      <c r="H9" s="59"/>
      <c r="I9" s="59"/>
      <c r="J9" s="59" t="s">
        <v>2905</v>
      </c>
      <c r="K9" s="59"/>
      <c r="L9" s="59"/>
      <c r="M9" s="59"/>
      <c r="N9" s="59"/>
      <c r="O9" s="59"/>
      <c r="P9" s="59"/>
      <c r="Q9" s="59"/>
      <c r="R9" s="59"/>
      <c r="S9" s="59" t="s">
        <v>2905</v>
      </c>
      <c r="T9" s="59"/>
      <c r="U9" s="59"/>
      <c r="V9" s="59" t="s">
        <v>2905</v>
      </c>
      <c r="W9" s="59"/>
      <c r="X9" s="59"/>
      <c r="Y9" s="59" t="s">
        <v>2905</v>
      </c>
      <c r="Z9" s="59"/>
      <c r="AA9" s="59"/>
      <c r="AB9" s="59"/>
      <c r="AC9" s="59" t="s">
        <v>2905</v>
      </c>
      <c r="AD9" s="59"/>
      <c r="AE9" s="59"/>
      <c r="AF9" s="59"/>
      <c r="AG9" s="59"/>
      <c r="AH9" s="59"/>
      <c r="AI9" s="59"/>
      <c r="AJ9" s="59"/>
      <c r="AK9" s="59"/>
      <c r="AL9" s="59"/>
      <c r="AM9" s="59"/>
      <c r="AN9" s="59"/>
    </row>
    <row r="10" spans="1:40" x14ac:dyDescent="0.25">
      <c r="A10" s="38" t="s">
        <v>335</v>
      </c>
      <c r="B10" s="57" t="str">
        <f>IF($A10="","",IFERROR(INDEX(Références!$C$2:$C$201,MATCH($A10,Références!$A$2:$A$201,0)),""))</f>
        <v>De Beer &amp; Fisher (2000)</v>
      </c>
      <c r="C10" s="58">
        <f>IF($A10="","",IFERROR(INDEX(Références!$G$2:$G$201,MATCH($A10,Références!$A$2:$A$201,0)),""))</f>
        <v>1</v>
      </c>
      <c r="D10" s="57" t="str">
        <f>IF($A10="","",IFERROR(INDEX('Lecture détaillée'!$J$5:$J$204,MATCH($A10,'Lecture détaillée'!$A$5:$A$204,0)),""))</f>
        <v>Aucun</v>
      </c>
      <c r="E10" s="59" t="s">
        <v>2905</v>
      </c>
      <c r="F10" s="59"/>
      <c r="G10" s="59"/>
      <c r="H10" s="59"/>
      <c r="I10" s="59" t="s">
        <v>2905</v>
      </c>
      <c r="J10" s="59"/>
      <c r="K10" s="59" t="s">
        <v>2905</v>
      </c>
      <c r="L10" s="59"/>
      <c r="M10" s="59"/>
      <c r="N10" s="59"/>
      <c r="O10" s="59"/>
      <c r="P10" s="59" t="s">
        <v>2905</v>
      </c>
      <c r="Q10" s="59"/>
      <c r="R10" s="59"/>
      <c r="S10" s="59"/>
      <c r="T10" s="59"/>
      <c r="U10" s="59"/>
      <c r="V10" s="59"/>
      <c r="W10" s="59"/>
      <c r="X10" s="59"/>
      <c r="Y10" s="59"/>
      <c r="Z10" s="59" t="s">
        <v>2905</v>
      </c>
      <c r="AA10" s="59"/>
      <c r="AB10" s="59"/>
      <c r="AC10" s="59" t="s">
        <v>2905</v>
      </c>
      <c r="AD10" s="59"/>
      <c r="AE10" s="59"/>
      <c r="AF10" s="59"/>
      <c r="AG10" s="59"/>
      <c r="AH10" s="59"/>
      <c r="AI10" s="59"/>
      <c r="AJ10" s="59"/>
      <c r="AK10" s="59"/>
      <c r="AL10" s="59"/>
      <c r="AM10" s="59"/>
      <c r="AN10" s="59"/>
    </row>
    <row r="11" spans="1:40" x14ac:dyDescent="0.25">
      <c r="A11" s="38" t="s">
        <v>349</v>
      </c>
      <c r="B11" s="57" t="str">
        <f>IF($A11="","",IFERROR(INDEX(Références!$C$2:$C$201,MATCH($A11,Références!$A$2:$A$201,0)),""))</f>
        <v>De Beer et al. (2004)</v>
      </c>
      <c r="C11" s="58">
        <f>IF($A11="","",IFERROR(INDEX(Références!$G$2:$G$201,MATCH($A11,Références!$A$2:$A$201,0)),""))</f>
        <v>1</v>
      </c>
      <c r="D11" s="57" t="str">
        <f>IF($A11="","",IFERROR(INDEX('Lecture détaillée'!$J$5:$J$204,MATCH($A11,'Lecture détaillée'!$A$5:$A$204,0)),""))</f>
        <v>Complet</v>
      </c>
      <c r="E11" s="59" t="s">
        <v>2905</v>
      </c>
      <c r="F11" s="59"/>
      <c r="G11" s="59"/>
      <c r="H11" s="59"/>
      <c r="I11" s="59" t="s">
        <v>2905</v>
      </c>
      <c r="J11" s="59"/>
      <c r="K11" s="59" t="s">
        <v>2905</v>
      </c>
      <c r="L11" s="59" t="s">
        <v>2905</v>
      </c>
      <c r="M11" s="59"/>
      <c r="N11" s="59"/>
      <c r="O11" s="59"/>
      <c r="P11" s="59" t="s">
        <v>2905</v>
      </c>
      <c r="Q11" s="59"/>
      <c r="R11" s="59"/>
      <c r="S11" s="59"/>
      <c r="T11" s="59" t="s">
        <v>2905</v>
      </c>
      <c r="U11" s="59"/>
      <c r="V11" s="59"/>
      <c r="W11" s="59"/>
      <c r="X11" s="59"/>
      <c r="Y11" s="59"/>
      <c r="Z11" s="59" t="s">
        <v>2905</v>
      </c>
      <c r="AA11" s="59"/>
      <c r="AB11" s="59"/>
      <c r="AC11" s="59" t="s">
        <v>2905</v>
      </c>
      <c r="AD11" s="59"/>
      <c r="AE11" s="59"/>
      <c r="AF11" s="59"/>
      <c r="AG11" s="59" t="s">
        <v>2905</v>
      </c>
      <c r="AH11" s="59"/>
      <c r="AI11" s="59"/>
      <c r="AJ11" s="59"/>
      <c r="AK11" s="59"/>
      <c r="AL11" s="59" t="s">
        <v>2905</v>
      </c>
      <c r="AM11" s="59"/>
      <c r="AN11" s="59"/>
    </row>
    <row r="12" spans="1:40" x14ac:dyDescent="0.25">
      <c r="A12" s="38" t="s">
        <v>362</v>
      </c>
      <c r="B12" s="57" t="str">
        <f>IF($A12="","",IFERROR(INDEX(Références!$C$2:$C$201,MATCH($A12,Références!$A$2:$A$201,0)),""))</f>
        <v>Gong et al. (2024)</v>
      </c>
      <c r="C12" s="58">
        <f>IF($A12="","",IFERROR(INDEX(Références!$G$2:$G$201,MATCH($A12,Références!$A$2:$A$201,0)),""))</f>
        <v>1</v>
      </c>
      <c r="D12" s="57" t="str">
        <f>IF($A12="","",IFERROR(INDEX('Lecture détaillée'!$J$5:$J$204,MATCH($A12,'Lecture détaillée'!$A$5:$A$204,0)),""))</f>
        <v>Complet</v>
      </c>
      <c r="E12" s="59"/>
      <c r="F12" s="59"/>
      <c r="G12" s="59"/>
      <c r="H12" s="59"/>
      <c r="I12" s="59"/>
      <c r="J12" s="59"/>
      <c r="K12" s="59"/>
      <c r="L12" s="59"/>
      <c r="M12" s="59"/>
      <c r="N12" s="59"/>
      <c r="O12" s="59"/>
      <c r="P12" s="59"/>
      <c r="Q12" s="59"/>
      <c r="R12" s="59"/>
      <c r="S12" s="59"/>
      <c r="T12" s="59"/>
      <c r="U12" s="59"/>
      <c r="V12" s="59"/>
      <c r="W12" s="59"/>
      <c r="X12" s="59" t="s">
        <v>2905</v>
      </c>
      <c r="Y12" s="59"/>
      <c r="Z12" s="59"/>
      <c r="AA12" s="59"/>
      <c r="AB12" s="59"/>
      <c r="AC12" s="59" t="s">
        <v>2905</v>
      </c>
      <c r="AD12" s="59"/>
      <c r="AE12" s="59"/>
      <c r="AF12" s="59"/>
      <c r="AG12" s="59"/>
      <c r="AH12" s="59"/>
      <c r="AI12" s="59"/>
      <c r="AJ12" s="59"/>
      <c r="AK12" s="59"/>
      <c r="AL12" s="59"/>
      <c r="AM12" s="59"/>
      <c r="AN12" s="59"/>
    </row>
    <row r="13" spans="1:40" x14ac:dyDescent="0.25">
      <c r="A13" s="38" t="s">
        <v>376</v>
      </c>
      <c r="B13" s="57" t="str">
        <f>IF($A13="","",IFERROR(INDEX(Références!$C$2:$C$201,MATCH($A13,Références!$A$2:$A$201,0)),""))</f>
        <v>Hansen et al. (1989)</v>
      </c>
      <c r="C13" s="58">
        <f>IF($A13="","",IFERROR(INDEX(Références!$G$2:$G$201,MATCH($A13,Références!$A$2:$A$201,0)),""))</f>
        <v>1</v>
      </c>
      <c r="D13" s="57" t="str">
        <f>IF($A13="","",IFERROR(INDEX('Lecture détaillée'!$J$5:$J$204,MATCH($A13,'Lecture détaillée'!$A$5:$A$204,0)),""))</f>
        <v>Partiel</v>
      </c>
      <c r="E13" s="59" t="s">
        <v>2905</v>
      </c>
      <c r="F13" s="59"/>
      <c r="G13" s="59"/>
      <c r="H13" s="59"/>
      <c r="I13" s="59" t="s">
        <v>2905</v>
      </c>
      <c r="J13" s="59"/>
      <c r="K13" s="59"/>
      <c r="L13" s="59"/>
      <c r="M13" s="59"/>
      <c r="N13" s="59"/>
      <c r="O13" s="59"/>
      <c r="P13" s="59" t="s">
        <v>2905</v>
      </c>
      <c r="Q13" s="59"/>
      <c r="R13" s="59"/>
      <c r="S13" s="59"/>
      <c r="T13" s="59"/>
      <c r="U13" s="59"/>
      <c r="V13" s="59"/>
      <c r="W13" s="59"/>
      <c r="X13" s="59"/>
      <c r="Y13" s="59" t="s">
        <v>2905</v>
      </c>
      <c r="Z13" s="59"/>
      <c r="AA13" s="59"/>
      <c r="AB13" s="59"/>
      <c r="AC13" s="59" t="s">
        <v>2905</v>
      </c>
      <c r="AD13" s="59"/>
      <c r="AE13" s="59"/>
      <c r="AF13" s="59"/>
      <c r="AG13" s="59"/>
      <c r="AH13" s="59"/>
      <c r="AI13" s="59"/>
      <c r="AJ13" s="59"/>
      <c r="AK13" s="59"/>
      <c r="AL13" s="59"/>
      <c r="AM13" s="59"/>
      <c r="AN13" s="59"/>
    </row>
    <row r="14" spans="1:40" x14ac:dyDescent="0.25">
      <c r="A14" s="38" t="s">
        <v>388</v>
      </c>
      <c r="B14" s="57" t="str">
        <f>IF($A14="","",IFERROR(INDEX(Références!$C$2:$C$201,MATCH($A14,Références!$A$2:$A$201,0)),""))</f>
        <v>Tielking &amp; Roberts (1987)</v>
      </c>
      <c r="C14" s="58">
        <f>IF($A14="","",IFERROR(INDEX(Références!$G$2:$G$201,MATCH($A14,Références!$A$2:$A$201,0)),""))</f>
        <v>1</v>
      </c>
      <c r="D14" s="57" t="str">
        <f>IF($A14="","",IFERROR(INDEX('Lecture détaillée'!$J$5:$J$204,MATCH($A14,'Lecture détaillée'!$A$5:$A$204,0)),""))</f>
        <v>Complet</v>
      </c>
      <c r="E14" s="59" t="s">
        <v>2905</v>
      </c>
      <c r="F14" s="59"/>
      <c r="G14" s="59"/>
      <c r="H14" s="59"/>
      <c r="I14" s="59"/>
      <c r="J14" s="59" t="s">
        <v>2905</v>
      </c>
      <c r="K14" s="59"/>
      <c r="L14" s="59" t="s">
        <v>2905</v>
      </c>
      <c r="M14" s="59"/>
      <c r="N14" s="59"/>
      <c r="O14" s="59"/>
      <c r="P14" s="59"/>
      <c r="Q14" s="59"/>
      <c r="R14" s="59"/>
      <c r="S14" s="59" t="s">
        <v>2905</v>
      </c>
      <c r="T14" s="59"/>
      <c r="U14" s="59"/>
      <c r="V14" s="59" t="s">
        <v>2905</v>
      </c>
      <c r="W14" s="59"/>
      <c r="X14" s="59"/>
      <c r="Y14" s="59" t="s">
        <v>2905</v>
      </c>
      <c r="Z14" s="59"/>
      <c r="AA14" s="59"/>
      <c r="AB14" s="59"/>
      <c r="AC14" s="59"/>
      <c r="AD14" s="59"/>
      <c r="AE14" s="59" t="s">
        <v>2905</v>
      </c>
      <c r="AF14" s="59"/>
      <c r="AG14" s="59"/>
      <c r="AH14" s="59"/>
      <c r="AI14" s="59"/>
      <c r="AJ14" s="59"/>
      <c r="AK14" s="59"/>
      <c r="AL14" s="59"/>
      <c r="AM14" s="59"/>
      <c r="AN14" s="59"/>
    </row>
    <row r="15" spans="1:40" x14ac:dyDescent="0.25">
      <c r="A15" s="38" t="s">
        <v>402</v>
      </c>
      <c r="B15" s="57" t="str">
        <f>IF($A15="","",IFERROR(INDEX(Références!$C$2:$C$201,MATCH($A15,Références!$A$2:$A$201,0)),""))</f>
        <v>Guan et al. (2023)</v>
      </c>
      <c r="C15" s="58">
        <f>IF($A15="","",IFERROR(INDEX(Références!$G$2:$G$201,MATCH($A15,Références!$A$2:$A$201,0)),""))</f>
        <v>1</v>
      </c>
      <c r="D15" s="57" t="str">
        <f>IF($A15="","",IFERROR(INDEX('Lecture détaillée'!$J$5:$J$204,MATCH($A15,'Lecture détaillée'!$A$5:$A$204,0)),""))</f>
        <v>Complet</v>
      </c>
      <c r="E15" s="59"/>
      <c r="F15" s="59"/>
      <c r="G15" s="59"/>
      <c r="H15" s="59"/>
      <c r="I15" s="59" t="s">
        <v>2905</v>
      </c>
      <c r="J15" s="59"/>
      <c r="K15" s="59" t="s">
        <v>2905</v>
      </c>
      <c r="L15" s="59"/>
      <c r="M15" s="59"/>
      <c r="N15" s="59"/>
      <c r="O15" s="59"/>
      <c r="P15" s="59" t="s">
        <v>2905</v>
      </c>
      <c r="Q15" s="59"/>
      <c r="R15" s="59"/>
      <c r="S15" s="59"/>
      <c r="T15" s="59"/>
      <c r="U15" s="59"/>
      <c r="V15" s="59"/>
      <c r="W15" s="59"/>
      <c r="X15" s="59"/>
      <c r="Y15" s="59"/>
      <c r="Z15" s="59" t="s">
        <v>2905</v>
      </c>
      <c r="AA15" s="59"/>
      <c r="AB15" s="59"/>
      <c r="AC15" s="59" t="s">
        <v>2905</v>
      </c>
      <c r="AD15" s="59"/>
      <c r="AE15" s="59"/>
      <c r="AF15" s="59"/>
      <c r="AG15" s="59"/>
      <c r="AH15" s="59"/>
      <c r="AI15" s="59"/>
      <c r="AJ15" s="59"/>
      <c r="AK15" s="59"/>
      <c r="AL15" s="59"/>
      <c r="AM15" s="59"/>
      <c r="AN15" s="59"/>
    </row>
    <row r="16" spans="1:40" x14ac:dyDescent="0.25">
      <c r="A16" s="38" t="s">
        <v>415</v>
      </c>
      <c r="B16" s="57" t="str">
        <f>IF($A16="","",IFERROR(INDEX(Références!$C$2:$C$201,MATCH($A16,Références!$A$2:$A$201,0)),""))</f>
        <v>Luo et al. (2025)</v>
      </c>
      <c r="C16" s="58">
        <f>IF($A16="","",IFERROR(INDEX(Références!$G$2:$G$201,MATCH($A16,Références!$A$2:$A$201,0)),""))</f>
        <v>1</v>
      </c>
      <c r="D16" s="57" t="str">
        <f>IF($A16="","",IFERROR(INDEX('Lecture détaillée'!$J$5:$J$204,MATCH($A16,'Lecture détaillée'!$A$5:$A$204,0)),""))</f>
        <v>Complet</v>
      </c>
      <c r="E16" s="59"/>
      <c r="F16" s="59"/>
      <c r="G16" s="59"/>
      <c r="H16" s="59"/>
      <c r="I16" s="59" t="s">
        <v>2905</v>
      </c>
      <c r="J16" s="59" t="s">
        <v>2905</v>
      </c>
      <c r="K16" s="59"/>
      <c r="L16" s="59" t="s">
        <v>2905</v>
      </c>
      <c r="M16" s="59"/>
      <c r="N16" s="59"/>
      <c r="O16" s="59"/>
      <c r="P16" s="59" t="s">
        <v>2905</v>
      </c>
      <c r="Q16" s="59"/>
      <c r="R16" s="59"/>
      <c r="S16" s="59"/>
      <c r="T16" s="59"/>
      <c r="U16" s="59"/>
      <c r="V16" s="59" t="s">
        <v>2905</v>
      </c>
      <c r="W16" s="59"/>
      <c r="X16" s="59"/>
      <c r="Y16" s="59" t="s">
        <v>2905</v>
      </c>
      <c r="Z16" s="59"/>
      <c r="AA16" s="59"/>
      <c r="AB16" s="59"/>
      <c r="AC16" s="59" t="s">
        <v>2905</v>
      </c>
      <c r="AD16" s="59"/>
      <c r="AE16" s="59"/>
      <c r="AF16" s="59"/>
      <c r="AG16" s="59"/>
      <c r="AH16" s="59"/>
      <c r="AI16" s="59"/>
      <c r="AJ16" s="59"/>
      <c r="AK16" s="59"/>
      <c r="AL16" s="59"/>
      <c r="AM16" s="59" t="s">
        <v>2905</v>
      </c>
      <c r="AN16" s="59"/>
    </row>
    <row r="17" spans="1:40" x14ac:dyDescent="0.25">
      <c r="A17" s="38" t="s">
        <v>427</v>
      </c>
      <c r="B17" s="57" t="str">
        <f>IF($A17="","",IFERROR(INDEX(Références!$C$2:$C$201,MATCH($A17,Références!$A$2:$A$201,0)),""))</f>
        <v>Song et al. (2025)</v>
      </c>
      <c r="C17" s="58">
        <f>IF($A17="","",IFERROR(INDEX(Références!$G$2:$G$201,MATCH($A17,Références!$A$2:$A$201,0)),""))</f>
        <v>1</v>
      </c>
      <c r="D17" s="57" t="str">
        <f>IF($A17="","",IFERROR(INDEX('Lecture détaillée'!$J$5:$J$204,MATCH($A17,'Lecture détaillée'!$A$5:$A$204,0)),""))</f>
        <v>Complet</v>
      </c>
      <c r="E17" s="59"/>
      <c r="F17" s="59"/>
      <c r="G17" s="59"/>
      <c r="H17" s="59"/>
      <c r="I17" s="59" t="s">
        <v>2905</v>
      </c>
      <c r="J17" s="59"/>
      <c r="K17" s="59"/>
      <c r="L17" s="59"/>
      <c r="M17" s="59"/>
      <c r="N17" s="59"/>
      <c r="O17" s="59"/>
      <c r="P17" s="59" t="s">
        <v>2905</v>
      </c>
      <c r="Q17" s="59"/>
      <c r="R17" s="59"/>
      <c r="S17" s="59"/>
      <c r="T17" s="59"/>
      <c r="U17" s="59"/>
      <c r="V17" s="59"/>
      <c r="W17" s="59"/>
      <c r="X17" s="59"/>
      <c r="Y17" s="59" t="s">
        <v>2905</v>
      </c>
      <c r="Z17" s="59"/>
      <c r="AA17" s="59"/>
      <c r="AB17" s="59"/>
      <c r="AC17" s="59" t="s">
        <v>2905</v>
      </c>
      <c r="AD17" s="59"/>
      <c r="AE17" s="59"/>
      <c r="AF17" s="59"/>
      <c r="AG17" s="59"/>
      <c r="AH17" s="59"/>
      <c r="AI17" s="59"/>
      <c r="AJ17" s="59"/>
      <c r="AK17" s="59"/>
      <c r="AL17" s="59"/>
      <c r="AM17" s="59"/>
      <c r="AN17" s="59"/>
    </row>
    <row r="18" spans="1:40" x14ac:dyDescent="0.25">
      <c r="A18" s="38" t="s">
        <v>437</v>
      </c>
      <c r="B18" s="57" t="str">
        <f>IF($A18="","",IFERROR(INDEX(Références!$C$2:$C$201,MATCH($A18,Références!$A$2:$A$201,0)),""))</f>
        <v>Tielking (1989)</v>
      </c>
      <c r="C18" s="58">
        <f>IF($A18="","",IFERROR(INDEX(Références!$G$2:$G$201,MATCH($A18,Références!$A$2:$A$201,0)),""))</f>
        <v>1</v>
      </c>
      <c r="D18" s="57" t="str">
        <f>IF($A18="","",IFERROR(INDEX('Lecture détaillée'!$J$5:$J$204,MATCH($A18,'Lecture détaillée'!$A$5:$A$204,0)),""))</f>
        <v>Complet</v>
      </c>
      <c r="E18" s="59"/>
      <c r="F18" s="59" t="s">
        <v>2905</v>
      </c>
      <c r="G18" s="59"/>
      <c r="H18" s="59"/>
      <c r="I18" s="59"/>
      <c r="J18" s="59" t="s">
        <v>2905</v>
      </c>
      <c r="K18" s="59"/>
      <c r="L18" s="59"/>
      <c r="M18" s="59"/>
      <c r="N18" s="59"/>
      <c r="O18" s="59"/>
      <c r="P18" s="59"/>
      <c r="Q18" s="59"/>
      <c r="R18" s="59"/>
      <c r="S18" s="59" t="s">
        <v>2905</v>
      </c>
      <c r="T18" s="59"/>
      <c r="U18" s="59"/>
      <c r="V18" s="59" t="s">
        <v>2905</v>
      </c>
      <c r="W18" s="59"/>
      <c r="X18" s="59"/>
      <c r="Y18" s="59" t="s">
        <v>2905</v>
      </c>
      <c r="Z18" s="59"/>
      <c r="AA18" s="59"/>
      <c r="AB18" s="59"/>
      <c r="AC18" s="59" t="s">
        <v>2905</v>
      </c>
      <c r="AD18" s="59"/>
      <c r="AE18" s="59"/>
      <c r="AF18" s="59"/>
      <c r="AG18" s="59"/>
      <c r="AH18" s="59"/>
      <c r="AI18" s="59"/>
      <c r="AJ18" s="59"/>
      <c r="AK18" s="59"/>
      <c r="AL18" s="59"/>
      <c r="AM18" s="59" t="s">
        <v>2905</v>
      </c>
      <c r="AN18" s="59"/>
    </row>
    <row r="19" spans="1:40" x14ac:dyDescent="0.25">
      <c r="A19" s="38" t="s">
        <v>449</v>
      </c>
      <c r="B19" s="57" t="str">
        <f>IF($A19="","",IFERROR(INDEX(Références!$C$2:$C$201,MATCH($A19,Références!$A$2:$A$201,0)),""))</f>
        <v>Wang et al. (2021)</v>
      </c>
      <c r="C19" s="58">
        <f>IF($A19="","",IFERROR(INDEX(Références!$G$2:$G$201,MATCH($A19,Références!$A$2:$A$201,0)),""))</f>
        <v>1</v>
      </c>
      <c r="D19" s="57" t="str">
        <f>IF($A19="","",IFERROR(INDEX('Lecture détaillée'!$J$5:$J$204,MATCH($A19,'Lecture détaillée'!$A$5:$A$204,0)),""))</f>
        <v>Complet</v>
      </c>
      <c r="E19" s="59" t="s">
        <v>2905</v>
      </c>
      <c r="F19" s="59"/>
      <c r="G19" s="59"/>
      <c r="H19" s="59"/>
      <c r="I19" s="59"/>
      <c r="J19" s="59"/>
      <c r="K19" s="59"/>
      <c r="L19" s="59"/>
      <c r="M19" s="59"/>
      <c r="N19" s="59"/>
      <c r="O19" s="59"/>
      <c r="P19" s="59"/>
      <c r="Q19" s="59" t="s">
        <v>2905</v>
      </c>
      <c r="R19" s="59"/>
      <c r="S19" s="59"/>
      <c r="T19" s="59"/>
      <c r="U19" s="59"/>
      <c r="V19" s="59"/>
      <c r="W19" s="59"/>
      <c r="X19" s="59"/>
      <c r="Y19" s="59"/>
      <c r="Z19" s="59" t="s">
        <v>2905</v>
      </c>
      <c r="AA19" s="59"/>
      <c r="AB19" s="59"/>
      <c r="AC19" s="59"/>
      <c r="AD19" s="59"/>
      <c r="AE19" s="59"/>
      <c r="AF19" s="59"/>
      <c r="AG19" s="59"/>
      <c r="AH19" s="59"/>
      <c r="AI19" s="59"/>
      <c r="AJ19" s="59" t="s">
        <v>2905</v>
      </c>
      <c r="AK19" s="59"/>
      <c r="AL19" s="59" t="s">
        <v>2905</v>
      </c>
      <c r="AM19" s="59"/>
      <c r="AN19" s="59"/>
    </row>
    <row r="20" spans="1:40" x14ac:dyDescent="0.25">
      <c r="A20" s="38" t="s">
        <v>459</v>
      </c>
      <c r="B20" s="57" t="str">
        <f>IF($A20="","",IFERROR(INDEX(Références!$C$2:$C$201,MATCH($A20,Références!$A$2:$A$201,0)),""))</f>
        <v>Wesołowski et al. (2020)</v>
      </c>
      <c r="C20" s="58">
        <f>IF($A20="","",IFERROR(INDEX(Références!$G$2:$G$201,MATCH($A20,Références!$A$2:$A$201,0)),""))</f>
        <v>1</v>
      </c>
      <c r="D20" s="57" t="str">
        <f>IF($A20="","",IFERROR(INDEX('Lecture détaillée'!$J$5:$J$204,MATCH($A20,'Lecture détaillée'!$A$5:$A$204,0)),""))</f>
        <v>Complet</v>
      </c>
      <c r="E20" s="59"/>
      <c r="F20" s="59" t="s">
        <v>2905</v>
      </c>
      <c r="G20" s="59"/>
      <c r="H20" s="59"/>
      <c r="I20" s="59" t="s">
        <v>2905</v>
      </c>
      <c r="J20" s="59"/>
      <c r="K20" s="59"/>
      <c r="L20" s="59"/>
      <c r="M20" s="59"/>
      <c r="N20" s="59"/>
      <c r="O20" s="59"/>
      <c r="P20" s="59" t="s">
        <v>2905</v>
      </c>
      <c r="Q20" s="59"/>
      <c r="R20" s="59"/>
      <c r="S20" s="59"/>
      <c r="T20" s="59"/>
      <c r="U20" s="59"/>
      <c r="V20" s="59"/>
      <c r="W20" s="59"/>
      <c r="X20" s="59"/>
      <c r="Y20" s="59" t="s">
        <v>2905</v>
      </c>
      <c r="Z20" s="59"/>
      <c r="AA20" s="59"/>
      <c r="AB20" s="59"/>
      <c r="AC20" s="59" t="s">
        <v>2905</v>
      </c>
      <c r="AD20" s="59"/>
      <c r="AE20" s="59"/>
      <c r="AF20" s="59"/>
      <c r="AG20" s="59"/>
      <c r="AH20" s="59"/>
      <c r="AI20" s="59"/>
      <c r="AJ20" s="59"/>
      <c r="AK20" s="59"/>
      <c r="AL20" s="59"/>
      <c r="AM20" s="59"/>
      <c r="AN20" s="59"/>
    </row>
    <row r="21" spans="1:40" x14ac:dyDescent="0.25">
      <c r="A21" s="38" t="s">
        <v>507</v>
      </c>
      <c r="B21" s="57" t="str">
        <f>IF($A21="","",IFERROR(INDEX(Références!$C$2:$C$201,MATCH($A21,Références!$A$2:$A$201,0)),""))</f>
        <v>De Beer et al. (1997)</v>
      </c>
      <c r="C21" s="58">
        <f>IF($A21="","",IFERROR(INDEX(Références!$G$2:$G$201,MATCH($A21,Références!$A$2:$A$201,0)),""))</f>
        <v>1</v>
      </c>
      <c r="D21" s="57" t="str">
        <f>IF($A21="","",IFERROR(INDEX('Lecture détaillée'!$J$5:$J$204,MATCH($A21,'Lecture détaillée'!$A$5:$A$204,0)),""))</f>
        <v>Aucun</v>
      </c>
      <c r="E21" s="59" t="s">
        <v>2905</v>
      </c>
      <c r="F21" s="59"/>
      <c r="G21" s="59"/>
      <c r="H21" s="59"/>
      <c r="I21" s="59" t="s">
        <v>2905</v>
      </c>
      <c r="J21" s="59"/>
      <c r="K21" s="59" t="s">
        <v>2905</v>
      </c>
      <c r="L21" s="59"/>
      <c r="M21" s="59"/>
      <c r="N21" s="59"/>
      <c r="O21" s="59"/>
      <c r="P21" s="59" t="s">
        <v>2905</v>
      </c>
      <c r="Q21" s="59"/>
      <c r="R21" s="59"/>
      <c r="S21" s="59"/>
      <c r="T21" s="59"/>
      <c r="U21" s="59"/>
      <c r="V21" s="59"/>
      <c r="W21" s="59"/>
      <c r="X21" s="59"/>
      <c r="Y21" s="59"/>
      <c r="Z21" s="59" t="s">
        <v>2905</v>
      </c>
      <c r="AA21" s="59"/>
      <c r="AB21" s="59"/>
      <c r="AC21" s="59" t="s">
        <v>2905</v>
      </c>
      <c r="AD21" s="59" t="s">
        <v>2905</v>
      </c>
      <c r="AE21" s="59"/>
      <c r="AF21" s="59"/>
      <c r="AG21" s="59"/>
      <c r="AH21" s="59"/>
      <c r="AI21" s="59"/>
      <c r="AJ21" s="59"/>
      <c r="AK21" s="59"/>
      <c r="AL21" s="59"/>
      <c r="AM21" s="59"/>
      <c r="AN21" s="59"/>
    </row>
    <row r="22" spans="1:40" x14ac:dyDescent="0.25">
      <c r="A22" s="38" t="s">
        <v>521</v>
      </c>
      <c r="B22" s="57" t="str">
        <f>IF($A22="","",IFERROR(INDEX(Références!$C$2:$C$201,MATCH($A22,Références!$A$2:$A$201,0)),""))</f>
        <v>De Beer et al. (2002)</v>
      </c>
      <c r="C22" s="58">
        <f>IF($A22="","",IFERROR(INDEX(Références!$G$2:$G$201,MATCH($A22,Références!$A$2:$A$201,0)),""))</f>
        <v>1</v>
      </c>
      <c r="D22" s="57" t="str">
        <f>IF($A22="","",IFERROR(INDEX('Lecture détaillée'!$J$5:$J$204,MATCH($A22,'Lecture détaillée'!$A$5:$A$204,0)),""))</f>
        <v>Complet</v>
      </c>
      <c r="E22" s="59" t="s">
        <v>2905</v>
      </c>
      <c r="F22" s="59"/>
      <c r="G22" s="59"/>
      <c r="H22" s="59"/>
      <c r="I22" s="59" t="s">
        <v>2905</v>
      </c>
      <c r="J22" s="59"/>
      <c r="K22" s="59"/>
      <c r="L22" s="59" t="s">
        <v>2905</v>
      </c>
      <c r="M22" s="59"/>
      <c r="N22" s="59"/>
      <c r="O22" s="59"/>
      <c r="P22" s="59"/>
      <c r="Q22" s="59"/>
      <c r="R22" s="59"/>
      <c r="S22" s="59" t="s">
        <v>2905</v>
      </c>
      <c r="T22" s="59" t="s">
        <v>2905</v>
      </c>
      <c r="U22" s="59"/>
      <c r="V22" s="59"/>
      <c r="W22" s="59"/>
      <c r="X22" s="59"/>
      <c r="Y22" s="59" t="s">
        <v>2905</v>
      </c>
      <c r="Z22" s="59"/>
      <c r="AA22" s="59"/>
      <c r="AB22" s="59"/>
      <c r="AC22" s="59"/>
      <c r="AD22" s="59" t="s">
        <v>2905</v>
      </c>
      <c r="AE22" s="59" t="s">
        <v>2905</v>
      </c>
      <c r="AF22" s="59"/>
      <c r="AG22" s="59"/>
      <c r="AH22" s="59"/>
      <c r="AI22" s="59"/>
      <c r="AJ22" s="59"/>
      <c r="AK22" s="59"/>
      <c r="AL22" s="59"/>
      <c r="AM22" s="59"/>
      <c r="AN22" s="59" t="s">
        <v>2905</v>
      </c>
    </row>
    <row r="23" spans="1:40" x14ac:dyDescent="0.25">
      <c r="A23" s="38" t="s">
        <v>534</v>
      </c>
      <c r="B23" s="57" t="str">
        <f>IF($A23="","",IFERROR(INDEX(Références!$C$2:$C$201,MATCH($A23,Références!$A$2:$A$201,0)),""))</f>
        <v>Daugherty (2003)</v>
      </c>
      <c r="C23" s="58">
        <f>IF($A23="","",IFERROR(INDEX(Références!$G$2:$G$201,MATCH($A23,Références!$A$2:$A$201,0)),""))</f>
        <v>2</v>
      </c>
      <c r="D23" s="57" t="str">
        <f>IF($A23="","",IFERROR(INDEX('Lecture détaillée'!$J$5:$J$204,MATCH($A23,'Lecture détaillée'!$A$5:$A$204,0)),""))</f>
        <v>Complet</v>
      </c>
      <c r="E23" s="59"/>
      <c r="F23" s="59" t="s">
        <v>2905</v>
      </c>
      <c r="G23" s="59"/>
      <c r="H23" s="59"/>
      <c r="I23" s="59" t="s">
        <v>2905</v>
      </c>
      <c r="J23" s="59"/>
      <c r="K23" s="59"/>
      <c r="L23" s="59"/>
      <c r="M23" s="59"/>
      <c r="N23" s="59"/>
      <c r="O23" s="59"/>
      <c r="P23" s="59"/>
      <c r="Q23" s="59"/>
      <c r="R23" s="59" t="s">
        <v>2905</v>
      </c>
      <c r="S23" s="59"/>
      <c r="T23" s="59"/>
      <c r="U23" s="59"/>
      <c r="V23" s="59"/>
      <c r="W23" s="59"/>
      <c r="X23" s="59"/>
      <c r="Y23" s="59" t="s">
        <v>2905</v>
      </c>
      <c r="Z23" s="59" t="s">
        <v>2905</v>
      </c>
      <c r="AA23" s="59"/>
      <c r="AB23" s="59"/>
      <c r="AC23" s="59" t="s">
        <v>2905</v>
      </c>
      <c r="AD23" s="59"/>
      <c r="AE23" s="59"/>
      <c r="AF23" s="59"/>
      <c r="AG23" s="59"/>
      <c r="AH23" s="59"/>
      <c r="AI23" s="59"/>
      <c r="AJ23" s="59"/>
      <c r="AK23" s="59"/>
      <c r="AL23" s="59"/>
      <c r="AM23" s="59" t="s">
        <v>2905</v>
      </c>
      <c r="AN23" s="59"/>
    </row>
    <row r="24" spans="1:40" x14ac:dyDescent="0.25">
      <c r="A24" s="38" t="s">
        <v>545</v>
      </c>
      <c r="B24" s="57" t="str">
        <f>IF($A24="","",IFERROR(INDEX(Références!$C$2:$C$201,MATCH($A24,Références!$A$2:$A$201,0)),""))</f>
        <v>He et al. (2021)</v>
      </c>
      <c r="C24" s="58">
        <f>IF($A24="","",IFERROR(INDEX(Références!$G$2:$G$201,MATCH($A24,Références!$A$2:$A$201,0)),""))</f>
        <v>2</v>
      </c>
      <c r="D24" s="57" t="str">
        <f>IF($A24="","",IFERROR(INDEX('Lecture détaillée'!$J$5:$J$204,MATCH($A24,'Lecture détaillée'!$A$5:$A$204,0)),""))</f>
        <v>Complet</v>
      </c>
      <c r="E24" s="59"/>
      <c r="F24" s="59"/>
      <c r="G24" s="59" t="s">
        <v>2905</v>
      </c>
      <c r="H24" s="59"/>
      <c r="I24" s="59"/>
      <c r="J24" s="59" t="s">
        <v>2905</v>
      </c>
      <c r="K24" s="59" t="s">
        <v>2905</v>
      </c>
      <c r="L24" s="59"/>
      <c r="M24" s="59"/>
      <c r="N24" s="59"/>
      <c r="O24" s="59"/>
      <c r="P24" s="59"/>
      <c r="Q24" s="59"/>
      <c r="R24" s="59"/>
      <c r="S24" s="59" t="s">
        <v>2905</v>
      </c>
      <c r="T24" s="59"/>
      <c r="U24" s="59"/>
      <c r="V24" s="59" t="s">
        <v>2905</v>
      </c>
      <c r="W24" s="59"/>
      <c r="X24" s="59"/>
      <c r="Y24" s="59"/>
      <c r="Z24" s="59" t="s">
        <v>2905</v>
      </c>
      <c r="AA24" s="59"/>
      <c r="AB24" s="59"/>
      <c r="AC24" s="59" t="s">
        <v>2905</v>
      </c>
      <c r="AD24" s="59"/>
      <c r="AE24" s="59"/>
      <c r="AF24" s="59"/>
      <c r="AG24" s="59"/>
      <c r="AH24" s="59"/>
      <c r="AI24" s="59"/>
      <c r="AJ24" s="59"/>
      <c r="AK24" s="59"/>
      <c r="AL24" s="59"/>
      <c r="AM24" s="59"/>
      <c r="AN24" s="59"/>
    </row>
    <row r="25" spans="1:40" x14ac:dyDescent="0.25">
      <c r="A25" s="38" t="s">
        <v>557</v>
      </c>
      <c r="B25" s="57" t="str">
        <f>IF($A25="","",IFERROR(INDEX(Références!$C$2:$C$201,MATCH($A25,Références!$A$2:$A$201,0)),""))</f>
        <v>Kongo Kondé et al. (2013)</v>
      </c>
      <c r="C25" s="58">
        <f>IF($A25="","",IFERROR(INDEX(Références!$G$2:$G$201,MATCH($A25,Références!$A$2:$A$201,0)),""))</f>
        <v>2</v>
      </c>
      <c r="D25" s="57" t="str">
        <f>IF($A25="","",IFERROR(INDEX('Lecture détaillée'!$J$5:$J$204,MATCH($A25,'Lecture détaillée'!$A$5:$A$204,0)),""))</f>
        <v>Complet</v>
      </c>
      <c r="E25" s="59"/>
      <c r="F25" s="59" t="s">
        <v>2905</v>
      </c>
      <c r="G25" s="59"/>
      <c r="H25" s="59"/>
      <c r="I25" s="59"/>
      <c r="J25" s="59" t="s">
        <v>2905</v>
      </c>
      <c r="K25" s="59" t="s">
        <v>2905</v>
      </c>
      <c r="L25" s="59"/>
      <c r="M25" s="59"/>
      <c r="N25" s="59" t="s">
        <v>2905</v>
      </c>
      <c r="O25" s="59"/>
      <c r="P25" s="59"/>
      <c r="Q25" s="59"/>
      <c r="R25" s="59"/>
      <c r="S25" s="59" t="s">
        <v>2905</v>
      </c>
      <c r="T25" s="59"/>
      <c r="U25" s="59"/>
      <c r="V25" s="59" t="s">
        <v>2905</v>
      </c>
      <c r="W25" s="59"/>
      <c r="X25" s="59"/>
      <c r="Y25" s="59"/>
      <c r="Z25" s="59" t="s">
        <v>2905</v>
      </c>
      <c r="AA25" s="59"/>
      <c r="AB25" s="59"/>
      <c r="AC25" s="59" t="s">
        <v>2905</v>
      </c>
      <c r="AD25" s="59"/>
      <c r="AE25" s="59"/>
      <c r="AF25" s="59"/>
      <c r="AG25" s="59"/>
      <c r="AH25" s="59"/>
      <c r="AI25" s="59"/>
      <c r="AJ25" s="59"/>
      <c r="AK25" s="59"/>
      <c r="AL25" s="59"/>
      <c r="AM25" s="59" t="s">
        <v>2905</v>
      </c>
      <c r="AN25" s="59"/>
    </row>
    <row r="26" spans="1:40" x14ac:dyDescent="0.25">
      <c r="A26" s="38" t="s">
        <v>569</v>
      </c>
      <c r="B26" s="57" t="str">
        <f>IF($A26="","",IFERROR(INDEX(Références!$C$2:$C$201,MATCH($A26,Références!$A$2:$A$201,0)),""))</f>
        <v>Wang et al. (2012)</v>
      </c>
      <c r="C26" s="58">
        <f>IF($A26="","",IFERROR(INDEX(Références!$G$2:$G$201,MATCH($A26,Références!$A$2:$A$201,0)),""))</f>
        <v>2</v>
      </c>
      <c r="D26" s="57" t="str">
        <f>IF($A26="","",IFERROR(INDEX('Lecture détaillée'!$J$5:$J$204,MATCH($A26,'Lecture détaillée'!$A$5:$A$204,0)),""))</f>
        <v>Complet</v>
      </c>
      <c r="E26" s="59"/>
      <c r="F26" s="59"/>
      <c r="G26" s="59" t="s">
        <v>2905</v>
      </c>
      <c r="H26" s="59"/>
      <c r="I26" s="59"/>
      <c r="J26" s="59" t="s">
        <v>2905</v>
      </c>
      <c r="K26" s="59" t="s">
        <v>2905</v>
      </c>
      <c r="L26" s="59"/>
      <c r="M26" s="59"/>
      <c r="N26" s="59" t="s">
        <v>2905</v>
      </c>
      <c r="O26" s="59"/>
      <c r="P26" s="59"/>
      <c r="Q26" s="59"/>
      <c r="R26" s="59"/>
      <c r="S26" s="59" t="s">
        <v>2905</v>
      </c>
      <c r="T26" s="59"/>
      <c r="U26" s="59"/>
      <c r="V26" s="59" t="s">
        <v>2905</v>
      </c>
      <c r="W26" s="59"/>
      <c r="X26" s="59"/>
      <c r="Y26" s="59"/>
      <c r="Z26" s="59" t="s">
        <v>2905</v>
      </c>
      <c r="AA26" s="59"/>
      <c r="AB26" s="59"/>
      <c r="AC26" s="59" t="s">
        <v>2905</v>
      </c>
      <c r="AD26" s="59"/>
      <c r="AE26" s="59"/>
      <c r="AF26" s="59"/>
      <c r="AG26" s="59"/>
      <c r="AH26" s="59"/>
      <c r="AI26" s="59"/>
      <c r="AJ26" s="59"/>
      <c r="AK26" s="59"/>
      <c r="AL26" s="59"/>
      <c r="AM26" s="59" t="s">
        <v>2905</v>
      </c>
      <c r="AN26" s="59"/>
    </row>
    <row r="27" spans="1:40" x14ac:dyDescent="0.25">
      <c r="A27" s="38" t="s">
        <v>580</v>
      </c>
      <c r="B27" s="57" t="str">
        <f>IF($A27="","",IFERROR(INDEX(Références!$C$2:$C$201,MATCH($A27,Références!$A$2:$A$201,0)),""))</f>
        <v>Xie &amp; Yang (2019)</v>
      </c>
      <c r="C27" s="58">
        <f>IF($A27="","",IFERROR(INDEX(Références!$G$2:$G$201,MATCH($A27,Références!$A$2:$A$201,0)),""))</f>
        <v>2</v>
      </c>
      <c r="D27" s="57" t="str">
        <f>IF($A27="","",IFERROR(INDEX('Lecture détaillée'!$J$5:$J$204,MATCH($A27,'Lecture détaillée'!$A$5:$A$204,0)),""))</f>
        <v>Partiel</v>
      </c>
      <c r="E27" s="59" t="s">
        <v>2905</v>
      </c>
      <c r="F27" s="59"/>
      <c r="G27" s="59"/>
      <c r="H27" s="59"/>
      <c r="I27" s="59"/>
      <c r="J27" s="59" t="s">
        <v>2905</v>
      </c>
      <c r="K27" s="59"/>
      <c r="L27" s="59" t="s">
        <v>2905</v>
      </c>
      <c r="M27" s="59"/>
      <c r="N27" s="59"/>
      <c r="O27" s="59"/>
      <c r="P27" s="59"/>
      <c r="Q27" s="59"/>
      <c r="R27" s="59"/>
      <c r="S27" s="59" t="s">
        <v>2905</v>
      </c>
      <c r="T27" s="59"/>
      <c r="U27" s="59"/>
      <c r="V27" s="59" t="s">
        <v>2905</v>
      </c>
      <c r="W27" s="59"/>
      <c r="X27" s="59"/>
      <c r="Y27" s="59" t="s">
        <v>2905</v>
      </c>
      <c r="Z27" s="59"/>
      <c r="AA27" s="59"/>
      <c r="AB27" s="59"/>
      <c r="AC27" s="59" t="s">
        <v>2905</v>
      </c>
      <c r="AD27" s="59"/>
      <c r="AE27" s="59"/>
      <c r="AF27" s="59"/>
      <c r="AG27" s="59"/>
      <c r="AH27" s="59"/>
      <c r="AI27" s="59"/>
      <c r="AJ27" s="59"/>
      <c r="AK27" s="59"/>
      <c r="AL27" s="59"/>
      <c r="AM27" s="59" t="s">
        <v>2905</v>
      </c>
      <c r="AN27" s="59"/>
    </row>
    <row r="28" spans="1:40" x14ac:dyDescent="0.25">
      <c r="A28" s="38" t="s">
        <v>624</v>
      </c>
      <c r="B28" s="57" t="str">
        <f>IF($A28="","",IFERROR(INDEX(Références!$C$2:$C$201,MATCH($A28,Références!$A$2:$A$201,0)),""))</f>
        <v>Behroozi et al. (2012)</v>
      </c>
      <c r="C28" s="58">
        <f>IF($A28="","",IFERROR(INDEX(Références!$G$2:$G$201,MATCH($A28,Références!$A$2:$A$201,0)),""))</f>
        <v>2</v>
      </c>
      <c r="D28" s="57" t="str">
        <f>IF($A28="","",IFERROR(INDEX('Lecture détaillée'!$J$5:$J$204,MATCH($A28,'Lecture détaillée'!$A$5:$A$204,0)),""))</f>
        <v>Complet</v>
      </c>
      <c r="E28" s="59"/>
      <c r="F28" s="59" t="s">
        <v>2905</v>
      </c>
      <c r="G28" s="59"/>
      <c r="H28" s="59"/>
      <c r="I28" s="59"/>
      <c r="J28" s="59"/>
      <c r="K28" s="59"/>
      <c r="L28" s="59"/>
      <c r="M28" s="59"/>
      <c r="N28" s="59" t="s">
        <v>2905</v>
      </c>
      <c r="O28" s="59"/>
      <c r="P28" s="59"/>
      <c r="Q28" s="59"/>
      <c r="R28" s="59"/>
      <c r="S28" s="59" t="s">
        <v>2905</v>
      </c>
      <c r="T28" s="59"/>
      <c r="U28" s="59"/>
      <c r="V28" s="59" t="s">
        <v>2905</v>
      </c>
      <c r="W28" s="59"/>
      <c r="X28" s="59"/>
      <c r="Y28" s="59" t="s">
        <v>2905</v>
      </c>
      <c r="Z28" s="59"/>
      <c r="AA28" s="59"/>
      <c r="AB28" s="59"/>
      <c r="AC28" s="59" t="s">
        <v>2905</v>
      </c>
      <c r="AD28" s="59"/>
      <c r="AE28" s="59"/>
      <c r="AF28" s="59"/>
      <c r="AG28" s="59"/>
      <c r="AH28" s="59"/>
      <c r="AI28" s="59"/>
      <c r="AJ28" s="59"/>
      <c r="AK28" s="59"/>
      <c r="AL28" s="59"/>
      <c r="AM28" s="59" t="s">
        <v>2905</v>
      </c>
      <c r="AN28" s="59"/>
    </row>
    <row r="29" spans="1:40" x14ac:dyDescent="0.25">
      <c r="A29" s="38" t="s">
        <v>635</v>
      </c>
      <c r="B29" s="57" t="str">
        <f>IF($A29="","",IFERROR(INDEX(Références!$C$2:$C$201,MATCH($A29,Références!$A$2:$A$201,0)),""))</f>
        <v>El Fahham et al. (2023)</v>
      </c>
      <c r="C29" s="58">
        <f>IF($A29="","",IFERROR(INDEX(Références!$G$2:$G$201,MATCH($A29,Références!$A$2:$A$201,0)),""))</f>
        <v>2</v>
      </c>
      <c r="D29" s="57" t="str">
        <f>IF($A29="","",IFERROR(INDEX('Lecture détaillée'!$J$5:$J$204,MATCH($A29,'Lecture détaillée'!$A$5:$A$204,0)),""))</f>
        <v>Complet</v>
      </c>
      <c r="E29" s="59"/>
      <c r="F29" s="59"/>
      <c r="G29" s="59" t="s">
        <v>2905</v>
      </c>
      <c r="H29" s="59"/>
      <c r="I29" s="59"/>
      <c r="J29" s="59"/>
      <c r="K29" s="59"/>
      <c r="L29" s="59"/>
      <c r="M29" s="59"/>
      <c r="N29" s="59"/>
      <c r="O29" s="59"/>
      <c r="P29" s="59"/>
      <c r="Q29" s="59"/>
      <c r="R29" s="59" t="s">
        <v>2905</v>
      </c>
      <c r="S29" s="59"/>
      <c r="T29" s="59"/>
      <c r="U29" s="59"/>
      <c r="V29" s="59"/>
      <c r="W29" s="59"/>
      <c r="X29" s="59"/>
      <c r="Y29" s="59" t="s">
        <v>2905</v>
      </c>
      <c r="Z29" s="59"/>
      <c r="AA29" s="59"/>
      <c r="AB29" s="59"/>
      <c r="AC29" s="59" t="s">
        <v>2905</v>
      </c>
      <c r="AD29" s="59"/>
      <c r="AE29" s="59"/>
      <c r="AF29" s="59"/>
      <c r="AG29" s="59"/>
      <c r="AH29" s="59"/>
      <c r="AI29" s="59"/>
      <c r="AJ29" s="59"/>
      <c r="AK29" s="59"/>
      <c r="AL29" s="59"/>
      <c r="AM29" s="59" t="s">
        <v>2905</v>
      </c>
      <c r="AN29" s="59"/>
    </row>
    <row r="30" spans="1:40" x14ac:dyDescent="0.25">
      <c r="A30" s="38" t="s">
        <v>646</v>
      </c>
      <c r="B30" s="57" t="str">
        <f>IF($A30="","",IFERROR(INDEX(Références!$C$2:$C$201,MATCH($A30,Références!$A$2:$A$201,0)),""))</f>
        <v>Ford &amp; Charles (1988)</v>
      </c>
      <c r="C30" s="58">
        <f>IF($A30="","",IFERROR(INDEX(Références!$G$2:$G$201,MATCH($A30,Références!$A$2:$A$201,0)),""))</f>
        <v>2</v>
      </c>
      <c r="D30" s="57" t="str">
        <f>IF($A30="","",IFERROR(INDEX('Lecture détaillée'!$J$5:$J$204,MATCH($A30,'Lecture détaillée'!$A$5:$A$204,0)),""))</f>
        <v>Complet</v>
      </c>
      <c r="E30" s="59" t="s">
        <v>2905</v>
      </c>
      <c r="F30" s="59"/>
      <c r="G30" s="59"/>
      <c r="H30" s="59"/>
      <c r="I30" s="59"/>
      <c r="J30" s="59"/>
      <c r="K30" s="59"/>
      <c r="L30" s="59"/>
      <c r="M30" s="59"/>
      <c r="N30" s="59"/>
      <c r="O30" s="59"/>
      <c r="P30" s="59"/>
      <c r="Q30" s="59"/>
      <c r="R30" s="59"/>
      <c r="S30" s="59"/>
      <c r="T30" s="59"/>
      <c r="U30" s="59"/>
      <c r="V30" s="59"/>
      <c r="W30" s="59"/>
      <c r="X30" s="59" t="s">
        <v>2905</v>
      </c>
      <c r="Y30" s="59"/>
      <c r="Z30" s="59"/>
      <c r="AA30" s="59"/>
      <c r="AB30" s="59"/>
      <c r="AC30" s="59" t="s">
        <v>2905</v>
      </c>
      <c r="AD30" s="59"/>
      <c r="AE30" s="59"/>
      <c r="AF30" s="59"/>
      <c r="AG30" s="59"/>
      <c r="AH30" s="59"/>
      <c r="AI30" s="59"/>
      <c r="AJ30" s="59"/>
      <c r="AK30" s="59"/>
      <c r="AL30" s="59"/>
      <c r="AM30" s="59"/>
      <c r="AN30" s="59"/>
    </row>
    <row r="31" spans="1:40" x14ac:dyDescent="0.25">
      <c r="A31" s="38" t="s">
        <v>658</v>
      </c>
      <c r="B31" s="57" t="str">
        <f>IF($A31="","",IFERROR(INDEX(Références!$C$2:$C$201,MATCH($A31,Références!$A$2:$A$201,0)),""))</f>
        <v>Gent &amp; Walter (2006)</v>
      </c>
      <c r="C31" s="58">
        <f>IF($A31="","",IFERROR(INDEX(Références!$G$2:$G$201,MATCH($A31,Références!$A$2:$A$201,0)),""))</f>
        <v>2</v>
      </c>
      <c r="D31" s="57" t="str">
        <f>IF($A31="","",IFERROR(INDEX('Lecture détaillée'!$J$5:$J$204,MATCH($A31,'Lecture détaillée'!$A$5:$A$204,0)),""))</f>
        <v>Aucun</v>
      </c>
      <c r="E31" s="59"/>
      <c r="F31" s="59"/>
      <c r="G31" s="59" t="s">
        <v>2905</v>
      </c>
      <c r="H31" s="59"/>
      <c r="I31" s="59"/>
      <c r="J31" s="59"/>
      <c r="K31" s="59"/>
      <c r="L31" s="59"/>
      <c r="M31" s="59"/>
      <c r="N31" s="59"/>
      <c r="O31" s="59"/>
      <c r="P31" s="59"/>
      <c r="Q31" s="59"/>
      <c r="R31" s="59"/>
      <c r="S31" s="59"/>
      <c r="T31" s="59"/>
      <c r="U31" s="59"/>
      <c r="V31" s="59"/>
      <c r="W31" s="59"/>
      <c r="X31" s="59" t="s">
        <v>2905</v>
      </c>
      <c r="Y31" s="59"/>
      <c r="Z31" s="59"/>
      <c r="AA31" s="59"/>
      <c r="AB31" s="59"/>
      <c r="AC31" s="59" t="s">
        <v>2905</v>
      </c>
      <c r="AD31" s="59"/>
      <c r="AE31" s="59"/>
      <c r="AF31" s="59"/>
      <c r="AG31" s="59"/>
      <c r="AH31" s="59"/>
      <c r="AI31" s="59"/>
      <c r="AJ31" s="59"/>
      <c r="AK31" s="59"/>
      <c r="AL31" s="59"/>
      <c r="AM31" s="59"/>
      <c r="AN31" s="59"/>
    </row>
    <row r="32" spans="1:40" x14ac:dyDescent="0.25">
      <c r="A32" s="38" t="s">
        <v>670</v>
      </c>
      <c r="B32" s="57" t="str">
        <f>IF($A32="","",IFERROR(INDEX(Références!$C$2:$C$201,MATCH($A32,Références!$A$2:$A$201,0)),""))</f>
        <v>Hernandez &amp; Al-Qadi (2016)</v>
      </c>
      <c r="C32" s="58">
        <f>IF($A32="","",IFERROR(INDEX(Références!$G$2:$G$201,MATCH($A32,Références!$A$2:$A$201,0)),""))</f>
        <v>2</v>
      </c>
      <c r="D32" s="57" t="str">
        <f>IF($A32="","",IFERROR(INDEX('Lecture détaillée'!$J$5:$J$204,MATCH($A32,'Lecture détaillée'!$A$5:$A$204,0)),""))</f>
        <v>Complet</v>
      </c>
      <c r="E32" s="59" t="s">
        <v>2905</v>
      </c>
      <c r="F32" s="59"/>
      <c r="G32" s="59"/>
      <c r="H32" s="59"/>
      <c r="I32" s="59"/>
      <c r="J32" s="59" t="s">
        <v>2905</v>
      </c>
      <c r="K32" s="59" t="s">
        <v>2905</v>
      </c>
      <c r="L32" s="59"/>
      <c r="M32" s="59"/>
      <c r="N32" s="59" t="s">
        <v>2905</v>
      </c>
      <c r="O32" s="59"/>
      <c r="P32" s="59"/>
      <c r="Q32" s="59"/>
      <c r="R32" s="59"/>
      <c r="S32" s="59" t="s">
        <v>2905</v>
      </c>
      <c r="T32" s="59"/>
      <c r="U32" s="59"/>
      <c r="V32" s="59" t="s">
        <v>2905</v>
      </c>
      <c r="W32" s="59"/>
      <c r="X32" s="59"/>
      <c r="Y32" s="59"/>
      <c r="Z32" s="59" t="s">
        <v>2905</v>
      </c>
      <c r="AA32" s="59"/>
      <c r="AB32" s="59"/>
      <c r="AC32" s="59" t="s">
        <v>2905</v>
      </c>
      <c r="AD32" s="59"/>
      <c r="AE32" s="59"/>
      <c r="AF32" s="59"/>
      <c r="AG32" s="59"/>
      <c r="AH32" s="59"/>
      <c r="AI32" s="59"/>
      <c r="AJ32" s="59"/>
      <c r="AK32" s="59"/>
      <c r="AL32" s="59"/>
      <c r="AM32" s="59" t="s">
        <v>2905</v>
      </c>
      <c r="AN32" s="59"/>
    </row>
    <row r="33" spans="1:40" x14ac:dyDescent="0.25">
      <c r="A33" s="38" t="s">
        <v>681</v>
      </c>
      <c r="B33" s="57" t="str">
        <f>IF($A33="","",IFERROR(INDEX(Références!$C$2:$C$201,MATCH($A33,Références!$A$2:$A$201,0)),""))</f>
        <v>Kongo Kondé (2011)</v>
      </c>
      <c r="C33" s="58">
        <f>IF($A33="","",IFERROR(INDEX(Références!$G$2:$G$201,MATCH($A33,Références!$A$2:$A$201,0)),""))</f>
        <v>2</v>
      </c>
      <c r="D33" s="57" t="str">
        <f>IF($A33="","",IFERROR(INDEX('Lecture détaillée'!$J$5:$J$204,MATCH($A33,'Lecture détaillée'!$A$5:$A$204,0)),""))</f>
        <v>Complet</v>
      </c>
      <c r="E33" s="59"/>
      <c r="F33" s="59" t="s">
        <v>2905</v>
      </c>
      <c r="G33" s="59"/>
      <c r="H33" s="59"/>
      <c r="I33" s="59"/>
      <c r="J33" s="59" t="s">
        <v>2905</v>
      </c>
      <c r="K33" s="59"/>
      <c r="L33" s="59"/>
      <c r="M33" s="59"/>
      <c r="N33" s="59" t="s">
        <v>2905</v>
      </c>
      <c r="O33" s="59"/>
      <c r="P33" s="59"/>
      <c r="Q33" s="59"/>
      <c r="R33" s="59"/>
      <c r="S33" s="59" t="s">
        <v>2905</v>
      </c>
      <c r="T33" s="59"/>
      <c r="U33" s="59"/>
      <c r="V33" s="59" t="s">
        <v>2905</v>
      </c>
      <c r="W33" s="59"/>
      <c r="X33" s="59"/>
      <c r="Y33" s="59"/>
      <c r="Z33" s="59" t="s">
        <v>2905</v>
      </c>
      <c r="AA33" s="59"/>
      <c r="AB33" s="59"/>
      <c r="AC33" s="59" t="s">
        <v>2905</v>
      </c>
      <c r="AD33" s="59"/>
      <c r="AE33" s="59"/>
      <c r="AF33" s="59"/>
      <c r="AG33" s="59"/>
      <c r="AH33" s="59"/>
      <c r="AI33" s="59"/>
      <c r="AJ33" s="59"/>
      <c r="AK33" s="59"/>
      <c r="AL33" s="59"/>
      <c r="AM33" s="59" t="s">
        <v>2905</v>
      </c>
      <c r="AN33" s="59"/>
    </row>
    <row r="34" spans="1:40" x14ac:dyDescent="0.25">
      <c r="A34" s="38" t="s">
        <v>695</v>
      </c>
      <c r="B34" s="57" t="str">
        <f>IF($A34="","",IFERROR(INDEX(Références!$C$2:$C$201,MATCH($A34,Références!$A$2:$A$201,0)),""))</f>
        <v>Liu et al. (2022)</v>
      </c>
      <c r="C34" s="58">
        <f>IF($A34="","",IFERROR(INDEX(Références!$G$2:$G$201,MATCH($A34,Références!$A$2:$A$201,0)),""))</f>
        <v>2</v>
      </c>
      <c r="D34" s="57" t="str">
        <f>IF($A34="","",IFERROR(INDEX('Lecture détaillée'!$J$5:$J$204,MATCH($A34,'Lecture détaillée'!$A$5:$A$204,0)),""))</f>
        <v>Complet</v>
      </c>
      <c r="E34" s="59" t="s">
        <v>2905</v>
      </c>
      <c r="F34" s="59"/>
      <c r="G34" s="59"/>
      <c r="H34" s="59"/>
      <c r="I34" s="59"/>
      <c r="J34" s="59" t="s">
        <v>2905</v>
      </c>
      <c r="K34" s="59"/>
      <c r="L34" s="59" t="s">
        <v>2905</v>
      </c>
      <c r="M34" s="59"/>
      <c r="N34" s="59"/>
      <c r="O34" s="59"/>
      <c r="P34" s="59"/>
      <c r="Q34" s="59"/>
      <c r="R34" s="59"/>
      <c r="S34" s="59"/>
      <c r="T34" s="59"/>
      <c r="U34" s="59"/>
      <c r="V34" s="59" t="s">
        <v>2905</v>
      </c>
      <c r="W34" s="59"/>
      <c r="X34" s="59"/>
      <c r="Y34" s="59" t="s">
        <v>2905</v>
      </c>
      <c r="Z34" s="59"/>
      <c r="AA34" s="59"/>
      <c r="AB34" s="59"/>
      <c r="AC34" s="59" t="s">
        <v>2905</v>
      </c>
      <c r="AD34" s="59"/>
      <c r="AE34" s="59"/>
      <c r="AF34" s="59"/>
      <c r="AG34" s="59"/>
      <c r="AH34" s="59"/>
      <c r="AI34" s="59"/>
      <c r="AJ34" s="59"/>
      <c r="AK34" s="59"/>
      <c r="AL34" s="59"/>
      <c r="AM34" s="59" t="s">
        <v>2905</v>
      </c>
      <c r="AN34" s="59"/>
    </row>
    <row r="35" spans="1:40" x14ac:dyDescent="0.25">
      <c r="A35" s="38" t="s">
        <v>707</v>
      </c>
      <c r="B35" s="57" t="str">
        <f>IF($A35="","",IFERROR(INDEX(Références!$C$2:$C$201,MATCH($A35,Références!$A$2:$A$201,0)),""))</f>
        <v>Liu &amp; Al-Qadi (2022)</v>
      </c>
      <c r="C35" s="58">
        <f>IF($A35="","",IFERROR(INDEX(Références!$G$2:$G$201,MATCH($A35,Références!$A$2:$A$201,0)),""))</f>
        <v>2</v>
      </c>
      <c r="D35" s="57" t="str">
        <f>IF($A35="","",IFERROR(INDEX('Lecture détaillée'!$J$5:$J$204,MATCH($A35,'Lecture détaillée'!$A$5:$A$204,0)),""))</f>
        <v>Complet</v>
      </c>
      <c r="E35" s="59" t="s">
        <v>2905</v>
      </c>
      <c r="F35" s="59"/>
      <c r="G35" s="59"/>
      <c r="H35" s="59"/>
      <c r="I35" s="59"/>
      <c r="J35" s="59" t="s">
        <v>2905</v>
      </c>
      <c r="K35" s="59" t="s">
        <v>2905</v>
      </c>
      <c r="L35" s="59"/>
      <c r="M35" s="59"/>
      <c r="N35" s="59"/>
      <c r="O35" s="59"/>
      <c r="P35" s="59"/>
      <c r="Q35" s="59"/>
      <c r="R35" s="59"/>
      <c r="S35" s="59"/>
      <c r="T35" s="59"/>
      <c r="U35" s="59"/>
      <c r="V35" s="59" t="s">
        <v>2905</v>
      </c>
      <c r="W35" s="59"/>
      <c r="X35" s="59"/>
      <c r="Y35" s="59"/>
      <c r="Z35" s="59" t="s">
        <v>2905</v>
      </c>
      <c r="AA35" s="59"/>
      <c r="AB35" s="59"/>
      <c r="AC35" s="59" t="s">
        <v>2905</v>
      </c>
      <c r="AD35" s="59"/>
      <c r="AE35" s="59"/>
      <c r="AF35" s="59"/>
      <c r="AG35" s="59"/>
      <c r="AH35" s="59"/>
      <c r="AI35" s="59"/>
      <c r="AJ35" s="59"/>
      <c r="AK35" s="59"/>
      <c r="AL35" s="59"/>
      <c r="AM35" s="59"/>
      <c r="AN35" s="59" t="s">
        <v>2905</v>
      </c>
    </row>
    <row r="36" spans="1:40" x14ac:dyDescent="0.25">
      <c r="A36" s="38" t="s">
        <v>718</v>
      </c>
      <c r="B36" s="57" t="str">
        <f>IF($A36="","",IFERROR(INDEX(Références!$C$2:$C$201,MATCH($A36,Références!$A$2:$A$201,0)),""))</f>
        <v>Rosu et al. (2018)</v>
      </c>
      <c r="C36" s="58">
        <f>IF($A36="","",IFERROR(INDEX(Références!$G$2:$G$201,MATCH($A36,Références!$A$2:$A$201,0)),""))</f>
        <v>2</v>
      </c>
      <c r="D36" s="57" t="str">
        <f>IF($A36="","",IFERROR(INDEX('Lecture détaillée'!$J$5:$J$204,MATCH($A36,'Lecture détaillée'!$A$5:$A$204,0)),""))</f>
        <v>Complet</v>
      </c>
      <c r="E36" s="59"/>
      <c r="F36" s="59" t="s">
        <v>2905</v>
      </c>
      <c r="G36" s="59"/>
      <c r="H36" s="59"/>
      <c r="I36" s="59"/>
      <c r="J36" s="59"/>
      <c r="K36" s="59"/>
      <c r="L36" s="59"/>
      <c r="M36" s="59"/>
      <c r="N36" s="59" t="s">
        <v>2905</v>
      </c>
      <c r="O36" s="59"/>
      <c r="P36" s="59"/>
      <c r="Q36" s="59"/>
      <c r="R36" s="59"/>
      <c r="S36" s="59" t="s">
        <v>2905</v>
      </c>
      <c r="T36" s="59"/>
      <c r="U36" s="59"/>
      <c r="V36" s="59" t="s">
        <v>2905</v>
      </c>
      <c r="W36" s="59"/>
      <c r="X36" s="59"/>
      <c r="Y36" s="59"/>
      <c r="Z36" s="59" t="s">
        <v>2905</v>
      </c>
      <c r="AA36" s="59"/>
      <c r="AB36" s="59"/>
      <c r="AC36" s="59" t="s">
        <v>2905</v>
      </c>
      <c r="AD36" s="59"/>
      <c r="AE36" s="59"/>
      <c r="AF36" s="59"/>
      <c r="AG36" s="59"/>
      <c r="AH36" s="59"/>
      <c r="AI36" s="59"/>
      <c r="AJ36" s="59"/>
      <c r="AK36" s="59"/>
      <c r="AL36" s="59"/>
      <c r="AM36" s="59" t="s">
        <v>2905</v>
      </c>
      <c r="AN36" s="59"/>
    </row>
    <row r="37" spans="1:40" x14ac:dyDescent="0.25">
      <c r="A37" s="38" t="s">
        <v>728</v>
      </c>
      <c r="B37" s="57" t="str">
        <f>IF($A37="","",IFERROR(INDEX(Références!$C$2:$C$201,MATCH($A37,Références!$A$2:$A$201,0)),""))</f>
        <v>Tang et al. (2022)</v>
      </c>
      <c r="C37" s="58">
        <f>IF($A37="","",IFERROR(INDEX(Références!$G$2:$G$201,MATCH($A37,Références!$A$2:$A$201,0)),""))</f>
        <v>2</v>
      </c>
      <c r="D37" s="57" t="str">
        <f>IF($A37="","",IFERROR(INDEX('Lecture détaillée'!$J$5:$J$204,MATCH($A37,'Lecture détaillée'!$A$5:$A$204,0)),""))</f>
        <v>Complet</v>
      </c>
      <c r="E37" s="59" t="s">
        <v>2905</v>
      </c>
      <c r="F37" s="59"/>
      <c r="G37" s="59"/>
      <c r="H37" s="59"/>
      <c r="I37" s="59"/>
      <c r="J37" s="59" t="s">
        <v>2905</v>
      </c>
      <c r="K37" s="59" t="s">
        <v>2905</v>
      </c>
      <c r="L37" s="59"/>
      <c r="M37" s="59"/>
      <c r="N37" s="59" t="s">
        <v>2905</v>
      </c>
      <c r="O37" s="59"/>
      <c r="P37" s="59"/>
      <c r="Q37" s="59"/>
      <c r="R37" s="59"/>
      <c r="S37" s="59" t="s">
        <v>2905</v>
      </c>
      <c r="T37" s="59"/>
      <c r="U37" s="59"/>
      <c r="V37" s="59" t="s">
        <v>2905</v>
      </c>
      <c r="W37" s="59"/>
      <c r="X37" s="59"/>
      <c r="Y37" s="59"/>
      <c r="Z37" s="59" t="s">
        <v>2905</v>
      </c>
      <c r="AA37" s="59"/>
      <c r="AB37" s="59"/>
      <c r="AC37" s="59" t="s">
        <v>2905</v>
      </c>
      <c r="AD37" s="59"/>
      <c r="AE37" s="59"/>
      <c r="AF37" s="59"/>
      <c r="AG37" s="59"/>
      <c r="AH37" s="59"/>
      <c r="AI37" s="59"/>
      <c r="AJ37" s="59"/>
      <c r="AK37" s="59"/>
      <c r="AL37" s="59"/>
      <c r="AM37" s="59"/>
      <c r="AN37" s="59"/>
    </row>
    <row r="38" spans="1:40" x14ac:dyDescent="0.25">
      <c r="A38" s="38" t="s">
        <v>470</v>
      </c>
      <c r="B38" s="57" t="str">
        <f>IF($A38="","",IFERROR(INDEX(Références!$C$2:$C$201,MATCH($A38,Références!$A$2:$A$201,0)),""))</f>
        <v>Di Benedetto et al. (2004)</v>
      </c>
      <c r="C38" s="58">
        <f>IF($A38="","",IFERROR(INDEX(Références!$G$2:$G$201,MATCH($A38,Références!$A$2:$A$201,0)),""))</f>
        <v>3</v>
      </c>
      <c r="D38" s="57" t="str">
        <f>IF($A38="","",IFERROR(INDEX('Lecture détaillée'!$J$5:$J$204,MATCH($A38,'Lecture détaillée'!$A$5:$A$204,0)),""))</f>
        <v>Complet</v>
      </c>
      <c r="E38" s="59"/>
      <c r="F38" s="59"/>
      <c r="G38" s="59"/>
      <c r="H38" s="59"/>
      <c r="I38" s="59"/>
      <c r="J38" s="59"/>
      <c r="K38" s="59"/>
      <c r="L38" s="59"/>
      <c r="M38" s="59" t="s">
        <v>2905</v>
      </c>
      <c r="N38" s="59"/>
      <c r="O38" s="59"/>
      <c r="P38" s="59"/>
      <c r="Q38" s="59"/>
      <c r="R38" s="59" t="s">
        <v>2905</v>
      </c>
      <c r="S38" s="59"/>
      <c r="T38" s="59"/>
      <c r="U38" s="59"/>
      <c r="V38" s="59"/>
      <c r="W38" s="59"/>
      <c r="X38" s="59"/>
      <c r="Y38" s="59"/>
      <c r="Z38" s="59"/>
      <c r="AA38" s="59" t="s">
        <v>2905</v>
      </c>
      <c r="AB38" s="59"/>
      <c r="AC38" s="59"/>
      <c r="AD38" s="59"/>
      <c r="AE38" s="59"/>
      <c r="AF38" s="59"/>
      <c r="AG38" s="59"/>
      <c r="AH38" s="59" t="s">
        <v>2905</v>
      </c>
      <c r="AI38" s="59"/>
      <c r="AJ38" s="59"/>
      <c r="AK38" s="59"/>
      <c r="AL38" s="59"/>
      <c r="AM38" s="59" t="s">
        <v>2905</v>
      </c>
      <c r="AN38" s="59"/>
    </row>
    <row r="39" spans="1:40" x14ac:dyDescent="0.25">
      <c r="A39" s="38" t="s">
        <v>485</v>
      </c>
      <c r="B39" s="57" t="str">
        <f>IF($A39="","",IFERROR(INDEX(Références!$C$2:$C$201,MATCH($A39,Références!$A$2:$A$201,0)),""))</f>
        <v>Olard &amp; Di Benedetto (2003)</v>
      </c>
      <c r="C39" s="58">
        <f>IF($A39="","",IFERROR(INDEX(Références!$G$2:$G$201,MATCH($A39,Références!$A$2:$A$201,0)),""))</f>
        <v>3</v>
      </c>
      <c r="D39" s="57" t="str">
        <f>IF($A39="","",IFERROR(INDEX('Lecture détaillée'!$J$5:$J$204,MATCH($A39,'Lecture détaillée'!$A$5:$A$204,0)),""))</f>
        <v>Complet</v>
      </c>
      <c r="E39" s="59"/>
      <c r="F39" s="59"/>
      <c r="G39" s="59"/>
      <c r="H39" s="59"/>
      <c r="I39" s="59"/>
      <c r="J39" s="59"/>
      <c r="K39" s="59"/>
      <c r="L39" s="59"/>
      <c r="M39" s="59" t="s">
        <v>2905</v>
      </c>
      <c r="N39" s="59"/>
      <c r="O39" s="59"/>
      <c r="P39" s="59"/>
      <c r="Q39" s="59"/>
      <c r="R39" s="59" t="s">
        <v>2905</v>
      </c>
      <c r="S39" s="59"/>
      <c r="T39" s="59"/>
      <c r="U39" s="59"/>
      <c r="V39" s="59"/>
      <c r="W39" s="59"/>
      <c r="X39" s="59"/>
      <c r="Y39" s="59"/>
      <c r="Z39" s="59"/>
      <c r="AA39" s="59" t="s">
        <v>2905</v>
      </c>
      <c r="AB39" s="59"/>
      <c r="AC39" s="59"/>
      <c r="AD39" s="59"/>
      <c r="AE39" s="59"/>
      <c r="AF39" s="59"/>
      <c r="AG39" s="59"/>
      <c r="AH39" s="59" t="s">
        <v>2905</v>
      </c>
      <c r="AI39" s="59"/>
      <c r="AJ39" s="59"/>
      <c r="AK39" s="59"/>
      <c r="AL39" s="59"/>
      <c r="AM39" s="59" t="s">
        <v>2905</v>
      </c>
      <c r="AN39" s="59"/>
    </row>
    <row r="40" spans="1:40" x14ac:dyDescent="0.25">
      <c r="A40" s="38" t="s">
        <v>496</v>
      </c>
      <c r="B40" s="57" t="str">
        <f>IF($A40="","",IFERROR(INDEX(Références!$C$2:$C$201,MATCH($A40,Références!$A$2:$A$201,0)),""))</f>
        <v>Tiouajni et al. (2011)</v>
      </c>
      <c r="C40" s="58">
        <f>IF($A40="","",IFERROR(INDEX(Références!$G$2:$G$201,MATCH($A40,Références!$A$2:$A$201,0)),""))</f>
        <v>3</v>
      </c>
      <c r="D40" s="57" t="str">
        <f>IF($A40="","",IFERROR(INDEX('Lecture détaillée'!$J$5:$J$204,MATCH($A40,'Lecture détaillée'!$A$5:$A$204,0)),""))</f>
        <v>Partiel</v>
      </c>
      <c r="E40" s="59"/>
      <c r="F40" s="59"/>
      <c r="G40" s="59"/>
      <c r="H40" s="59"/>
      <c r="I40" s="59"/>
      <c r="J40" s="59"/>
      <c r="K40" s="59"/>
      <c r="L40" s="59"/>
      <c r="M40" s="59" t="s">
        <v>2905</v>
      </c>
      <c r="N40" s="59"/>
      <c r="O40" s="59"/>
      <c r="P40" s="59"/>
      <c r="Q40" s="59"/>
      <c r="R40" s="59"/>
      <c r="S40" s="59"/>
      <c r="T40" s="59"/>
      <c r="U40" s="59"/>
      <c r="V40" s="59"/>
      <c r="W40" s="59" t="s">
        <v>2905</v>
      </c>
      <c r="X40" s="59"/>
      <c r="Y40" s="59"/>
      <c r="Z40" s="59"/>
      <c r="AA40" s="59"/>
      <c r="AB40" s="59"/>
      <c r="AC40" s="59"/>
      <c r="AD40" s="59"/>
      <c r="AE40" s="59"/>
      <c r="AF40" s="59"/>
      <c r="AG40" s="59"/>
      <c r="AH40" s="59" t="s">
        <v>2905</v>
      </c>
      <c r="AI40" s="59"/>
      <c r="AJ40" s="59"/>
      <c r="AK40" s="59"/>
      <c r="AL40" s="59"/>
      <c r="AM40" s="59"/>
      <c r="AN40" s="59"/>
    </row>
    <row r="41" spans="1:40" x14ac:dyDescent="0.25">
      <c r="A41" s="38" t="s">
        <v>591</v>
      </c>
      <c r="B41" s="57" t="str">
        <f>IF($A41="","",IFERROR(INDEX(Références!$C$2:$C$201,MATCH($A41,Références!$A$2:$A$201,0)),""))</f>
        <v>Huet (1963)</v>
      </c>
      <c r="C41" s="58">
        <f>IF($A41="","",IFERROR(INDEX(Références!$G$2:$G$201,MATCH($A41,Références!$A$2:$A$201,0)),""))</f>
        <v>3</v>
      </c>
      <c r="D41" s="57" t="str">
        <f>IF($A41="","",IFERROR(INDEX('Lecture détaillée'!$J$5:$J$204,MATCH($A41,'Lecture détaillée'!$A$5:$A$204,0)),""))</f>
        <v>Aucun</v>
      </c>
      <c r="E41" s="59"/>
      <c r="F41" s="59"/>
      <c r="G41" s="59"/>
      <c r="H41" s="59"/>
      <c r="I41" s="59"/>
      <c r="J41" s="59"/>
      <c r="K41" s="59"/>
      <c r="L41" s="59"/>
      <c r="M41" s="59" t="s">
        <v>2905</v>
      </c>
      <c r="N41" s="59"/>
      <c r="O41" s="59"/>
      <c r="P41" s="59"/>
      <c r="Q41" s="59"/>
      <c r="R41" s="59" t="s">
        <v>2905</v>
      </c>
      <c r="S41" s="59"/>
      <c r="T41" s="59"/>
      <c r="U41" s="59"/>
      <c r="V41" s="59"/>
      <c r="W41" s="59"/>
      <c r="X41" s="59"/>
      <c r="Y41" s="59"/>
      <c r="Z41" s="59"/>
      <c r="AA41" s="59" t="s">
        <v>2905</v>
      </c>
      <c r="AB41" s="59"/>
      <c r="AC41" s="59"/>
      <c r="AD41" s="59"/>
      <c r="AE41" s="59"/>
      <c r="AF41" s="59"/>
      <c r="AG41" s="59"/>
      <c r="AH41" s="59" t="s">
        <v>2905</v>
      </c>
      <c r="AI41" s="59"/>
      <c r="AJ41" s="59"/>
      <c r="AK41" s="59"/>
      <c r="AL41" s="59"/>
      <c r="AM41" s="59" t="s">
        <v>2905</v>
      </c>
      <c r="AN41" s="59"/>
    </row>
    <row r="42" spans="1:40" x14ac:dyDescent="0.25">
      <c r="A42" s="38" t="s">
        <v>603</v>
      </c>
      <c r="B42" s="57" t="str">
        <f>IF($A42="","",IFERROR(INDEX(Références!$C$2:$C$201,MATCH($A42,Références!$A$2:$A$201,0)),""))</f>
        <v>Park &amp; Schapery (1999)</v>
      </c>
      <c r="C42" s="58">
        <f>IF($A42="","",IFERROR(INDEX(Références!$G$2:$G$201,MATCH($A42,Références!$A$2:$A$201,0)),""))</f>
        <v>3</v>
      </c>
      <c r="D42" s="57" t="str">
        <f>IF($A42="","",IFERROR(INDEX('Lecture détaillée'!$J$5:$J$204,MATCH($A42,'Lecture détaillée'!$A$5:$A$204,0)),""))</f>
        <v>Complet</v>
      </c>
      <c r="E42" s="59"/>
      <c r="F42" s="59"/>
      <c r="G42" s="59"/>
      <c r="H42" s="59"/>
      <c r="I42" s="59"/>
      <c r="J42" s="59"/>
      <c r="K42" s="59"/>
      <c r="L42" s="59"/>
      <c r="M42" s="59" t="s">
        <v>2905</v>
      </c>
      <c r="N42" s="59"/>
      <c r="O42" s="59"/>
      <c r="P42" s="59"/>
      <c r="Q42" s="59"/>
      <c r="R42" s="59"/>
      <c r="S42" s="59"/>
      <c r="T42" s="59"/>
      <c r="U42" s="59"/>
      <c r="V42" s="59"/>
      <c r="W42" s="59" t="s">
        <v>2905</v>
      </c>
      <c r="X42" s="59"/>
      <c r="Y42" s="59"/>
      <c r="Z42" s="59"/>
      <c r="AA42" s="59"/>
      <c r="AB42" s="59"/>
      <c r="AC42" s="59"/>
      <c r="AD42" s="59"/>
      <c r="AE42" s="59"/>
      <c r="AF42" s="59"/>
      <c r="AG42" s="59"/>
      <c r="AH42" s="59" t="s">
        <v>2905</v>
      </c>
      <c r="AI42" s="59"/>
      <c r="AJ42" s="59"/>
      <c r="AK42" s="59"/>
      <c r="AL42" s="59"/>
      <c r="AM42" s="59"/>
      <c r="AN42" s="59"/>
    </row>
    <row r="43" spans="1:40" x14ac:dyDescent="0.25">
      <c r="A43" s="38" t="s">
        <v>616</v>
      </c>
      <c r="B43" s="57" t="str">
        <f>IF($A43="","",IFERROR(INDEX(Références!$C$2:$C$201,MATCH($A43,Références!$A$2:$A$201,0)),""))</f>
        <v>Sayegh (1965)</v>
      </c>
      <c r="C43" s="58">
        <f>IF($A43="","",IFERROR(INDEX(Références!$G$2:$G$201,MATCH($A43,Références!$A$2:$A$201,0)),""))</f>
        <v>3</v>
      </c>
      <c r="D43" s="57" t="str">
        <f>IF($A43="","",IFERROR(INDEX('Lecture détaillée'!$J$5:$J$204,MATCH($A43,'Lecture détaillée'!$A$5:$A$204,0)),""))</f>
        <v>Aucun</v>
      </c>
      <c r="E43" s="59"/>
      <c r="F43" s="59"/>
      <c r="G43" s="59"/>
      <c r="H43" s="59"/>
      <c r="I43" s="59"/>
      <c r="J43" s="59"/>
      <c r="K43" s="59"/>
      <c r="L43" s="59"/>
      <c r="M43" s="59" t="s">
        <v>2905</v>
      </c>
      <c r="N43" s="59"/>
      <c r="O43" s="59"/>
      <c r="P43" s="59"/>
      <c r="Q43" s="59"/>
      <c r="R43" s="59" t="s">
        <v>2905</v>
      </c>
      <c r="S43" s="59"/>
      <c r="T43" s="59"/>
      <c r="U43" s="59"/>
      <c r="V43" s="59"/>
      <c r="W43" s="59"/>
      <c r="X43" s="59"/>
      <c r="Y43" s="59"/>
      <c r="Z43" s="59"/>
      <c r="AA43" s="59" t="s">
        <v>2905</v>
      </c>
      <c r="AB43" s="59"/>
      <c r="AC43" s="59"/>
      <c r="AD43" s="59"/>
      <c r="AE43" s="59"/>
      <c r="AF43" s="59"/>
      <c r="AG43" s="59"/>
      <c r="AH43" s="59" t="s">
        <v>2905</v>
      </c>
      <c r="AI43" s="59"/>
      <c r="AJ43" s="59"/>
      <c r="AK43" s="59"/>
      <c r="AL43" s="59"/>
      <c r="AM43" s="59" t="s">
        <v>2905</v>
      </c>
      <c r="AN43" s="59"/>
    </row>
    <row r="44" spans="1:40" x14ac:dyDescent="0.25">
      <c r="A44" s="38" t="s">
        <v>739</v>
      </c>
      <c r="B44" s="57" t="str">
        <f>IF($A44="","",IFERROR(INDEX(Références!$C$2:$C$201,MATCH($A44,Références!$A$2:$A$201,0)),""))</f>
        <v>Di Benedetto &amp; Corté (2005)</v>
      </c>
      <c r="C44" s="58">
        <f>IF($A44="","",IFERROR(INDEX(Références!$G$2:$G$201,MATCH($A44,Références!$A$2:$A$201,0)),""))</f>
        <v>3</v>
      </c>
      <c r="D44" s="57" t="str">
        <f>IF($A44="","",IFERROR(INDEX('Lecture détaillée'!$J$5:$J$204,MATCH($A44,'Lecture détaillée'!$A$5:$A$204,0)),""))</f>
        <v>Aucun</v>
      </c>
      <c r="E44" s="59"/>
      <c r="F44" s="59"/>
      <c r="G44" s="59"/>
      <c r="H44" s="59"/>
      <c r="I44" s="59"/>
      <c r="J44" s="59"/>
      <c r="K44" s="59"/>
      <c r="L44" s="59"/>
      <c r="M44" s="59" t="s">
        <v>2905</v>
      </c>
      <c r="N44" s="59"/>
      <c r="O44" s="59"/>
      <c r="P44" s="59"/>
      <c r="Q44" s="59"/>
      <c r="R44" s="59"/>
      <c r="S44" s="59"/>
      <c r="T44" s="59"/>
      <c r="U44" s="59"/>
      <c r="V44" s="59"/>
      <c r="W44" s="59"/>
      <c r="X44" s="59" t="s">
        <v>2905</v>
      </c>
      <c r="Y44" s="59"/>
      <c r="Z44" s="59"/>
      <c r="AA44" s="59"/>
      <c r="AB44" s="59"/>
      <c r="AC44" s="59"/>
      <c r="AD44" s="59"/>
      <c r="AE44" s="59"/>
      <c r="AF44" s="59"/>
      <c r="AG44" s="59"/>
      <c r="AH44" s="59" t="s">
        <v>2905</v>
      </c>
      <c r="AI44" s="59"/>
      <c r="AJ44" s="59"/>
      <c r="AK44" s="59"/>
      <c r="AL44" s="59"/>
      <c r="AM44" s="59"/>
      <c r="AN44" s="59"/>
    </row>
    <row r="45" spans="1:40" x14ac:dyDescent="0.25">
      <c r="A45" s="38" t="s">
        <v>751</v>
      </c>
      <c r="B45" s="57" t="str">
        <f>IF($A45="","",IFERROR(INDEX(Références!$C$2:$C$201,MATCH($A45,Références!$A$2:$A$201,0)),""))</f>
        <v>Olard (2003)</v>
      </c>
      <c r="C45" s="58">
        <f>IF($A45="","",IFERROR(INDEX(Références!$G$2:$G$201,MATCH($A45,Références!$A$2:$A$201,0)),""))</f>
        <v>3</v>
      </c>
      <c r="D45" s="57" t="str">
        <f>IF($A45="","",IFERROR(INDEX('Lecture détaillée'!$J$5:$J$204,MATCH($A45,'Lecture détaillée'!$A$5:$A$204,0)),""))</f>
        <v>Aucun</v>
      </c>
      <c r="E45" s="59"/>
      <c r="F45" s="59"/>
      <c r="G45" s="59"/>
      <c r="H45" s="59"/>
      <c r="I45" s="59"/>
      <c r="J45" s="59"/>
      <c r="K45" s="59"/>
      <c r="L45" s="59"/>
      <c r="M45" s="59" t="s">
        <v>2905</v>
      </c>
      <c r="N45" s="59"/>
      <c r="O45" s="59"/>
      <c r="P45" s="59"/>
      <c r="Q45" s="59"/>
      <c r="R45" s="59" t="s">
        <v>2905</v>
      </c>
      <c r="S45" s="59"/>
      <c r="T45" s="59"/>
      <c r="U45" s="59"/>
      <c r="V45" s="59"/>
      <c r="W45" s="59"/>
      <c r="X45" s="59"/>
      <c r="Y45" s="59"/>
      <c r="Z45" s="59"/>
      <c r="AA45" s="59" t="s">
        <v>2905</v>
      </c>
      <c r="AB45" s="59"/>
      <c r="AC45" s="59"/>
      <c r="AD45" s="59"/>
      <c r="AE45" s="59"/>
      <c r="AF45" s="59"/>
      <c r="AG45" s="59"/>
      <c r="AH45" s="59" t="s">
        <v>2905</v>
      </c>
      <c r="AI45" s="59"/>
      <c r="AJ45" s="59"/>
      <c r="AK45" s="59"/>
      <c r="AL45" s="59"/>
      <c r="AM45" s="59" t="s">
        <v>2905</v>
      </c>
      <c r="AN45" s="59"/>
    </row>
    <row r="46" spans="1:40" x14ac:dyDescent="0.25">
      <c r="A46" s="38" t="s">
        <v>762</v>
      </c>
      <c r="B46" s="57" t="str">
        <f>IF($A46="","",IFERROR(INDEX(Références!$C$2:$C$201,MATCH($A46,Références!$A$2:$A$201,0)),""))</f>
        <v>Tschoegl (1989)</v>
      </c>
      <c r="C46" s="58">
        <f>IF($A46="","",IFERROR(INDEX(Références!$G$2:$G$201,MATCH($A46,Références!$A$2:$A$201,0)),""))</f>
        <v>3</v>
      </c>
      <c r="D46" s="57" t="str">
        <f>IF($A46="","",IFERROR(INDEX('Lecture détaillée'!$J$5:$J$204,MATCH($A46,'Lecture détaillée'!$A$5:$A$204,0)),""))</f>
        <v>Aucun</v>
      </c>
      <c r="E46" s="59"/>
      <c r="F46" s="59"/>
      <c r="G46" s="59"/>
      <c r="H46" s="59"/>
      <c r="I46" s="59"/>
      <c r="J46" s="59"/>
      <c r="K46" s="59"/>
      <c r="L46" s="59"/>
      <c r="M46" s="59" t="s">
        <v>2905</v>
      </c>
      <c r="N46" s="59"/>
      <c r="O46" s="59"/>
      <c r="P46" s="59"/>
      <c r="Q46" s="59"/>
      <c r="R46" s="59"/>
      <c r="S46" s="59"/>
      <c r="T46" s="59"/>
      <c r="U46" s="59"/>
      <c r="V46" s="59"/>
      <c r="W46" s="59"/>
      <c r="X46" s="59" t="s">
        <v>2905</v>
      </c>
      <c r="Y46" s="59"/>
      <c r="Z46" s="59"/>
      <c r="AA46" s="59"/>
      <c r="AB46" s="59"/>
      <c r="AC46" s="59"/>
      <c r="AD46" s="59"/>
      <c r="AE46" s="59"/>
      <c r="AF46" s="59"/>
      <c r="AG46" s="59"/>
      <c r="AH46" s="59" t="s">
        <v>2905</v>
      </c>
      <c r="AI46" s="59"/>
      <c r="AJ46" s="59"/>
      <c r="AK46" s="59"/>
      <c r="AL46" s="59"/>
      <c r="AM46" s="59"/>
      <c r="AN46" s="59"/>
    </row>
    <row r="47" spans="1:40" x14ac:dyDescent="0.25">
      <c r="A47" s="38" t="s">
        <v>810</v>
      </c>
      <c r="B47" s="57" t="str">
        <f>IF($A47="","",IFERROR(INDEX(Références!$C$2:$C$201,MATCH($A47,Références!$A$2:$A$201,0)),""))</f>
        <v>Di Benedetto et al. (2007)</v>
      </c>
      <c r="C47" s="58">
        <f>IF($A47="","",IFERROR(INDEX(Références!$G$2:$G$201,MATCH($A47,Références!$A$2:$A$201,0)),""))</f>
        <v>3</v>
      </c>
      <c r="D47" s="57" t="str">
        <f>IF($A47="","",IFERROR(INDEX('Lecture détaillée'!$J$5:$J$204,MATCH($A47,'Lecture détaillée'!$A$5:$A$204,0)),""))</f>
        <v>Complet</v>
      </c>
      <c r="E47" s="59"/>
      <c r="F47" s="59"/>
      <c r="G47" s="59"/>
      <c r="H47" s="59"/>
      <c r="I47" s="59"/>
      <c r="J47" s="59"/>
      <c r="K47" s="59"/>
      <c r="L47" s="59"/>
      <c r="M47" s="59" t="s">
        <v>2905</v>
      </c>
      <c r="N47" s="59"/>
      <c r="O47" s="59"/>
      <c r="P47" s="59"/>
      <c r="Q47" s="59"/>
      <c r="R47" s="59" t="s">
        <v>2905</v>
      </c>
      <c r="S47" s="59"/>
      <c r="T47" s="59"/>
      <c r="U47" s="59"/>
      <c r="V47" s="59"/>
      <c r="W47" s="59"/>
      <c r="X47" s="59"/>
      <c r="Y47" s="59"/>
      <c r="Z47" s="59"/>
      <c r="AA47" s="59" t="s">
        <v>2905</v>
      </c>
      <c r="AB47" s="59"/>
      <c r="AC47" s="59"/>
      <c r="AD47" s="59"/>
      <c r="AE47" s="59"/>
      <c r="AF47" s="59"/>
      <c r="AG47" s="59"/>
      <c r="AH47" s="59" t="s">
        <v>2905</v>
      </c>
      <c r="AI47" s="59"/>
      <c r="AJ47" s="59"/>
      <c r="AK47" s="59"/>
      <c r="AL47" s="59"/>
      <c r="AM47" s="59" t="s">
        <v>2905</v>
      </c>
      <c r="AN47" s="59"/>
    </row>
    <row r="48" spans="1:40" x14ac:dyDescent="0.25">
      <c r="A48" s="38" t="s">
        <v>821</v>
      </c>
      <c r="B48" s="57" t="str">
        <f>IF($A48="","",IFERROR(INDEX(Références!$C$2:$C$201,MATCH($A48,Références!$A$2:$A$201,0)),""))</f>
        <v>Graziani et al. (2014)</v>
      </c>
      <c r="C48" s="58">
        <f>IF($A48="","",IFERROR(INDEX(Références!$G$2:$G$201,MATCH($A48,Références!$A$2:$A$201,0)),""))</f>
        <v>3</v>
      </c>
      <c r="D48" s="57" t="str">
        <f>IF($A48="","",IFERROR(INDEX('Lecture détaillée'!$J$5:$J$204,MATCH($A48,'Lecture détaillée'!$A$5:$A$204,0)),""))</f>
        <v>Complet</v>
      </c>
      <c r="E48" s="59"/>
      <c r="F48" s="59"/>
      <c r="G48" s="59"/>
      <c r="H48" s="59"/>
      <c r="I48" s="59"/>
      <c r="J48" s="59"/>
      <c r="K48" s="59"/>
      <c r="L48" s="59"/>
      <c r="M48" s="59" t="s">
        <v>2905</v>
      </c>
      <c r="N48" s="59"/>
      <c r="O48" s="59"/>
      <c r="P48" s="59"/>
      <c r="Q48" s="59"/>
      <c r="R48" s="59" t="s">
        <v>2905</v>
      </c>
      <c r="S48" s="59"/>
      <c r="T48" s="59"/>
      <c r="U48" s="59"/>
      <c r="V48" s="59"/>
      <c r="W48" s="59"/>
      <c r="X48" s="59"/>
      <c r="Y48" s="59"/>
      <c r="Z48" s="59"/>
      <c r="AA48" s="59" t="s">
        <v>2905</v>
      </c>
      <c r="AB48" s="59"/>
      <c r="AC48" s="59"/>
      <c r="AD48" s="59"/>
      <c r="AE48" s="59"/>
      <c r="AF48" s="59"/>
      <c r="AG48" s="59"/>
      <c r="AH48" s="59" t="s">
        <v>2905</v>
      </c>
      <c r="AI48" s="59"/>
      <c r="AJ48" s="59"/>
      <c r="AK48" s="59"/>
      <c r="AL48" s="59"/>
      <c r="AM48" s="59" t="s">
        <v>2905</v>
      </c>
      <c r="AN48" s="59"/>
    </row>
    <row r="49" spans="1:40" x14ac:dyDescent="0.25">
      <c r="A49" s="38" t="s">
        <v>835</v>
      </c>
      <c r="B49" s="57" t="str">
        <f>IF($A49="","",IFERROR(INDEX(Références!$C$2:$C$201,MATCH($A49,Références!$A$2:$A$201,0)),""))</f>
        <v>Graziani et al. (2014)</v>
      </c>
      <c r="C49" s="58">
        <f>IF($A49="","",IFERROR(INDEX(Références!$G$2:$G$201,MATCH($A49,Références!$A$2:$A$201,0)),""))</f>
        <v>3</v>
      </c>
      <c r="D49" s="57" t="str">
        <f>IF($A49="","",IFERROR(INDEX('Lecture détaillée'!$J$5:$J$204,MATCH($A49,'Lecture détaillée'!$A$5:$A$204,0)),""))</f>
        <v>Complet</v>
      </c>
      <c r="E49" s="59"/>
      <c r="F49" s="59"/>
      <c r="G49" s="59"/>
      <c r="H49" s="59"/>
      <c r="I49" s="59"/>
      <c r="J49" s="59"/>
      <c r="K49" s="59"/>
      <c r="L49" s="59"/>
      <c r="M49" s="59" t="s">
        <v>2905</v>
      </c>
      <c r="N49" s="59"/>
      <c r="O49" s="59"/>
      <c r="P49" s="59"/>
      <c r="Q49" s="59"/>
      <c r="R49" s="59" t="s">
        <v>2905</v>
      </c>
      <c r="S49" s="59"/>
      <c r="T49" s="59"/>
      <c r="U49" s="59"/>
      <c r="V49" s="59"/>
      <c r="W49" s="59"/>
      <c r="X49" s="59"/>
      <c r="Y49" s="59"/>
      <c r="Z49" s="59"/>
      <c r="AA49" s="59" t="s">
        <v>2905</v>
      </c>
      <c r="AB49" s="59"/>
      <c r="AC49" s="59"/>
      <c r="AD49" s="59"/>
      <c r="AE49" s="59"/>
      <c r="AF49" s="59"/>
      <c r="AG49" s="59"/>
      <c r="AH49" s="59" t="s">
        <v>2905</v>
      </c>
      <c r="AI49" s="59"/>
      <c r="AJ49" s="59"/>
      <c r="AK49" s="59"/>
      <c r="AL49" s="59"/>
      <c r="AM49" s="59" t="s">
        <v>2905</v>
      </c>
      <c r="AN49" s="59"/>
    </row>
    <row r="50" spans="1:40" x14ac:dyDescent="0.25">
      <c r="A50" s="38" t="s">
        <v>847</v>
      </c>
      <c r="B50" s="57" t="str">
        <f>IF($A50="","",IFERROR(INDEX(Références!$C$2:$C$201,MATCH($A50,Références!$A$2:$A$201,0)),""))</f>
        <v>Graziani et al. (2017)</v>
      </c>
      <c r="C50" s="58">
        <f>IF($A50="","",IFERROR(INDEX(Références!$G$2:$G$201,MATCH($A50,Références!$A$2:$A$201,0)),""))</f>
        <v>3</v>
      </c>
      <c r="D50" s="57" t="str">
        <f>IF($A50="","",IFERROR(INDEX('Lecture détaillée'!$J$5:$J$204,MATCH($A50,'Lecture détaillée'!$A$5:$A$204,0)),""))</f>
        <v>Partiel</v>
      </c>
      <c r="E50" s="59"/>
      <c r="F50" s="59"/>
      <c r="G50" s="59"/>
      <c r="H50" s="59"/>
      <c r="I50" s="59"/>
      <c r="J50" s="59"/>
      <c r="K50" s="59"/>
      <c r="L50" s="59"/>
      <c r="M50" s="59" t="s">
        <v>2905</v>
      </c>
      <c r="N50" s="59"/>
      <c r="O50" s="59"/>
      <c r="P50" s="59"/>
      <c r="Q50" s="59"/>
      <c r="R50" s="59" t="s">
        <v>2905</v>
      </c>
      <c r="S50" s="59"/>
      <c r="T50" s="59"/>
      <c r="U50" s="59"/>
      <c r="V50" s="59"/>
      <c r="W50" s="59"/>
      <c r="X50" s="59" t="s">
        <v>2905</v>
      </c>
      <c r="Y50" s="59"/>
      <c r="Z50" s="59"/>
      <c r="AA50" s="59" t="s">
        <v>2905</v>
      </c>
      <c r="AB50" s="59"/>
      <c r="AC50" s="59"/>
      <c r="AD50" s="59"/>
      <c r="AE50" s="59"/>
      <c r="AF50" s="59"/>
      <c r="AG50" s="59"/>
      <c r="AH50" s="59" t="s">
        <v>2905</v>
      </c>
      <c r="AI50" s="59"/>
      <c r="AJ50" s="59"/>
      <c r="AK50" s="59"/>
      <c r="AL50" s="59"/>
      <c r="AM50" s="59"/>
      <c r="AN50" s="59"/>
    </row>
    <row r="51" spans="1:40" x14ac:dyDescent="0.25">
      <c r="A51" s="38" t="s">
        <v>857</v>
      </c>
      <c r="B51" s="57" t="str">
        <f>IF($A51="","",IFERROR(INDEX(Références!$C$2:$C$201,MATCH($A51,Références!$A$2:$A$201,0)),""))</f>
        <v>Pham et al. (2015)</v>
      </c>
      <c r="C51" s="58">
        <f>IF($A51="","",IFERROR(INDEX(Références!$G$2:$G$201,MATCH($A51,Références!$A$2:$A$201,0)),""))</f>
        <v>3</v>
      </c>
      <c r="D51" s="57" t="str">
        <f>IF($A51="","",IFERROR(INDEX('Lecture détaillée'!$J$5:$J$204,MATCH($A51,'Lecture détaillée'!$A$5:$A$204,0)),""))</f>
        <v>Complet</v>
      </c>
      <c r="E51" s="59"/>
      <c r="F51" s="59"/>
      <c r="G51" s="59"/>
      <c r="H51" s="59"/>
      <c r="I51" s="59"/>
      <c r="J51" s="59"/>
      <c r="K51" s="59"/>
      <c r="L51" s="59"/>
      <c r="M51" s="59" t="s">
        <v>2905</v>
      </c>
      <c r="N51" s="59"/>
      <c r="O51" s="59"/>
      <c r="P51" s="59"/>
      <c r="Q51" s="59"/>
      <c r="R51" s="59" t="s">
        <v>2905</v>
      </c>
      <c r="S51" s="59"/>
      <c r="T51" s="59"/>
      <c r="U51" s="59"/>
      <c r="V51" s="59"/>
      <c r="W51" s="59"/>
      <c r="X51" s="59"/>
      <c r="Y51" s="59"/>
      <c r="Z51" s="59"/>
      <c r="AA51" s="59" t="s">
        <v>2905</v>
      </c>
      <c r="AB51" s="59"/>
      <c r="AC51" s="59"/>
      <c r="AD51" s="59"/>
      <c r="AE51" s="59"/>
      <c r="AF51" s="59"/>
      <c r="AG51" s="59"/>
      <c r="AH51" s="59" t="s">
        <v>2905</v>
      </c>
      <c r="AI51" s="59"/>
      <c r="AJ51" s="59"/>
      <c r="AK51" s="59"/>
      <c r="AL51" s="59"/>
      <c r="AM51" s="59" t="s">
        <v>2905</v>
      </c>
      <c r="AN51" s="59"/>
    </row>
    <row r="52" spans="1:40" x14ac:dyDescent="0.25">
      <c r="A52" s="38" t="s">
        <v>903</v>
      </c>
      <c r="B52" s="57" t="str">
        <f>IF($A52="","",IFERROR(INDEX(Références!$C$2:$C$201,MATCH($A52,Références!$A$2:$A$201,0)),""))</f>
        <v>Di Benedetto (1990)</v>
      </c>
      <c r="C52" s="58">
        <f>IF($A52="","",IFERROR(INDEX(Références!$G$2:$G$201,MATCH($A52,Références!$A$2:$A$201,0)),""))</f>
        <v>3</v>
      </c>
      <c r="D52" s="57" t="str">
        <f>IF($A52="","",IFERROR(INDEX('Lecture détaillée'!$J$5:$J$204,MATCH($A52,'Lecture détaillée'!$A$5:$A$204,0)),""))</f>
        <v>Aucun</v>
      </c>
      <c r="E52" s="59"/>
      <c r="F52" s="59"/>
      <c r="G52" s="59"/>
      <c r="H52" s="59"/>
      <c r="I52" s="59"/>
      <c r="J52" s="59"/>
      <c r="K52" s="59"/>
      <c r="L52" s="59"/>
      <c r="M52" s="59"/>
      <c r="N52" s="59"/>
      <c r="O52" s="59" t="s">
        <v>2905</v>
      </c>
      <c r="P52" s="59"/>
      <c r="Q52" s="59"/>
      <c r="R52" s="59" t="s">
        <v>2905</v>
      </c>
      <c r="S52" s="59"/>
      <c r="T52" s="59"/>
      <c r="U52" s="59"/>
      <c r="V52" s="59"/>
      <c r="W52" s="59"/>
      <c r="X52" s="59"/>
      <c r="Y52" s="59"/>
      <c r="Z52" s="59"/>
      <c r="AA52" s="59" t="s">
        <v>2905</v>
      </c>
      <c r="AB52" s="59"/>
      <c r="AC52" s="59"/>
      <c r="AD52" s="59"/>
      <c r="AE52" s="59"/>
      <c r="AF52" s="59"/>
      <c r="AG52" s="59"/>
      <c r="AH52" s="59" t="s">
        <v>2905</v>
      </c>
      <c r="AI52" s="59"/>
      <c r="AJ52" s="59"/>
      <c r="AK52" s="59"/>
      <c r="AL52" s="59"/>
      <c r="AM52" s="59"/>
      <c r="AN52" s="59"/>
    </row>
    <row r="53" spans="1:40" x14ac:dyDescent="0.25">
      <c r="A53" s="38" t="s">
        <v>916</v>
      </c>
      <c r="B53" s="57" t="str">
        <f>IF($A53="","",IFERROR(INDEX(Références!$C$2:$C$201,MATCH($A53,Références!$A$2:$A$201,0)),""))</f>
        <v>Nilsson et al. (2002)</v>
      </c>
      <c r="C53" s="58">
        <f>IF($A53="","",IFERROR(INDEX(Références!$G$2:$G$201,MATCH($A53,Références!$A$2:$A$201,0)),""))</f>
        <v>3</v>
      </c>
      <c r="D53" s="57" t="str">
        <f>IF($A53="","",IFERROR(INDEX('Lecture détaillée'!$J$5:$J$204,MATCH($A53,'Lecture détaillée'!$A$5:$A$204,0)),""))</f>
        <v>Partiel</v>
      </c>
      <c r="E53" s="59"/>
      <c r="F53" s="59"/>
      <c r="G53" s="59"/>
      <c r="H53" s="59" t="s">
        <v>2905</v>
      </c>
      <c r="I53" s="59"/>
      <c r="J53" s="59"/>
      <c r="K53" s="59"/>
      <c r="L53" s="59"/>
      <c r="M53" s="59" t="s">
        <v>2905</v>
      </c>
      <c r="N53" s="59"/>
      <c r="O53" s="59"/>
      <c r="P53" s="59"/>
      <c r="Q53" s="59"/>
      <c r="R53" s="59"/>
      <c r="S53" s="59"/>
      <c r="T53" s="59" t="s">
        <v>2905</v>
      </c>
      <c r="U53" s="59" t="s">
        <v>2905</v>
      </c>
      <c r="V53" s="59"/>
      <c r="W53" s="59"/>
      <c r="X53" s="59"/>
      <c r="Y53" s="59"/>
      <c r="Z53" s="59" t="s">
        <v>2905</v>
      </c>
      <c r="AA53" s="59"/>
      <c r="AB53" s="59"/>
      <c r="AC53" s="59"/>
      <c r="AD53" s="59"/>
      <c r="AE53" s="59"/>
      <c r="AF53" s="59"/>
      <c r="AG53" s="59"/>
      <c r="AH53" s="59"/>
      <c r="AI53" s="59"/>
      <c r="AJ53" s="59" t="s">
        <v>2905</v>
      </c>
      <c r="AK53" s="59"/>
      <c r="AL53" s="59"/>
      <c r="AM53" s="59" t="s">
        <v>2905</v>
      </c>
      <c r="AN53" s="59"/>
    </row>
    <row r="54" spans="1:40" x14ac:dyDescent="0.25">
      <c r="A54" s="38" t="s">
        <v>926</v>
      </c>
      <c r="B54" s="57" t="str">
        <f>IF($A54="","",IFERROR(INDEX(Références!$C$2:$C$201,MATCH($A54,Références!$A$2:$A$201,0)),""))</f>
        <v>Williams et al. (1955)</v>
      </c>
      <c r="C54" s="58">
        <f>IF($A54="","",IFERROR(INDEX(Références!$G$2:$G$201,MATCH($A54,Références!$A$2:$A$201,0)),""))</f>
        <v>3</v>
      </c>
      <c r="D54" s="57" t="str">
        <f>IF($A54="","",IFERROR(INDEX('Lecture détaillée'!$J$5:$J$204,MATCH($A54,'Lecture détaillée'!$A$5:$A$204,0)),""))</f>
        <v>Aucun</v>
      </c>
      <c r="E54" s="59"/>
      <c r="F54" s="59"/>
      <c r="G54" s="59"/>
      <c r="H54" s="59"/>
      <c r="I54" s="59"/>
      <c r="J54" s="59"/>
      <c r="K54" s="59"/>
      <c r="L54" s="59"/>
      <c r="M54" s="59" t="s">
        <v>2905</v>
      </c>
      <c r="N54" s="59"/>
      <c r="O54" s="59"/>
      <c r="P54" s="59"/>
      <c r="Q54" s="59"/>
      <c r="R54" s="59" t="s">
        <v>2905</v>
      </c>
      <c r="S54" s="59"/>
      <c r="T54" s="59"/>
      <c r="U54" s="59"/>
      <c r="V54" s="59"/>
      <c r="W54" s="59"/>
      <c r="X54" s="59"/>
      <c r="Y54" s="59"/>
      <c r="Z54" s="59"/>
      <c r="AA54" s="59"/>
      <c r="AB54" s="59"/>
      <c r="AC54" s="59"/>
      <c r="AD54" s="59"/>
      <c r="AE54" s="59"/>
      <c r="AF54" s="59"/>
      <c r="AG54" s="59"/>
      <c r="AH54" s="59" t="s">
        <v>2905</v>
      </c>
      <c r="AI54" s="59"/>
      <c r="AJ54" s="59"/>
      <c r="AK54" s="59"/>
      <c r="AL54" s="59"/>
      <c r="AM54" s="59"/>
      <c r="AN54" s="59"/>
    </row>
    <row r="55" spans="1:40" x14ac:dyDescent="0.25">
      <c r="A55" s="38" t="s">
        <v>774</v>
      </c>
      <c r="B55" s="57" t="str">
        <f>IF($A55="","",IFERROR(INDEX(Références!$C$2:$C$201,MATCH($A55,Références!$A$2:$A$201,0)),""))</f>
        <v>AFNOR (2023)</v>
      </c>
      <c r="C55" s="58">
        <f>IF($A55="","",IFERROR(INDEX(Références!$G$2:$G$201,MATCH($A55,Références!$A$2:$A$201,0)),""))</f>
        <v>4</v>
      </c>
      <c r="D55" s="57" t="str">
        <f>IF($A55="","",IFERROR(INDEX('Lecture détaillée'!$J$5:$J$204,MATCH($A55,'Lecture détaillée'!$A$5:$A$204,0)),""))</f>
        <v>Aucun</v>
      </c>
      <c r="E55" s="59"/>
      <c r="F55" s="59"/>
      <c r="G55" s="59"/>
      <c r="H55" s="59"/>
      <c r="I55" s="59"/>
      <c r="J55" s="59"/>
      <c r="K55" s="59"/>
      <c r="L55" s="59"/>
      <c r="M55" s="59"/>
      <c r="N55" s="59"/>
      <c r="O55" s="59"/>
      <c r="P55" s="59"/>
      <c r="Q55" s="59"/>
      <c r="R55" s="59" t="s">
        <v>2905</v>
      </c>
      <c r="S55" s="59"/>
      <c r="T55" s="59"/>
      <c r="U55" s="59"/>
      <c r="V55" s="59"/>
      <c r="W55" s="59"/>
      <c r="X55" s="59" t="s">
        <v>2905</v>
      </c>
      <c r="Y55" s="59"/>
      <c r="Z55" s="59"/>
      <c r="AA55" s="59" t="s">
        <v>2905</v>
      </c>
      <c r="AB55" s="59"/>
      <c r="AC55" s="59"/>
      <c r="AD55" s="59"/>
      <c r="AE55" s="59"/>
      <c r="AF55" s="59"/>
      <c r="AG55" s="59"/>
      <c r="AH55" s="59" t="s">
        <v>2905</v>
      </c>
      <c r="AI55" s="59"/>
      <c r="AJ55" s="59"/>
      <c r="AK55" s="59"/>
      <c r="AL55" s="59"/>
      <c r="AM55" s="59"/>
      <c r="AN55" s="59"/>
    </row>
    <row r="56" spans="1:40" x14ac:dyDescent="0.25">
      <c r="A56" s="38" t="s">
        <v>787</v>
      </c>
      <c r="B56" s="57" t="str">
        <f>IF($A56="","",IFERROR(INDEX(Références!$C$2:$C$201,MATCH($A56,Références!$A$2:$A$201,0)),""))</f>
        <v>Di Benedetto et al. (2011)</v>
      </c>
      <c r="C56" s="58">
        <f>IF($A56="","",IFERROR(INDEX(Références!$G$2:$G$201,MATCH($A56,Références!$A$2:$A$201,0)),""))</f>
        <v>4</v>
      </c>
      <c r="D56" s="57" t="str">
        <f>IF($A56="","",IFERROR(INDEX('Lecture détaillée'!$J$5:$J$204,MATCH($A56,'Lecture détaillée'!$A$5:$A$204,0)),""))</f>
        <v>Complet</v>
      </c>
      <c r="E56" s="59"/>
      <c r="F56" s="59"/>
      <c r="G56" s="59"/>
      <c r="H56" s="59"/>
      <c r="I56" s="59"/>
      <c r="J56" s="59"/>
      <c r="K56" s="59"/>
      <c r="L56" s="59"/>
      <c r="M56" s="59" t="s">
        <v>2905</v>
      </c>
      <c r="N56" s="59"/>
      <c r="O56" s="59"/>
      <c r="P56" s="59"/>
      <c r="Q56" s="59"/>
      <c r="R56" s="59" t="s">
        <v>2905</v>
      </c>
      <c r="S56" s="59"/>
      <c r="T56" s="59"/>
      <c r="U56" s="59"/>
      <c r="V56" s="59"/>
      <c r="W56" s="59"/>
      <c r="X56" s="59"/>
      <c r="Y56" s="59"/>
      <c r="Z56" s="59"/>
      <c r="AA56" s="59" t="s">
        <v>2905</v>
      </c>
      <c r="AB56" s="59"/>
      <c r="AC56" s="59"/>
      <c r="AD56" s="59"/>
      <c r="AE56" s="59"/>
      <c r="AF56" s="59"/>
      <c r="AG56" s="59" t="s">
        <v>2905</v>
      </c>
      <c r="AH56" s="59" t="s">
        <v>2905</v>
      </c>
      <c r="AI56" s="59"/>
      <c r="AJ56" s="59"/>
      <c r="AK56" s="59"/>
      <c r="AL56" s="59"/>
      <c r="AM56" s="59" t="s">
        <v>2905</v>
      </c>
      <c r="AN56" s="59"/>
    </row>
    <row r="57" spans="1:40" x14ac:dyDescent="0.25">
      <c r="A57" s="38" t="s">
        <v>797</v>
      </c>
      <c r="B57" s="57" t="str">
        <f>IF($A57="","",IFERROR(INDEX(Références!$C$2:$C$201,MATCH($A57,Références!$A$2:$A$201,0)),""))</f>
        <v>Nguyen et al. (2017)</v>
      </c>
      <c r="C57" s="58">
        <f>IF($A57="","",IFERROR(INDEX(Références!$G$2:$G$201,MATCH($A57,Références!$A$2:$A$201,0)),""))</f>
        <v>4</v>
      </c>
      <c r="D57" s="57" t="str">
        <f>IF($A57="","",IFERROR(INDEX('Lecture détaillée'!$J$5:$J$204,MATCH($A57,'Lecture détaillée'!$A$5:$A$204,0)),""))</f>
        <v>Complet</v>
      </c>
      <c r="E57" s="59"/>
      <c r="F57" s="59"/>
      <c r="G57" s="59"/>
      <c r="H57" s="59"/>
      <c r="I57" s="59"/>
      <c r="J57" s="59"/>
      <c r="K57" s="59"/>
      <c r="L57" s="59"/>
      <c r="M57" s="59" t="s">
        <v>2905</v>
      </c>
      <c r="N57" s="59"/>
      <c r="O57" s="59"/>
      <c r="P57" s="59"/>
      <c r="Q57" s="59"/>
      <c r="R57" s="59" t="s">
        <v>2905</v>
      </c>
      <c r="S57" s="59"/>
      <c r="T57" s="59"/>
      <c r="U57" s="59"/>
      <c r="V57" s="59"/>
      <c r="W57" s="59"/>
      <c r="X57" s="59"/>
      <c r="Y57" s="59"/>
      <c r="Z57" s="59"/>
      <c r="AA57" s="59" t="s">
        <v>2905</v>
      </c>
      <c r="AB57" s="59"/>
      <c r="AC57" s="59"/>
      <c r="AD57" s="59"/>
      <c r="AE57" s="59"/>
      <c r="AF57" s="59"/>
      <c r="AG57" s="59"/>
      <c r="AH57" s="59" t="s">
        <v>2905</v>
      </c>
      <c r="AI57" s="59"/>
      <c r="AJ57" s="59"/>
      <c r="AK57" s="59"/>
      <c r="AL57" s="59"/>
      <c r="AM57" s="59" t="s">
        <v>2905</v>
      </c>
      <c r="AN57" s="59"/>
    </row>
    <row r="58" spans="1:40" x14ac:dyDescent="0.25">
      <c r="A58" s="38" t="s">
        <v>868</v>
      </c>
      <c r="B58" s="57" t="str">
        <f>IF($A58="","",IFERROR(INDEX(Références!$C$2:$C$201,MATCH($A58,Références!$A$2:$A$201,0)),""))</f>
        <v>Di Benedetto et al. (2001)</v>
      </c>
      <c r="C58" s="58">
        <f>IF($A58="","",IFERROR(INDEX(Références!$G$2:$G$201,MATCH($A58,Références!$A$2:$A$201,0)),""))</f>
        <v>4</v>
      </c>
      <c r="D58" s="57" t="str">
        <f>IF($A58="","",IFERROR(INDEX('Lecture détaillée'!$J$5:$J$204,MATCH($A58,'Lecture détaillée'!$A$5:$A$204,0)),""))</f>
        <v>Aucun</v>
      </c>
      <c r="E58" s="59"/>
      <c r="F58" s="59"/>
      <c r="G58" s="59"/>
      <c r="H58" s="59"/>
      <c r="I58" s="59"/>
      <c r="J58" s="59"/>
      <c r="K58" s="59"/>
      <c r="L58" s="59"/>
      <c r="M58" s="59" t="s">
        <v>2905</v>
      </c>
      <c r="N58" s="59"/>
      <c r="O58" s="59"/>
      <c r="P58" s="59"/>
      <c r="Q58" s="59"/>
      <c r="R58" s="59" t="s">
        <v>2905</v>
      </c>
      <c r="S58" s="59"/>
      <c r="T58" s="59"/>
      <c r="U58" s="59"/>
      <c r="V58" s="59"/>
      <c r="W58" s="59"/>
      <c r="X58" s="59"/>
      <c r="Y58" s="59"/>
      <c r="Z58" s="59"/>
      <c r="AA58" s="59" t="s">
        <v>2905</v>
      </c>
      <c r="AB58" s="59"/>
      <c r="AC58" s="59"/>
      <c r="AD58" s="59"/>
      <c r="AE58" s="59"/>
      <c r="AF58" s="59"/>
      <c r="AG58" s="59"/>
      <c r="AH58" s="59" t="s">
        <v>2905</v>
      </c>
      <c r="AI58" s="59"/>
      <c r="AJ58" s="59"/>
      <c r="AK58" s="59"/>
      <c r="AL58" s="59"/>
      <c r="AM58" s="59" t="s">
        <v>2905</v>
      </c>
      <c r="AN58" s="59"/>
    </row>
    <row r="59" spans="1:40" x14ac:dyDescent="0.25">
      <c r="A59" s="38" t="s">
        <v>878</v>
      </c>
      <c r="B59" s="57" t="str">
        <f>IF($A59="","",IFERROR(INDEX(Références!$C$2:$C$201,MATCH($A59,Références!$A$2:$A$201,0)),""))</f>
        <v>Gayte et al. (2016)</v>
      </c>
      <c r="C59" s="58">
        <f>IF($A59="","",IFERROR(INDEX(Références!$G$2:$G$201,MATCH($A59,Références!$A$2:$A$201,0)),""))</f>
        <v>4</v>
      </c>
      <c r="D59" s="57" t="str">
        <f>IF($A59="","",IFERROR(INDEX('Lecture détaillée'!$J$5:$J$204,MATCH($A59,'Lecture détaillée'!$A$5:$A$204,0)),""))</f>
        <v>Complet</v>
      </c>
      <c r="E59" s="59"/>
      <c r="F59" s="59"/>
      <c r="G59" s="59"/>
      <c r="H59" s="59"/>
      <c r="I59" s="59"/>
      <c r="J59" s="59"/>
      <c r="K59" s="59"/>
      <c r="L59" s="59"/>
      <c r="M59" s="59" t="s">
        <v>2905</v>
      </c>
      <c r="N59" s="59"/>
      <c r="O59" s="59"/>
      <c r="P59" s="59"/>
      <c r="Q59" s="59"/>
      <c r="R59" s="59" t="s">
        <v>2905</v>
      </c>
      <c r="S59" s="59"/>
      <c r="T59" s="59"/>
      <c r="U59" s="59"/>
      <c r="V59" s="59"/>
      <c r="W59" s="59"/>
      <c r="X59" s="59"/>
      <c r="Y59" s="59"/>
      <c r="Z59" s="59"/>
      <c r="AA59" s="59" t="s">
        <v>2905</v>
      </c>
      <c r="AB59" s="59"/>
      <c r="AC59" s="59"/>
      <c r="AD59" s="59"/>
      <c r="AE59" s="59"/>
      <c r="AF59" s="59"/>
      <c r="AG59" s="59"/>
      <c r="AH59" s="59" t="s">
        <v>2905</v>
      </c>
      <c r="AI59" s="59"/>
      <c r="AJ59" s="59"/>
      <c r="AK59" s="59"/>
      <c r="AL59" s="59"/>
      <c r="AM59" s="59" t="s">
        <v>2905</v>
      </c>
      <c r="AN59" s="59"/>
    </row>
    <row r="60" spans="1:40" x14ac:dyDescent="0.25">
      <c r="A60" s="38" t="s">
        <v>891</v>
      </c>
      <c r="B60" s="57" t="str">
        <f>IF($A60="","",IFERROR(INDEX(Références!$C$2:$C$201,MATCH($A60,Références!$A$2:$A$201,0)),""))</f>
        <v>Nguyen et al. (2013)</v>
      </c>
      <c r="C60" s="58">
        <f>IF($A60="","",IFERROR(INDEX(Références!$G$2:$G$201,MATCH($A60,Références!$A$2:$A$201,0)),""))</f>
        <v>4</v>
      </c>
      <c r="D60" s="57" t="str">
        <f>IF($A60="","",IFERROR(INDEX('Lecture détaillée'!$J$5:$J$204,MATCH($A60,'Lecture détaillée'!$A$5:$A$204,0)),""))</f>
        <v>Complet</v>
      </c>
      <c r="E60" s="59"/>
      <c r="F60" s="59"/>
      <c r="G60" s="59"/>
      <c r="H60" s="59"/>
      <c r="I60" s="59"/>
      <c r="J60" s="59"/>
      <c r="K60" s="59"/>
      <c r="L60" s="59"/>
      <c r="M60" s="59" t="s">
        <v>2905</v>
      </c>
      <c r="N60" s="59"/>
      <c r="O60" s="59"/>
      <c r="P60" s="59"/>
      <c r="Q60" s="59"/>
      <c r="R60" s="59" t="s">
        <v>2905</v>
      </c>
      <c r="S60" s="59"/>
      <c r="T60" s="59"/>
      <c r="U60" s="59"/>
      <c r="V60" s="59"/>
      <c r="W60" s="59"/>
      <c r="X60" s="59"/>
      <c r="Y60" s="59"/>
      <c r="Z60" s="59"/>
      <c r="AA60" s="59" t="s">
        <v>2905</v>
      </c>
      <c r="AB60" s="59"/>
      <c r="AC60" s="59"/>
      <c r="AD60" s="59"/>
      <c r="AE60" s="59"/>
      <c r="AF60" s="59"/>
      <c r="AG60" s="59" t="s">
        <v>2905</v>
      </c>
      <c r="AH60" s="59" t="s">
        <v>2905</v>
      </c>
      <c r="AI60" s="59"/>
      <c r="AJ60" s="59"/>
      <c r="AK60" s="59"/>
      <c r="AL60" s="59"/>
      <c r="AM60" s="59" t="s">
        <v>2905</v>
      </c>
      <c r="AN60" s="59"/>
    </row>
    <row r="61" spans="1:40" x14ac:dyDescent="0.25">
      <c r="A61" s="38" t="s">
        <v>938</v>
      </c>
      <c r="B61" s="57" t="str">
        <f>IF($A61="","",IFERROR(INDEX(Références!$C$2:$C$201,MATCH($A61,Références!$A$2:$A$201,0)),""))</f>
        <v>AFNOR (2015)</v>
      </c>
      <c r="C61" s="58">
        <f>IF($A61="","",IFERROR(INDEX(Références!$G$2:$G$201,MATCH($A61,Références!$A$2:$A$201,0)),""))</f>
        <v>4</v>
      </c>
      <c r="D61" s="57" t="str">
        <f>IF($A61="","",IFERROR(INDEX('Lecture détaillée'!$J$5:$J$204,MATCH($A61,'Lecture détaillée'!$A$5:$A$204,0)),""))</f>
        <v>Aucun</v>
      </c>
      <c r="E61" s="59"/>
      <c r="F61" s="59"/>
      <c r="G61" s="59"/>
      <c r="H61" s="59"/>
      <c r="I61" s="59"/>
      <c r="J61" s="59"/>
      <c r="K61" s="59"/>
      <c r="L61" s="59"/>
      <c r="M61" s="59"/>
      <c r="N61" s="59"/>
      <c r="O61" s="59"/>
      <c r="P61" s="59"/>
      <c r="Q61" s="59"/>
      <c r="R61" s="59" t="s">
        <v>2905</v>
      </c>
      <c r="S61" s="59"/>
      <c r="T61" s="59"/>
      <c r="U61" s="59"/>
      <c r="V61" s="59"/>
      <c r="W61" s="59"/>
      <c r="X61" s="59" t="s">
        <v>2905</v>
      </c>
      <c r="Y61" s="59"/>
      <c r="Z61" s="59"/>
      <c r="AA61" s="59"/>
      <c r="AB61" s="59"/>
      <c r="AC61" s="59"/>
      <c r="AD61" s="59"/>
      <c r="AE61" s="59"/>
      <c r="AF61" s="59"/>
      <c r="AG61" s="59"/>
      <c r="AH61" s="59" t="s">
        <v>2905</v>
      </c>
      <c r="AI61" s="59"/>
      <c r="AJ61" s="59"/>
      <c r="AK61" s="59"/>
      <c r="AL61" s="59"/>
      <c r="AM61" s="59"/>
      <c r="AN61" s="59"/>
    </row>
    <row r="62" spans="1:40" x14ac:dyDescent="0.25">
      <c r="A62" s="38" t="s">
        <v>946</v>
      </c>
      <c r="B62" s="57" t="str">
        <f>IF($A62="","",IFERROR(INDEX(Références!$C$2:$C$201,MATCH($A62,Références!$A$2:$A$201,0)),""))</f>
        <v>AFNOR (2018)</v>
      </c>
      <c r="C62" s="58">
        <f>IF($A62="","",IFERROR(INDEX(Références!$G$2:$G$201,MATCH($A62,Références!$A$2:$A$201,0)),""))</f>
        <v>4</v>
      </c>
      <c r="D62" s="57" t="str">
        <f>IF($A62="","",IFERROR(INDEX('Lecture détaillée'!$J$5:$J$204,MATCH($A62,'Lecture détaillée'!$A$5:$A$204,0)),""))</f>
        <v>Aucun</v>
      </c>
      <c r="E62" s="59"/>
      <c r="F62" s="59"/>
      <c r="G62" s="59"/>
      <c r="H62" s="59"/>
      <c r="I62" s="59"/>
      <c r="J62" s="59"/>
      <c r="K62" s="59"/>
      <c r="L62" s="59"/>
      <c r="M62" s="59"/>
      <c r="N62" s="59"/>
      <c r="O62" s="59"/>
      <c r="P62" s="59"/>
      <c r="Q62" s="59"/>
      <c r="R62" s="59" t="s">
        <v>2905</v>
      </c>
      <c r="S62" s="59"/>
      <c r="T62" s="59"/>
      <c r="U62" s="59"/>
      <c r="V62" s="59"/>
      <c r="W62" s="59"/>
      <c r="X62" s="59" t="s">
        <v>2905</v>
      </c>
      <c r="Y62" s="59"/>
      <c r="Z62" s="59"/>
      <c r="AA62" s="59"/>
      <c r="AB62" s="59"/>
      <c r="AC62" s="59"/>
      <c r="AD62" s="59"/>
      <c r="AE62" s="59"/>
      <c r="AF62" s="59"/>
      <c r="AG62" s="59"/>
      <c r="AH62" s="59" t="s">
        <v>2905</v>
      </c>
      <c r="AI62" s="59"/>
      <c r="AJ62" s="59"/>
      <c r="AK62" s="59"/>
      <c r="AL62" s="59"/>
      <c r="AM62" s="59"/>
      <c r="AN62" s="59"/>
    </row>
    <row r="63" spans="1:40" x14ac:dyDescent="0.25">
      <c r="A63" s="38" t="s">
        <v>954</v>
      </c>
      <c r="B63" s="57" t="str">
        <f>IF($A63="","",IFERROR(INDEX(Références!$C$2:$C$201,MATCH($A63,Références!$A$2:$A$201,0)),""))</f>
        <v>AFNOR (2024)</v>
      </c>
      <c r="C63" s="58">
        <f>IF($A63="","",IFERROR(INDEX(Références!$G$2:$G$201,MATCH($A63,Références!$A$2:$A$201,0)),""))</f>
        <v>4</v>
      </c>
      <c r="D63" s="57" t="str">
        <f>IF($A63="","",IFERROR(INDEX('Lecture détaillée'!$J$5:$J$204,MATCH($A63,'Lecture détaillée'!$A$5:$A$204,0)),""))</f>
        <v>Aucun</v>
      </c>
      <c r="E63" s="59"/>
      <c r="F63" s="59"/>
      <c r="G63" s="59"/>
      <c r="H63" s="59"/>
      <c r="I63" s="59"/>
      <c r="J63" s="59"/>
      <c r="K63" s="59"/>
      <c r="L63" s="59"/>
      <c r="M63" s="59"/>
      <c r="N63" s="59"/>
      <c r="O63" s="59"/>
      <c r="P63" s="59"/>
      <c r="Q63" s="59"/>
      <c r="R63" s="59" t="s">
        <v>2905</v>
      </c>
      <c r="S63" s="59"/>
      <c r="T63" s="59"/>
      <c r="U63" s="59"/>
      <c r="V63" s="59"/>
      <c r="W63" s="59"/>
      <c r="X63" s="59" t="s">
        <v>2905</v>
      </c>
      <c r="Y63" s="59"/>
      <c r="Z63" s="59"/>
      <c r="AA63" s="59"/>
      <c r="AB63" s="59"/>
      <c r="AC63" s="59"/>
      <c r="AD63" s="59"/>
      <c r="AE63" s="59"/>
      <c r="AF63" s="59"/>
      <c r="AG63" s="59"/>
      <c r="AH63" s="59" t="s">
        <v>2905</v>
      </c>
      <c r="AI63" s="59"/>
      <c r="AJ63" s="59"/>
      <c r="AK63" s="59"/>
      <c r="AL63" s="59"/>
      <c r="AM63" s="59"/>
      <c r="AN63" s="59"/>
    </row>
    <row r="64" spans="1:40" x14ac:dyDescent="0.25">
      <c r="A64" s="38" t="s">
        <v>963</v>
      </c>
      <c r="B64" s="57" t="str">
        <f>IF($A64="","",IFERROR(INDEX(Références!$C$2:$C$201,MATCH($A64,Références!$A$2:$A$201,0)),""))</f>
        <v>Chailleux et al. (2006)</v>
      </c>
      <c r="C64" s="58">
        <f>IF($A64="","",IFERROR(INDEX(Références!$G$2:$G$201,MATCH($A64,Références!$A$2:$A$201,0)),""))</f>
        <v>4</v>
      </c>
      <c r="D64" s="57" t="str">
        <f>IF($A64="","",IFERROR(INDEX('Lecture détaillée'!$J$5:$J$204,MATCH($A64,'Lecture détaillée'!$A$5:$A$204,0)),""))</f>
        <v>Complet</v>
      </c>
      <c r="E64" s="59"/>
      <c r="F64" s="59"/>
      <c r="G64" s="59"/>
      <c r="H64" s="59"/>
      <c r="I64" s="59"/>
      <c r="J64" s="59"/>
      <c r="K64" s="59"/>
      <c r="L64" s="59"/>
      <c r="M64" s="59" t="s">
        <v>2905</v>
      </c>
      <c r="N64" s="59"/>
      <c r="O64" s="59"/>
      <c r="P64" s="59"/>
      <c r="Q64" s="59"/>
      <c r="R64" s="59"/>
      <c r="S64" s="59"/>
      <c r="T64" s="59"/>
      <c r="U64" s="59"/>
      <c r="V64" s="59"/>
      <c r="W64" s="59" t="s">
        <v>2905</v>
      </c>
      <c r="X64" s="59"/>
      <c r="Y64" s="59"/>
      <c r="Z64" s="59"/>
      <c r="AA64" s="59"/>
      <c r="AB64" s="59"/>
      <c r="AC64" s="59"/>
      <c r="AD64" s="59"/>
      <c r="AE64" s="59"/>
      <c r="AF64" s="59"/>
      <c r="AG64" s="59"/>
      <c r="AH64" s="59" t="s">
        <v>2905</v>
      </c>
      <c r="AI64" s="59"/>
      <c r="AJ64" s="59"/>
      <c r="AK64" s="59"/>
      <c r="AL64" s="59"/>
      <c r="AM64" s="59" t="s">
        <v>2905</v>
      </c>
      <c r="AN64" s="59"/>
    </row>
    <row r="65" spans="1:40" x14ac:dyDescent="0.25">
      <c r="A65" s="38" t="s">
        <v>972</v>
      </c>
      <c r="B65" s="57" t="str">
        <f>IF($A65="","",IFERROR(INDEX(Références!$C$2:$C$201,MATCH($A65,Références!$A$2:$A$201,0)),""))</f>
        <v>Roussel (2020)</v>
      </c>
      <c r="C65" s="58">
        <f>IF($A65="","",IFERROR(INDEX(Références!$G$2:$G$201,MATCH($A65,Références!$A$2:$A$201,0)),""))</f>
        <v>5</v>
      </c>
      <c r="D65" s="57" t="str">
        <f>IF($A65="","",IFERROR(INDEX('Lecture détaillée'!$J$5:$J$204,MATCH($A65,'Lecture détaillée'!$A$5:$A$204,0)),""))</f>
        <v>Complet</v>
      </c>
      <c r="E65" s="59"/>
      <c r="F65" s="59"/>
      <c r="G65" s="59"/>
      <c r="H65" s="59" t="s">
        <v>2905</v>
      </c>
      <c r="I65" s="59"/>
      <c r="J65" s="59"/>
      <c r="K65" s="59"/>
      <c r="L65" s="59"/>
      <c r="M65" s="59" t="s">
        <v>2905</v>
      </c>
      <c r="N65" s="59"/>
      <c r="O65" s="59"/>
      <c r="P65" s="59"/>
      <c r="Q65" s="59"/>
      <c r="R65" s="59"/>
      <c r="S65" s="59" t="s">
        <v>2905</v>
      </c>
      <c r="T65" s="59"/>
      <c r="U65" s="59" t="s">
        <v>2905</v>
      </c>
      <c r="V65" s="59"/>
      <c r="W65" s="59"/>
      <c r="X65" s="59"/>
      <c r="Y65" s="59"/>
      <c r="Z65" s="59"/>
      <c r="AA65" s="59"/>
      <c r="AB65" s="59" t="s">
        <v>2905</v>
      </c>
      <c r="AC65" s="59"/>
      <c r="AD65" s="59"/>
      <c r="AE65" s="59"/>
      <c r="AF65" s="59"/>
      <c r="AG65" s="59"/>
      <c r="AH65" s="59"/>
      <c r="AI65" s="59" t="s">
        <v>2905</v>
      </c>
      <c r="AJ65" s="59"/>
      <c r="AK65" s="59"/>
      <c r="AL65" s="59" t="s">
        <v>2905</v>
      </c>
      <c r="AM65" s="59" t="s">
        <v>2905</v>
      </c>
      <c r="AN65" s="59"/>
    </row>
    <row r="66" spans="1:40" x14ac:dyDescent="0.25">
      <c r="A66" s="38" t="s">
        <v>994</v>
      </c>
      <c r="B66" s="57" t="str">
        <f>IF($A66="","",IFERROR(INDEX(Références!$C$2:$C$201,MATCH($A66,Références!$A$2:$A$201,0)),""))</f>
        <v>Burmister (1945)</v>
      </c>
      <c r="C66" s="58">
        <f>IF($A66="","",IFERROR(INDEX(Références!$G$2:$G$201,MATCH($A66,Références!$A$2:$A$201,0)),""))</f>
        <v>5</v>
      </c>
      <c r="D66" s="57" t="str">
        <f>IF($A66="","",IFERROR(INDEX('Lecture détaillée'!$J$5:$J$204,MATCH($A66,'Lecture détaillée'!$A$5:$A$204,0)),""))</f>
        <v>Complet</v>
      </c>
      <c r="E66" s="59"/>
      <c r="F66" s="59"/>
      <c r="G66" s="59"/>
      <c r="H66" s="59" t="s">
        <v>2905</v>
      </c>
      <c r="I66" s="59"/>
      <c r="J66" s="59"/>
      <c r="K66" s="59"/>
      <c r="L66" s="59" t="s">
        <v>2905</v>
      </c>
      <c r="M66" s="59"/>
      <c r="N66" s="59"/>
      <c r="O66" s="59"/>
      <c r="P66" s="59"/>
      <c r="Q66" s="59"/>
      <c r="R66" s="59"/>
      <c r="S66" s="59"/>
      <c r="T66" s="59" t="s">
        <v>2905</v>
      </c>
      <c r="U66" s="59"/>
      <c r="V66" s="59"/>
      <c r="W66" s="59"/>
      <c r="X66" s="59"/>
      <c r="Y66" s="59" t="s">
        <v>2905</v>
      </c>
      <c r="Z66" s="59"/>
      <c r="AA66" s="59"/>
      <c r="AB66" s="59"/>
      <c r="AC66" s="59"/>
      <c r="AD66" s="59"/>
      <c r="AE66" s="59"/>
      <c r="AF66" s="59"/>
      <c r="AG66" s="59"/>
      <c r="AH66" s="59"/>
      <c r="AI66" s="59"/>
      <c r="AJ66" s="59" t="s">
        <v>2905</v>
      </c>
      <c r="AK66" s="59"/>
      <c r="AL66" s="59"/>
      <c r="AM66" s="59"/>
      <c r="AN66" s="59"/>
    </row>
    <row r="67" spans="1:40" x14ac:dyDescent="0.25">
      <c r="A67" s="38" t="s">
        <v>1007</v>
      </c>
      <c r="B67" s="57" t="str">
        <f>IF($A67="","",IFERROR(INDEX(Références!$C$2:$C$201,MATCH($A67,Références!$A$2:$A$201,0)),""))</f>
        <v>Elseifi et al. (2006)</v>
      </c>
      <c r="C67" s="58">
        <f>IF($A67="","",IFERROR(INDEX(Références!$G$2:$G$201,MATCH($A67,Références!$A$2:$A$201,0)),""))</f>
        <v>5</v>
      </c>
      <c r="D67" s="57" t="str">
        <f>IF($A67="","",IFERROR(INDEX('Lecture détaillée'!$J$5:$J$204,MATCH($A67,'Lecture détaillée'!$A$5:$A$204,0)),""))</f>
        <v>Complet</v>
      </c>
      <c r="E67" s="59" t="s">
        <v>2905</v>
      </c>
      <c r="F67" s="59"/>
      <c r="G67" s="59"/>
      <c r="H67" s="59"/>
      <c r="I67" s="59"/>
      <c r="J67" s="59"/>
      <c r="K67" s="59"/>
      <c r="L67" s="59"/>
      <c r="M67" s="59" t="s">
        <v>2905</v>
      </c>
      <c r="N67" s="59"/>
      <c r="O67" s="59"/>
      <c r="P67" s="59"/>
      <c r="Q67" s="59"/>
      <c r="R67" s="59"/>
      <c r="S67" s="59" t="s">
        <v>2905</v>
      </c>
      <c r="T67" s="59"/>
      <c r="U67" s="59"/>
      <c r="V67" s="59"/>
      <c r="W67" s="59"/>
      <c r="X67" s="59"/>
      <c r="Y67" s="59"/>
      <c r="Z67" s="59" t="s">
        <v>2905</v>
      </c>
      <c r="AA67" s="59"/>
      <c r="AB67" s="59"/>
      <c r="AC67" s="59"/>
      <c r="AD67" s="59"/>
      <c r="AE67" s="59"/>
      <c r="AF67" s="59" t="s">
        <v>2905</v>
      </c>
      <c r="AG67" s="59"/>
      <c r="AH67" s="59"/>
      <c r="AI67" s="59"/>
      <c r="AJ67" s="59" t="s">
        <v>2905</v>
      </c>
      <c r="AK67" s="59"/>
      <c r="AL67" s="59" t="s">
        <v>2905</v>
      </c>
      <c r="AM67" s="59"/>
      <c r="AN67" s="59"/>
    </row>
    <row r="68" spans="1:40" x14ac:dyDescent="0.25">
      <c r="A68" s="38" t="s">
        <v>1019</v>
      </c>
      <c r="B68" s="57" t="str">
        <f>IF($A68="","",IFERROR(INDEX(Références!$C$2:$C$201,MATCH($A68,Références!$A$2:$A$201,0)),""))</f>
        <v>Jiang et al. (2019)</v>
      </c>
      <c r="C68" s="58">
        <f>IF($A68="","",IFERROR(INDEX(Références!$G$2:$G$201,MATCH($A68,Références!$A$2:$A$201,0)),""))</f>
        <v>5</v>
      </c>
      <c r="D68" s="57" t="str">
        <f>IF($A68="","",IFERROR(INDEX('Lecture détaillée'!$J$5:$J$204,MATCH($A68,'Lecture détaillée'!$A$5:$A$204,0)),""))</f>
        <v>Complet</v>
      </c>
      <c r="E68" s="59" t="s">
        <v>2905</v>
      </c>
      <c r="F68" s="59"/>
      <c r="G68" s="59"/>
      <c r="H68" s="59"/>
      <c r="I68" s="59"/>
      <c r="J68" s="59" t="s">
        <v>2905</v>
      </c>
      <c r="K68" s="59"/>
      <c r="L68" s="59" t="s">
        <v>2905</v>
      </c>
      <c r="M68" s="59"/>
      <c r="N68" s="59"/>
      <c r="O68" s="59"/>
      <c r="P68" s="59"/>
      <c r="Q68" s="59"/>
      <c r="R68" s="59"/>
      <c r="S68" s="59" t="s">
        <v>2905</v>
      </c>
      <c r="T68" s="59"/>
      <c r="U68" s="59"/>
      <c r="V68" s="59"/>
      <c r="W68" s="59"/>
      <c r="X68" s="59"/>
      <c r="Y68" s="59" t="s">
        <v>2905</v>
      </c>
      <c r="Z68" s="59"/>
      <c r="AA68" s="59"/>
      <c r="AB68" s="59"/>
      <c r="AC68" s="59"/>
      <c r="AD68" s="59" t="s">
        <v>2905</v>
      </c>
      <c r="AE68" s="59" t="s">
        <v>2905</v>
      </c>
      <c r="AF68" s="59" t="s">
        <v>2905</v>
      </c>
      <c r="AG68" s="59"/>
      <c r="AH68" s="59"/>
      <c r="AI68" s="59"/>
      <c r="AJ68" s="59"/>
      <c r="AK68" s="59"/>
      <c r="AL68" s="59"/>
      <c r="AM68" s="59"/>
      <c r="AN68" s="59"/>
    </row>
    <row r="69" spans="1:40" x14ac:dyDescent="0.25">
      <c r="A69" s="38" t="s">
        <v>1030</v>
      </c>
      <c r="B69" s="57" t="str">
        <f>IF($A69="","",IFERROR(INDEX(Références!$C$2:$C$201,MATCH($A69,Références!$A$2:$A$201,0)),""))</f>
        <v>Perret (2003)</v>
      </c>
      <c r="C69" s="58">
        <f>IF($A69="","",IFERROR(INDEX(Références!$G$2:$G$201,MATCH($A69,Références!$A$2:$A$201,0)),""))</f>
        <v>5</v>
      </c>
      <c r="D69" s="57" t="str">
        <f>IF($A69="","",IFERROR(INDEX('Lecture détaillée'!$J$5:$J$204,MATCH($A69,'Lecture détaillée'!$A$5:$A$204,0)),""))</f>
        <v>Partiel</v>
      </c>
      <c r="E69" s="59" t="s">
        <v>2905</v>
      </c>
      <c r="F69" s="59"/>
      <c r="G69" s="59"/>
      <c r="H69" s="59"/>
      <c r="I69" s="59"/>
      <c r="J69" s="59"/>
      <c r="K69" s="59"/>
      <c r="L69" s="59" t="s">
        <v>2905</v>
      </c>
      <c r="M69" s="59" t="s">
        <v>2905</v>
      </c>
      <c r="N69" s="59"/>
      <c r="O69" s="59"/>
      <c r="P69" s="59"/>
      <c r="Q69" s="59" t="s">
        <v>2905</v>
      </c>
      <c r="R69" s="59"/>
      <c r="S69" s="59"/>
      <c r="T69" s="59" t="s">
        <v>2905</v>
      </c>
      <c r="U69" s="59"/>
      <c r="V69" s="59"/>
      <c r="W69" s="59"/>
      <c r="X69" s="59"/>
      <c r="Y69" s="59"/>
      <c r="Z69" s="59" t="s">
        <v>2905</v>
      </c>
      <c r="AA69" s="59"/>
      <c r="AB69" s="59"/>
      <c r="AC69" s="59"/>
      <c r="AD69" s="59" t="s">
        <v>2905</v>
      </c>
      <c r="AE69" s="59" t="s">
        <v>2905</v>
      </c>
      <c r="AF69" s="59"/>
      <c r="AG69" s="59"/>
      <c r="AH69" s="59"/>
      <c r="AI69" s="59"/>
      <c r="AJ69" s="59"/>
      <c r="AK69" s="59"/>
      <c r="AL69" s="59" t="s">
        <v>2905</v>
      </c>
      <c r="AM69" s="59"/>
      <c r="AN69" s="59"/>
    </row>
    <row r="70" spans="1:40" x14ac:dyDescent="0.25">
      <c r="A70" s="38" t="s">
        <v>1043</v>
      </c>
      <c r="B70" s="57" t="str">
        <f>IF($A70="","",IFERROR(INDEX(Références!$C$2:$C$201,MATCH($A70,Références!$A$2:$A$201,0)),""))</f>
        <v>Pouget (2011)</v>
      </c>
      <c r="C70" s="58">
        <f>IF($A70="","",IFERROR(INDEX(Références!$G$2:$G$201,MATCH($A70,Références!$A$2:$A$201,0)),""))</f>
        <v>5</v>
      </c>
      <c r="D70" s="57" t="str">
        <f>IF($A70="","",IFERROR(INDEX('Lecture détaillée'!$J$5:$J$204,MATCH($A70,'Lecture détaillée'!$A$5:$A$204,0)),""))</f>
        <v>Aucun</v>
      </c>
      <c r="E70" s="59"/>
      <c r="F70" s="59"/>
      <c r="G70" s="59"/>
      <c r="H70" s="59"/>
      <c r="I70" s="59"/>
      <c r="J70" s="59"/>
      <c r="K70" s="59"/>
      <c r="L70" s="59"/>
      <c r="M70" s="59" t="s">
        <v>2905</v>
      </c>
      <c r="N70" s="59"/>
      <c r="O70" s="59"/>
      <c r="P70" s="59"/>
      <c r="Q70" s="59"/>
      <c r="R70" s="59"/>
      <c r="S70" s="59" t="s">
        <v>2905</v>
      </c>
      <c r="T70" s="59"/>
      <c r="U70" s="59"/>
      <c r="V70" s="59"/>
      <c r="W70" s="59"/>
      <c r="X70" s="59"/>
      <c r="Y70" s="59"/>
      <c r="Z70" s="59"/>
      <c r="AA70" s="59"/>
      <c r="AB70" s="59"/>
      <c r="AC70" s="59"/>
      <c r="AD70" s="59"/>
      <c r="AE70" s="59"/>
      <c r="AF70" s="59"/>
      <c r="AG70" s="59"/>
      <c r="AH70" s="59"/>
      <c r="AI70" s="59"/>
      <c r="AJ70" s="59" t="s">
        <v>2905</v>
      </c>
      <c r="AK70" s="59"/>
      <c r="AL70" s="59"/>
      <c r="AM70" s="59"/>
      <c r="AN70" s="59"/>
    </row>
    <row r="71" spans="1:40" x14ac:dyDescent="0.25">
      <c r="A71" s="38" t="s">
        <v>1054</v>
      </c>
      <c r="B71" s="57" t="str">
        <f>IF($A71="","",IFERROR(INDEX(Références!$C$2:$C$201,MATCH($A71,Références!$A$2:$A$201,0)),""))</f>
        <v>Roussel et al. (2019)</v>
      </c>
      <c r="C71" s="58">
        <f>IF($A71="","",IFERROR(INDEX(Références!$G$2:$G$201,MATCH($A71,Références!$A$2:$A$201,0)),""))</f>
        <v>5</v>
      </c>
      <c r="D71" s="57" t="str">
        <f>IF($A71="","",IFERROR(INDEX('Lecture détaillée'!$J$5:$J$204,MATCH($A71,'Lecture détaillée'!$A$5:$A$204,0)),""))</f>
        <v>Complet</v>
      </c>
      <c r="E71" s="59"/>
      <c r="F71" s="59"/>
      <c r="G71" s="59"/>
      <c r="H71" s="59" t="s">
        <v>2905</v>
      </c>
      <c r="I71" s="59"/>
      <c r="J71" s="59"/>
      <c r="K71" s="59"/>
      <c r="L71" s="59"/>
      <c r="M71" s="59" t="s">
        <v>2905</v>
      </c>
      <c r="N71" s="59"/>
      <c r="O71" s="59"/>
      <c r="P71" s="59"/>
      <c r="Q71" s="59"/>
      <c r="R71" s="59"/>
      <c r="S71" s="59" t="s">
        <v>2905</v>
      </c>
      <c r="T71" s="59"/>
      <c r="U71" s="59"/>
      <c r="V71" s="59"/>
      <c r="W71" s="59"/>
      <c r="X71" s="59"/>
      <c r="Y71" s="59"/>
      <c r="Z71" s="59"/>
      <c r="AA71" s="59"/>
      <c r="AB71" s="59" t="s">
        <v>2905</v>
      </c>
      <c r="AC71" s="59"/>
      <c r="AD71" s="59"/>
      <c r="AE71" s="59"/>
      <c r="AF71" s="59"/>
      <c r="AG71" s="59"/>
      <c r="AH71" s="59"/>
      <c r="AI71" s="59" t="s">
        <v>2905</v>
      </c>
      <c r="AJ71" s="59"/>
      <c r="AK71" s="59"/>
      <c r="AL71" s="59"/>
      <c r="AM71" s="59"/>
      <c r="AN71" s="59"/>
    </row>
    <row r="72" spans="1:40" x14ac:dyDescent="0.25">
      <c r="A72" s="38" t="s">
        <v>1066</v>
      </c>
      <c r="B72" s="57" t="str">
        <f>IF($A72="","",IFERROR(INDEX(Références!$C$2:$C$201,MATCH($A72,Références!$A$2:$A$201,0)),""))</f>
        <v>Wang &amp; Al-Qadi (2009)</v>
      </c>
      <c r="C72" s="58">
        <f>IF($A72="","",IFERROR(INDEX(Références!$G$2:$G$201,MATCH($A72,Références!$A$2:$A$201,0)),""))</f>
        <v>5</v>
      </c>
      <c r="D72" s="57" t="str">
        <f>IF($A72="","",IFERROR(INDEX('Lecture détaillée'!$J$5:$J$204,MATCH($A72,'Lecture détaillée'!$A$5:$A$204,0)),""))</f>
        <v>Complet</v>
      </c>
      <c r="E72" s="59" t="s">
        <v>2905</v>
      </c>
      <c r="F72" s="59"/>
      <c r="G72" s="59"/>
      <c r="H72" s="59"/>
      <c r="I72" s="59" t="s">
        <v>2905</v>
      </c>
      <c r="J72" s="59"/>
      <c r="K72" s="59" t="s">
        <v>2905</v>
      </c>
      <c r="L72" s="59"/>
      <c r="M72" s="59" t="s">
        <v>2905</v>
      </c>
      <c r="N72" s="59"/>
      <c r="O72" s="59"/>
      <c r="P72" s="59"/>
      <c r="Q72" s="59"/>
      <c r="R72" s="59"/>
      <c r="S72" s="59" t="s">
        <v>2905</v>
      </c>
      <c r="T72" s="59"/>
      <c r="U72" s="59"/>
      <c r="V72" s="59"/>
      <c r="W72" s="59"/>
      <c r="X72" s="59"/>
      <c r="Y72" s="59"/>
      <c r="Z72" s="59" t="s">
        <v>2905</v>
      </c>
      <c r="AA72" s="59"/>
      <c r="AB72" s="59"/>
      <c r="AC72" s="59"/>
      <c r="AD72" s="59" t="s">
        <v>2905</v>
      </c>
      <c r="AE72" s="59" t="s">
        <v>2905</v>
      </c>
      <c r="AF72" s="59"/>
      <c r="AG72" s="59"/>
      <c r="AH72" s="59"/>
      <c r="AI72" s="59"/>
      <c r="AJ72" s="59"/>
      <c r="AK72" s="59"/>
      <c r="AL72" s="59"/>
      <c r="AM72" s="59"/>
      <c r="AN72" s="59"/>
    </row>
    <row r="73" spans="1:40" x14ac:dyDescent="0.25">
      <c r="A73" s="38" t="s">
        <v>1079</v>
      </c>
      <c r="B73" s="57" t="str">
        <f>IF($A73="","",IFERROR(INDEX(Références!$C$2:$C$201,MATCH($A73,Références!$A$2:$A$201,0)),""))</f>
        <v>Wu et al. (2020)</v>
      </c>
      <c r="C73" s="58">
        <f>IF($A73="","",IFERROR(INDEX(Références!$G$2:$G$201,MATCH($A73,Références!$A$2:$A$201,0)),""))</f>
        <v>5</v>
      </c>
      <c r="D73" s="57" t="str">
        <f>IF($A73="","",IFERROR(INDEX('Lecture détaillée'!$J$5:$J$204,MATCH($A73,'Lecture détaillée'!$A$5:$A$204,0)),""))</f>
        <v>Complet</v>
      </c>
      <c r="E73" s="59" t="s">
        <v>2905</v>
      </c>
      <c r="F73" s="59"/>
      <c r="G73" s="59"/>
      <c r="H73" s="59"/>
      <c r="I73" s="59" t="s">
        <v>2905</v>
      </c>
      <c r="J73" s="59"/>
      <c r="K73" s="59"/>
      <c r="L73" s="59"/>
      <c r="M73" s="59" t="s">
        <v>2905</v>
      </c>
      <c r="N73" s="59"/>
      <c r="O73" s="59"/>
      <c r="P73" s="59"/>
      <c r="Q73" s="59"/>
      <c r="R73" s="59"/>
      <c r="S73" s="59" t="s">
        <v>2905</v>
      </c>
      <c r="T73" s="59"/>
      <c r="U73" s="59"/>
      <c r="V73" s="59"/>
      <c r="W73" s="59"/>
      <c r="X73" s="59"/>
      <c r="Y73" s="59"/>
      <c r="Z73" s="59" t="s">
        <v>2905</v>
      </c>
      <c r="AA73" s="59"/>
      <c r="AB73" s="59"/>
      <c r="AC73" s="59"/>
      <c r="AD73" s="59"/>
      <c r="AE73" s="59" t="s">
        <v>2905</v>
      </c>
      <c r="AF73" s="59"/>
      <c r="AG73" s="59"/>
      <c r="AH73" s="59"/>
      <c r="AI73" s="59" t="s">
        <v>2905</v>
      </c>
      <c r="AJ73" s="59"/>
      <c r="AK73" s="59"/>
      <c r="AL73" s="59"/>
      <c r="AM73" s="59"/>
      <c r="AN73" s="59" t="s">
        <v>2905</v>
      </c>
    </row>
    <row r="74" spans="1:40" x14ac:dyDescent="0.25">
      <c r="A74" s="38" t="s">
        <v>1093</v>
      </c>
      <c r="B74" s="57" t="str">
        <f>IF($A74="","",IFERROR(INDEX(Références!$C$2:$C$201,MATCH($A74,Références!$A$2:$A$201,0)),""))</f>
        <v>Yoo et al. (2006)</v>
      </c>
      <c r="C74" s="58">
        <f>IF($A74="","",IFERROR(INDEX(Références!$G$2:$G$201,MATCH($A74,Références!$A$2:$A$201,0)),""))</f>
        <v>5</v>
      </c>
      <c r="D74" s="57" t="str">
        <f>IF($A74="","",IFERROR(INDEX('Lecture détaillée'!$J$5:$J$204,MATCH($A74,'Lecture détaillée'!$A$5:$A$204,0)),""))</f>
        <v>Complet</v>
      </c>
      <c r="E74" s="59" t="s">
        <v>2905</v>
      </c>
      <c r="F74" s="59"/>
      <c r="G74" s="59"/>
      <c r="H74" s="59"/>
      <c r="I74" s="59"/>
      <c r="J74" s="59" t="s">
        <v>2905</v>
      </c>
      <c r="K74" s="59" t="s">
        <v>2905</v>
      </c>
      <c r="L74" s="59"/>
      <c r="M74" s="59" t="s">
        <v>2905</v>
      </c>
      <c r="N74" s="59"/>
      <c r="O74" s="59"/>
      <c r="P74" s="59"/>
      <c r="Q74" s="59"/>
      <c r="R74" s="59"/>
      <c r="S74" s="59" t="s">
        <v>2905</v>
      </c>
      <c r="T74" s="59"/>
      <c r="U74" s="59"/>
      <c r="V74" s="59"/>
      <c r="W74" s="59"/>
      <c r="X74" s="59"/>
      <c r="Y74" s="59"/>
      <c r="Z74" s="59" t="s">
        <v>2905</v>
      </c>
      <c r="AA74" s="59"/>
      <c r="AB74" s="59"/>
      <c r="AC74" s="59"/>
      <c r="AD74" s="59" t="s">
        <v>2905</v>
      </c>
      <c r="AE74" s="59"/>
      <c r="AF74" s="59"/>
      <c r="AG74" s="59"/>
      <c r="AH74" s="59"/>
      <c r="AI74" s="59" t="s">
        <v>2905</v>
      </c>
      <c r="AJ74" s="59"/>
      <c r="AK74" s="59"/>
      <c r="AL74" s="59" t="s">
        <v>2905</v>
      </c>
      <c r="AM74" s="59"/>
      <c r="AN74" s="59"/>
    </row>
    <row r="75" spans="1:40" x14ac:dyDescent="0.25">
      <c r="A75" s="38" t="s">
        <v>1161</v>
      </c>
      <c r="B75" s="57" t="str">
        <f>IF($A75="","",IFERROR(INDEX(Références!$C$2:$C$201,MATCH($A75,Références!$A$2:$A$201,0)),""))</f>
        <v>Cho et al. (1996)</v>
      </c>
      <c r="C75" s="58">
        <f>IF($A75="","",IFERROR(INDEX(Références!$G$2:$G$201,MATCH($A75,Références!$A$2:$A$201,0)),""))</f>
        <v>5</v>
      </c>
      <c r="D75" s="57" t="str">
        <f>IF($A75="","",IFERROR(INDEX('Lecture détaillée'!$J$5:$J$204,MATCH($A75,'Lecture détaillée'!$A$5:$A$204,0)),""))</f>
        <v>Complet</v>
      </c>
      <c r="E75" s="59"/>
      <c r="F75" s="59"/>
      <c r="G75" s="59"/>
      <c r="H75" s="59" t="s">
        <v>2905</v>
      </c>
      <c r="I75" s="59"/>
      <c r="J75" s="59"/>
      <c r="K75" s="59"/>
      <c r="L75" s="59" t="s">
        <v>2905</v>
      </c>
      <c r="M75" s="59"/>
      <c r="N75" s="59"/>
      <c r="O75" s="59"/>
      <c r="P75" s="59"/>
      <c r="Q75" s="59"/>
      <c r="R75" s="59"/>
      <c r="S75" s="59" t="s">
        <v>2905</v>
      </c>
      <c r="T75" s="59"/>
      <c r="U75" s="59"/>
      <c r="V75" s="59"/>
      <c r="W75" s="59"/>
      <c r="X75" s="59"/>
      <c r="Y75" s="59" t="s">
        <v>2905</v>
      </c>
      <c r="Z75" s="59"/>
      <c r="AA75" s="59"/>
      <c r="AB75" s="59"/>
      <c r="AC75" s="59"/>
      <c r="AD75" s="59"/>
      <c r="AE75" s="59"/>
      <c r="AF75" s="59"/>
      <c r="AG75" s="59"/>
      <c r="AH75" s="59"/>
      <c r="AI75" s="59"/>
      <c r="AJ75" s="59"/>
      <c r="AK75" s="59" t="s">
        <v>2905</v>
      </c>
      <c r="AL75" s="59"/>
      <c r="AM75" s="59"/>
      <c r="AN75" s="59" t="s">
        <v>2905</v>
      </c>
    </row>
    <row r="76" spans="1:40" x14ac:dyDescent="0.25">
      <c r="A76" s="38" t="s">
        <v>1172</v>
      </c>
      <c r="B76" s="57" t="str">
        <f>IF($A76="","",IFERROR(INDEX(Références!$C$2:$C$201,MATCH($A76,Références!$A$2:$A$201,0)),""))</f>
        <v>Pouget et al. (2012)</v>
      </c>
      <c r="C76" s="58">
        <f>IF($A76="","",IFERROR(INDEX(Références!$G$2:$G$201,MATCH($A76,Références!$A$2:$A$201,0)),""))</f>
        <v>5</v>
      </c>
      <c r="D76" s="57" t="str">
        <f>IF($A76="","",IFERROR(INDEX('Lecture détaillée'!$J$5:$J$204,MATCH($A76,'Lecture détaillée'!$A$5:$A$204,0)),""))</f>
        <v>Partiel</v>
      </c>
      <c r="E76" s="59"/>
      <c r="F76" s="59"/>
      <c r="G76" s="59"/>
      <c r="H76" s="59"/>
      <c r="I76" s="59"/>
      <c r="J76" s="59"/>
      <c r="K76" s="59"/>
      <c r="L76" s="59"/>
      <c r="M76" s="59" t="s">
        <v>2905</v>
      </c>
      <c r="N76" s="59"/>
      <c r="O76" s="59"/>
      <c r="P76" s="59"/>
      <c r="Q76" s="59"/>
      <c r="R76" s="59"/>
      <c r="S76" s="59" t="s">
        <v>2905</v>
      </c>
      <c r="T76" s="59"/>
      <c r="U76" s="59"/>
      <c r="V76" s="59"/>
      <c r="W76" s="59"/>
      <c r="X76" s="59"/>
      <c r="Y76" s="59"/>
      <c r="Z76" s="59" t="s">
        <v>2905</v>
      </c>
      <c r="AA76" s="59"/>
      <c r="AB76" s="59"/>
      <c r="AC76" s="59"/>
      <c r="AD76" s="59"/>
      <c r="AE76" s="59"/>
      <c r="AF76" s="59"/>
      <c r="AG76" s="59"/>
      <c r="AH76" s="59"/>
      <c r="AI76" s="59"/>
      <c r="AJ76" s="59" t="s">
        <v>2905</v>
      </c>
      <c r="AK76" s="59"/>
      <c r="AL76" s="59" t="s">
        <v>2905</v>
      </c>
      <c r="AM76" s="59" t="s">
        <v>2905</v>
      </c>
      <c r="AN76" s="59"/>
    </row>
    <row r="77" spans="1:40" x14ac:dyDescent="0.25">
      <c r="A77" s="38" t="s">
        <v>1220</v>
      </c>
      <c r="B77" s="57" t="str">
        <f>IF($A77="","",IFERROR(INDEX(Références!$C$2:$C$201,MATCH($A77,Références!$A$2:$A$201,0)),""))</f>
        <v>Boussinesq (1885)</v>
      </c>
      <c r="C77" s="58">
        <f>IF($A77="","",IFERROR(INDEX(Références!$G$2:$G$201,MATCH($A77,Références!$A$2:$A$201,0)),""))</f>
        <v>5</v>
      </c>
      <c r="D77" s="57" t="str">
        <f>IF($A77="","",IFERROR(INDEX('Lecture détaillée'!$J$5:$J$204,MATCH($A77,'Lecture détaillée'!$A$5:$A$204,0)),""))</f>
        <v>Aucun</v>
      </c>
      <c r="E77" s="59"/>
      <c r="F77" s="59"/>
      <c r="G77" s="59"/>
      <c r="H77" s="59"/>
      <c r="I77" s="59"/>
      <c r="J77" s="59"/>
      <c r="K77" s="59"/>
      <c r="L77" s="59" t="s">
        <v>2905</v>
      </c>
      <c r="M77" s="59"/>
      <c r="N77" s="59"/>
      <c r="O77" s="59"/>
      <c r="P77" s="59"/>
      <c r="Q77" s="59"/>
      <c r="R77" s="59"/>
      <c r="S77" s="59"/>
      <c r="T77" s="59" t="s">
        <v>2905</v>
      </c>
      <c r="U77" s="59"/>
      <c r="V77" s="59"/>
      <c r="W77" s="59"/>
      <c r="X77" s="59"/>
      <c r="Y77" s="59" t="s">
        <v>2905</v>
      </c>
      <c r="Z77" s="59"/>
      <c r="AA77" s="59"/>
      <c r="AB77" s="59"/>
      <c r="AC77" s="59"/>
      <c r="AD77" s="59"/>
      <c r="AE77" s="59"/>
      <c r="AF77" s="59"/>
      <c r="AG77" s="59"/>
      <c r="AH77" s="59"/>
      <c r="AI77" s="59"/>
      <c r="AJ77" s="59" t="s">
        <v>2905</v>
      </c>
      <c r="AK77" s="59"/>
      <c r="AL77" s="59"/>
      <c r="AM77" s="59"/>
      <c r="AN77" s="59"/>
    </row>
    <row r="78" spans="1:40" x14ac:dyDescent="0.25">
      <c r="A78" s="38" t="s">
        <v>1232</v>
      </c>
      <c r="B78" s="57" t="str">
        <f>IF($A78="","",IFERROR(INDEX(Références!$C$2:$C$201,MATCH($A78,Références!$A$2:$A$201,0)),""))</f>
        <v>Cardoso da Silva et al. (2025)</v>
      </c>
      <c r="C78" s="58">
        <f>IF($A78="","",IFERROR(INDEX(Références!$G$2:$G$201,MATCH($A78,Références!$A$2:$A$201,0)),""))</f>
        <v>5</v>
      </c>
      <c r="D78" s="57" t="str">
        <f>IF($A78="","",IFERROR(INDEX('Lecture détaillée'!$J$5:$J$204,MATCH($A78,'Lecture détaillée'!$A$5:$A$204,0)),""))</f>
        <v>Complet</v>
      </c>
      <c r="E78" s="59" t="s">
        <v>2905</v>
      </c>
      <c r="F78" s="59"/>
      <c r="G78" s="59"/>
      <c r="H78" s="59"/>
      <c r="I78" s="59"/>
      <c r="J78" s="59" t="s">
        <v>2905</v>
      </c>
      <c r="K78" s="59" t="s">
        <v>2905</v>
      </c>
      <c r="L78" s="59" t="s">
        <v>2905</v>
      </c>
      <c r="M78" s="59"/>
      <c r="N78" s="59"/>
      <c r="O78" s="59"/>
      <c r="P78" s="59"/>
      <c r="Q78" s="59"/>
      <c r="R78" s="59"/>
      <c r="S78" s="59"/>
      <c r="T78" s="59" t="s">
        <v>2905</v>
      </c>
      <c r="U78" s="59"/>
      <c r="V78" s="59"/>
      <c r="W78" s="59"/>
      <c r="X78" s="59"/>
      <c r="Y78" s="59"/>
      <c r="Z78" s="59" t="s">
        <v>2905</v>
      </c>
      <c r="AA78" s="59"/>
      <c r="AB78" s="59"/>
      <c r="AC78" s="59"/>
      <c r="AD78" s="59" t="s">
        <v>2905</v>
      </c>
      <c r="AE78" s="59"/>
      <c r="AF78" s="59"/>
      <c r="AG78" s="59" t="s">
        <v>2905</v>
      </c>
      <c r="AH78" s="59"/>
      <c r="AI78" s="59"/>
      <c r="AJ78" s="59"/>
      <c r="AK78" s="59"/>
      <c r="AL78" s="59"/>
      <c r="AM78" s="59"/>
      <c r="AN78" s="59"/>
    </row>
    <row r="79" spans="1:40" x14ac:dyDescent="0.25">
      <c r="A79" s="38" t="s">
        <v>1245</v>
      </c>
      <c r="B79" s="57" t="str">
        <f>IF($A79="","",IFERROR(INDEX(Références!$C$2:$C$201,MATCH($A79,Références!$A$2:$A$201,0)),""))</f>
        <v>Chabot et al. (2010)</v>
      </c>
      <c r="C79" s="58">
        <f>IF($A79="","",IFERROR(INDEX(Références!$G$2:$G$201,MATCH($A79,Références!$A$2:$A$201,0)),""))</f>
        <v>5</v>
      </c>
      <c r="D79" s="57" t="str">
        <f>IF($A79="","",IFERROR(INDEX('Lecture détaillée'!$J$5:$J$204,MATCH($A79,'Lecture détaillée'!$A$5:$A$204,0)),""))</f>
        <v>Complet</v>
      </c>
      <c r="E79" s="59"/>
      <c r="F79" s="59" t="s">
        <v>2905</v>
      </c>
      <c r="G79" s="59"/>
      <c r="H79" s="59" t="s">
        <v>2905</v>
      </c>
      <c r="I79" s="59"/>
      <c r="J79" s="59"/>
      <c r="K79" s="59"/>
      <c r="L79" s="59"/>
      <c r="M79" s="59" t="s">
        <v>2905</v>
      </c>
      <c r="N79" s="59"/>
      <c r="O79" s="59"/>
      <c r="P79" s="59"/>
      <c r="Q79" s="59"/>
      <c r="R79" s="59"/>
      <c r="S79" s="59"/>
      <c r="T79" s="59" t="s">
        <v>2905</v>
      </c>
      <c r="U79" s="59" t="s">
        <v>2905</v>
      </c>
      <c r="V79" s="59"/>
      <c r="W79" s="59"/>
      <c r="X79" s="59"/>
      <c r="Y79" s="59"/>
      <c r="Z79" s="59" t="s">
        <v>2905</v>
      </c>
      <c r="AA79" s="59"/>
      <c r="AB79" s="59"/>
      <c r="AC79" s="59"/>
      <c r="AD79" s="59"/>
      <c r="AE79" s="59" t="s">
        <v>2905</v>
      </c>
      <c r="AF79" s="59"/>
      <c r="AG79" s="59"/>
      <c r="AH79" s="59"/>
      <c r="AI79" s="59"/>
      <c r="AJ79" s="59"/>
      <c r="AK79" s="59"/>
      <c r="AL79" s="59"/>
      <c r="AM79" s="59"/>
      <c r="AN79" s="59"/>
    </row>
    <row r="80" spans="1:40" x14ac:dyDescent="0.25">
      <c r="A80" s="38" t="s">
        <v>1257</v>
      </c>
      <c r="B80" s="57" t="str">
        <f>IF($A80="","",IFERROR(INDEX(Références!$C$2:$C$201,MATCH($A80,Références!$A$2:$A$201,0)),""))</f>
        <v>Liu et al. (2000)</v>
      </c>
      <c r="C80" s="58">
        <f>IF($A80="","",IFERROR(INDEX(Références!$G$2:$G$201,MATCH($A80,Références!$A$2:$A$201,0)),""))</f>
        <v>5</v>
      </c>
      <c r="D80" s="57" t="str">
        <f>IF($A80="","",IFERROR(INDEX('Lecture détaillée'!$J$5:$J$204,MATCH($A80,'Lecture détaillée'!$A$5:$A$204,0)),""))</f>
        <v>Complet</v>
      </c>
      <c r="E80" s="59"/>
      <c r="F80" s="59"/>
      <c r="G80" s="59"/>
      <c r="H80" s="59"/>
      <c r="I80" s="59"/>
      <c r="J80" s="59" t="s">
        <v>2905</v>
      </c>
      <c r="K80" s="59"/>
      <c r="L80" s="59" t="s">
        <v>2905</v>
      </c>
      <c r="M80" s="59"/>
      <c r="N80" s="59"/>
      <c r="O80" s="59"/>
      <c r="P80" s="59"/>
      <c r="Q80" s="59"/>
      <c r="R80" s="59"/>
      <c r="S80" s="59"/>
      <c r="T80" s="59" t="s">
        <v>2905</v>
      </c>
      <c r="U80" s="59"/>
      <c r="V80" s="59"/>
      <c r="W80" s="59"/>
      <c r="X80" s="59"/>
      <c r="Y80" s="59" t="s">
        <v>2905</v>
      </c>
      <c r="Z80" s="59"/>
      <c r="AA80" s="59"/>
      <c r="AB80" s="59"/>
      <c r="AC80" s="59" t="s">
        <v>2905</v>
      </c>
      <c r="AD80" s="59"/>
      <c r="AE80" s="59"/>
      <c r="AF80" s="59"/>
      <c r="AG80" s="59"/>
      <c r="AH80" s="59"/>
      <c r="AI80" s="59"/>
      <c r="AJ80" s="59" t="s">
        <v>2905</v>
      </c>
      <c r="AK80" s="59"/>
      <c r="AL80" s="59"/>
      <c r="AM80" s="59"/>
      <c r="AN80" s="59" t="s">
        <v>2905</v>
      </c>
    </row>
    <row r="81" spans="1:40" x14ac:dyDescent="0.25">
      <c r="A81" s="38" t="s">
        <v>1270</v>
      </c>
      <c r="B81" s="57" t="str">
        <f>IF($A81="","",IFERROR(INDEX(Références!$C$2:$C$201,MATCH($A81,Références!$A$2:$A$201,0)),""))</f>
        <v>Al-Khoury et al. (2001)</v>
      </c>
      <c r="C81" s="58">
        <f>IF($A81="","",IFERROR(INDEX(Références!$G$2:$G$201,MATCH($A81,Références!$A$2:$A$201,0)),""))</f>
        <v>5</v>
      </c>
      <c r="D81" s="57" t="str">
        <f>IF($A81="","",IFERROR(INDEX('Lecture détaillée'!$J$5:$J$204,MATCH($A81,'Lecture détaillée'!$A$5:$A$204,0)),""))</f>
        <v>Complet</v>
      </c>
      <c r="E81" s="59"/>
      <c r="F81" s="59"/>
      <c r="G81" s="59"/>
      <c r="H81" s="59" t="s">
        <v>2905</v>
      </c>
      <c r="I81" s="59"/>
      <c r="J81" s="59"/>
      <c r="K81" s="59"/>
      <c r="L81" s="59" t="s">
        <v>2905</v>
      </c>
      <c r="M81" s="59"/>
      <c r="N81" s="59"/>
      <c r="O81" s="59"/>
      <c r="P81" s="59"/>
      <c r="Q81" s="59"/>
      <c r="R81" s="59"/>
      <c r="S81" s="59"/>
      <c r="T81" s="59"/>
      <c r="U81" s="59" t="s">
        <v>2905</v>
      </c>
      <c r="V81" s="59"/>
      <c r="W81" s="59"/>
      <c r="X81" s="59"/>
      <c r="Y81" s="59"/>
      <c r="Z81" s="59"/>
      <c r="AA81" s="59"/>
      <c r="AB81" s="59" t="s">
        <v>2905</v>
      </c>
      <c r="AC81" s="59"/>
      <c r="AD81" s="59"/>
      <c r="AE81" s="59"/>
      <c r="AF81" s="59"/>
      <c r="AG81" s="59"/>
      <c r="AH81" s="59"/>
      <c r="AI81" s="59" t="s">
        <v>2905</v>
      </c>
      <c r="AJ81" s="59"/>
      <c r="AK81" s="59"/>
      <c r="AL81" s="59"/>
      <c r="AM81" s="59"/>
      <c r="AN81" s="59"/>
    </row>
    <row r="82" spans="1:40" x14ac:dyDescent="0.25">
      <c r="A82" s="38" t="s">
        <v>1281</v>
      </c>
      <c r="B82" s="57" t="str">
        <f>IF($A82="","",IFERROR(INDEX(Références!$C$2:$C$201,MATCH($A82,Références!$A$2:$A$201,0)),""))</f>
        <v>Hopman (1996)</v>
      </c>
      <c r="C82" s="58">
        <f>IF($A82="","",IFERROR(INDEX(Références!$G$2:$G$201,MATCH($A82,Références!$A$2:$A$201,0)),""))</f>
        <v>5</v>
      </c>
      <c r="D82" s="57" t="str">
        <f>IF($A82="","",IFERROR(INDEX('Lecture détaillée'!$J$5:$J$204,MATCH($A82,'Lecture détaillée'!$A$5:$A$204,0)),""))</f>
        <v>Complet</v>
      </c>
      <c r="E82" s="59"/>
      <c r="F82" s="59"/>
      <c r="G82" s="59"/>
      <c r="H82" s="59" t="s">
        <v>2905</v>
      </c>
      <c r="I82" s="59"/>
      <c r="J82" s="59"/>
      <c r="K82" s="59"/>
      <c r="L82" s="59"/>
      <c r="M82" s="59" t="s">
        <v>2905</v>
      </c>
      <c r="N82" s="59"/>
      <c r="O82" s="59"/>
      <c r="P82" s="59"/>
      <c r="Q82" s="59"/>
      <c r="R82" s="59"/>
      <c r="S82" s="59"/>
      <c r="T82" s="59" t="s">
        <v>2905</v>
      </c>
      <c r="U82" s="59" t="s">
        <v>2905</v>
      </c>
      <c r="V82" s="59"/>
      <c r="W82" s="59"/>
      <c r="X82" s="59"/>
      <c r="Y82" s="59"/>
      <c r="Z82" s="59" t="s">
        <v>2905</v>
      </c>
      <c r="AA82" s="59"/>
      <c r="AB82" s="59"/>
      <c r="AC82" s="59"/>
      <c r="AD82" s="59"/>
      <c r="AE82" s="59"/>
      <c r="AF82" s="59"/>
      <c r="AG82" s="59"/>
      <c r="AH82" s="59"/>
      <c r="AI82" s="59"/>
      <c r="AJ82" s="59" t="s">
        <v>2905</v>
      </c>
      <c r="AK82" s="59"/>
      <c r="AL82" s="59"/>
      <c r="AM82" s="59"/>
      <c r="AN82" s="59"/>
    </row>
    <row r="83" spans="1:40" x14ac:dyDescent="0.25">
      <c r="A83" s="38" t="s">
        <v>1291</v>
      </c>
      <c r="B83" s="57" t="str">
        <f>IF($A83="","",IFERROR(INDEX(Références!$C$2:$C$201,MATCH($A83,Références!$A$2:$A$201,0)),""))</f>
        <v>Jacq et al. (2002)</v>
      </c>
      <c r="C83" s="58">
        <f>IF($A83="","",IFERROR(INDEX(Références!$G$2:$G$201,MATCH($A83,Références!$A$2:$A$201,0)),""))</f>
        <v>5</v>
      </c>
      <c r="D83" s="57" t="str">
        <f>IF($A83="","",IFERROR(INDEX('Lecture détaillée'!$J$5:$J$204,MATCH($A83,'Lecture détaillée'!$A$5:$A$204,0)),""))</f>
        <v>Complet</v>
      </c>
      <c r="E83" s="59"/>
      <c r="F83" s="59"/>
      <c r="G83" s="59"/>
      <c r="H83" s="59"/>
      <c r="I83" s="59"/>
      <c r="J83" s="59" t="s">
        <v>2905</v>
      </c>
      <c r="K83" s="59"/>
      <c r="L83" s="59"/>
      <c r="M83" s="59"/>
      <c r="N83" s="59"/>
      <c r="O83" s="59"/>
      <c r="P83" s="59"/>
      <c r="Q83" s="59"/>
      <c r="R83" s="59"/>
      <c r="S83" s="59"/>
      <c r="T83" s="59" t="s">
        <v>2905</v>
      </c>
      <c r="U83" s="59"/>
      <c r="V83" s="59"/>
      <c r="W83" s="59"/>
      <c r="X83" s="59"/>
      <c r="Y83" s="59" t="s">
        <v>2905</v>
      </c>
      <c r="Z83" s="59" t="s">
        <v>2905</v>
      </c>
      <c r="AA83" s="59"/>
      <c r="AB83" s="59"/>
      <c r="AC83" s="59" t="s">
        <v>2905</v>
      </c>
      <c r="AD83" s="59"/>
      <c r="AE83" s="59"/>
      <c r="AF83" s="59"/>
      <c r="AG83" s="59"/>
      <c r="AH83" s="59"/>
      <c r="AI83" s="59"/>
      <c r="AJ83" s="59" t="s">
        <v>2905</v>
      </c>
      <c r="AK83" s="59"/>
      <c r="AL83" s="59"/>
      <c r="AM83" s="59" t="s">
        <v>2905</v>
      </c>
      <c r="AN83" s="59"/>
    </row>
    <row r="84" spans="1:40" x14ac:dyDescent="0.25">
      <c r="A84" s="38" t="s">
        <v>1305</v>
      </c>
      <c r="B84" s="57" t="str">
        <f>IF($A84="","",IFERROR(INDEX(Références!$C$2:$C$201,MATCH($A84,Références!$A$2:$A$201,0)),""))</f>
        <v>Johnson (1985)</v>
      </c>
      <c r="C84" s="58">
        <f>IF($A84="","",IFERROR(INDEX(Références!$G$2:$G$201,MATCH($A84,Références!$A$2:$A$201,0)),""))</f>
        <v>5</v>
      </c>
      <c r="D84" s="57" t="str">
        <f>IF($A84="","",IFERROR(INDEX('Lecture détaillée'!$J$5:$J$204,MATCH($A84,'Lecture détaillée'!$A$5:$A$204,0)),""))</f>
        <v>Aucun</v>
      </c>
      <c r="E84" s="59"/>
      <c r="F84" s="59"/>
      <c r="G84" s="59"/>
      <c r="H84" s="59"/>
      <c r="I84" s="59"/>
      <c r="J84" s="59"/>
      <c r="K84" s="59" t="s">
        <v>2905</v>
      </c>
      <c r="L84" s="59" t="s">
        <v>2905</v>
      </c>
      <c r="M84" s="59" t="s">
        <v>2905</v>
      </c>
      <c r="N84" s="59"/>
      <c r="O84" s="59"/>
      <c r="P84" s="59"/>
      <c r="Q84" s="59"/>
      <c r="R84" s="59"/>
      <c r="S84" s="59"/>
      <c r="T84" s="59"/>
      <c r="U84" s="59"/>
      <c r="V84" s="59"/>
      <c r="W84" s="59"/>
      <c r="X84" s="59" t="s">
        <v>2905</v>
      </c>
      <c r="Y84" s="59"/>
      <c r="Z84" s="59"/>
      <c r="AA84" s="59"/>
      <c r="AB84" s="59"/>
      <c r="AC84" s="59" t="s">
        <v>2905</v>
      </c>
      <c r="AD84" s="59"/>
      <c r="AE84" s="59"/>
      <c r="AF84" s="59"/>
      <c r="AG84" s="59"/>
      <c r="AH84" s="59"/>
      <c r="AI84" s="59"/>
      <c r="AJ84" s="59" t="s">
        <v>2905</v>
      </c>
      <c r="AK84" s="59"/>
      <c r="AL84" s="59"/>
      <c r="AM84" s="59"/>
      <c r="AN84" s="59"/>
    </row>
    <row r="85" spans="1:40" x14ac:dyDescent="0.25">
      <c r="A85" s="38" t="s">
        <v>1316</v>
      </c>
      <c r="B85" s="57" t="str">
        <f>IF($A85="","",IFERROR(INDEX(Références!$C$2:$C$201,MATCH($A85,Références!$A$2:$A$201,0)),""))</f>
        <v>Love (1929)</v>
      </c>
      <c r="C85" s="58">
        <f>IF($A85="","",IFERROR(INDEX(Références!$G$2:$G$201,MATCH($A85,Références!$A$2:$A$201,0)),""))</f>
        <v>5</v>
      </c>
      <c r="D85" s="57" t="str">
        <f>IF($A85="","",IFERROR(INDEX('Lecture détaillée'!$J$5:$J$204,MATCH($A85,'Lecture détaillée'!$A$5:$A$204,0)),""))</f>
        <v>Complet</v>
      </c>
      <c r="E85" s="59"/>
      <c r="F85" s="59"/>
      <c r="G85" s="59"/>
      <c r="H85" s="59" t="s">
        <v>2905</v>
      </c>
      <c r="I85" s="59"/>
      <c r="J85" s="59"/>
      <c r="K85" s="59"/>
      <c r="L85" s="59" t="s">
        <v>2905</v>
      </c>
      <c r="M85" s="59"/>
      <c r="N85" s="59"/>
      <c r="O85" s="59"/>
      <c r="P85" s="59"/>
      <c r="Q85" s="59"/>
      <c r="R85" s="59"/>
      <c r="S85" s="59"/>
      <c r="T85" s="59" t="s">
        <v>2905</v>
      </c>
      <c r="U85" s="59"/>
      <c r="V85" s="59"/>
      <c r="W85" s="59"/>
      <c r="X85" s="59"/>
      <c r="Y85" s="59" t="s">
        <v>2905</v>
      </c>
      <c r="Z85" s="59"/>
      <c r="AA85" s="59"/>
      <c r="AB85" s="59"/>
      <c r="AC85" s="59"/>
      <c r="AD85" s="59"/>
      <c r="AE85" s="59"/>
      <c r="AF85" s="59"/>
      <c r="AG85" s="59"/>
      <c r="AH85" s="59"/>
      <c r="AI85" s="59"/>
      <c r="AJ85" s="59" t="s">
        <v>2905</v>
      </c>
      <c r="AK85" s="59"/>
      <c r="AL85" s="59"/>
      <c r="AM85" s="59"/>
      <c r="AN85" s="59"/>
    </row>
    <row r="86" spans="1:40" x14ac:dyDescent="0.25">
      <c r="A86" s="38" t="s">
        <v>1329</v>
      </c>
      <c r="B86" s="57" t="str">
        <f>IF($A86="","",IFERROR(INDEX(Références!$C$2:$C$201,MATCH($A86,Références!$A$2:$A$201,0)),""))</f>
        <v>Manyo et al. (2021)</v>
      </c>
      <c r="C86" s="58">
        <f>IF($A86="","",IFERROR(INDEX(Références!$G$2:$G$201,MATCH($A86,Références!$A$2:$A$201,0)),""))</f>
        <v>5</v>
      </c>
      <c r="D86" s="57" t="str">
        <f>IF($A86="","",IFERROR(INDEX('Lecture détaillée'!$J$5:$J$204,MATCH($A86,'Lecture détaillée'!$A$5:$A$204,0)),""))</f>
        <v>Complet</v>
      </c>
      <c r="E86" s="59" t="s">
        <v>2905</v>
      </c>
      <c r="F86" s="59"/>
      <c r="G86" s="59"/>
      <c r="H86" s="59"/>
      <c r="I86" s="59"/>
      <c r="J86" s="59" t="s">
        <v>2905</v>
      </c>
      <c r="K86" s="59" t="s">
        <v>2905</v>
      </c>
      <c r="L86" s="59" t="s">
        <v>2905</v>
      </c>
      <c r="M86" s="59"/>
      <c r="N86" s="59"/>
      <c r="O86" s="59"/>
      <c r="P86" s="59"/>
      <c r="Q86" s="59"/>
      <c r="R86" s="59"/>
      <c r="S86" s="59"/>
      <c r="T86" s="59" t="s">
        <v>2905</v>
      </c>
      <c r="U86" s="59"/>
      <c r="V86" s="59"/>
      <c r="W86" s="59"/>
      <c r="X86" s="59"/>
      <c r="Y86" s="59"/>
      <c r="Z86" s="59" t="s">
        <v>2905</v>
      </c>
      <c r="AA86" s="59"/>
      <c r="AB86" s="59"/>
      <c r="AC86" s="59"/>
      <c r="AD86" s="59" t="s">
        <v>2905</v>
      </c>
      <c r="AE86" s="59"/>
      <c r="AF86" s="59"/>
      <c r="AG86" s="59" t="s">
        <v>2905</v>
      </c>
      <c r="AH86" s="59"/>
      <c r="AI86" s="59"/>
      <c r="AJ86" s="59"/>
      <c r="AK86" s="59"/>
      <c r="AL86" s="59"/>
      <c r="AM86" s="59"/>
      <c r="AN86" s="59"/>
    </row>
    <row r="87" spans="1:40" x14ac:dyDescent="0.25">
      <c r="A87" s="38" t="s">
        <v>1341</v>
      </c>
      <c r="B87" s="57" t="str">
        <f>IF($A87="","",IFERROR(INDEX(Références!$C$2:$C$201,MATCH($A87,Références!$A$2:$A$201,0)),""))</f>
        <v>Roussel et al. (2020)</v>
      </c>
      <c r="C87" s="58">
        <f>IF($A87="","",IFERROR(INDEX(Références!$G$2:$G$201,MATCH($A87,Références!$A$2:$A$201,0)),""))</f>
        <v>5</v>
      </c>
      <c r="D87" s="57" t="str">
        <f>IF($A87="","",IFERROR(INDEX('Lecture détaillée'!$J$5:$J$204,MATCH($A87,'Lecture détaillée'!$A$5:$A$204,0)),""))</f>
        <v>Complet</v>
      </c>
      <c r="E87" s="59"/>
      <c r="F87" s="59"/>
      <c r="G87" s="59"/>
      <c r="H87" s="59" t="s">
        <v>2905</v>
      </c>
      <c r="I87" s="59"/>
      <c r="J87" s="59"/>
      <c r="K87" s="59"/>
      <c r="L87" s="59"/>
      <c r="M87" s="59" t="s">
        <v>2905</v>
      </c>
      <c r="N87" s="59"/>
      <c r="O87" s="59"/>
      <c r="P87" s="59"/>
      <c r="Q87" s="59"/>
      <c r="R87" s="59"/>
      <c r="S87" s="59"/>
      <c r="T87" s="59"/>
      <c r="U87" s="59" t="s">
        <v>2905</v>
      </c>
      <c r="V87" s="59"/>
      <c r="W87" s="59"/>
      <c r="X87" s="59"/>
      <c r="Y87" s="59"/>
      <c r="Z87" s="59"/>
      <c r="AA87" s="59"/>
      <c r="AB87" s="59" t="s">
        <v>2905</v>
      </c>
      <c r="AC87" s="59"/>
      <c r="AD87" s="59"/>
      <c r="AE87" s="59"/>
      <c r="AF87" s="59"/>
      <c r="AG87" s="59"/>
      <c r="AH87" s="59"/>
      <c r="AI87" s="59" t="s">
        <v>2905</v>
      </c>
      <c r="AJ87" s="59"/>
      <c r="AK87" s="59"/>
      <c r="AL87" s="59"/>
      <c r="AM87" s="59"/>
      <c r="AN87" s="59"/>
    </row>
    <row r="88" spans="1:40" x14ac:dyDescent="0.25">
      <c r="A88" s="38" t="s">
        <v>1356</v>
      </c>
      <c r="B88" s="57" t="str">
        <f>IF($A88="","",IFERROR(INDEX(Références!$C$2:$C$201,MATCH($A88,Références!$A$2:$A$201,0)),""))</f>
        <v>Siddharthan et al. (1998)</v>
      </c>
      <c r="C88" s="58">
        <f>IF($A88="","",IFERROR(INDEX(Références!$G$2:$G$201,MATCH($A88,Références!$A$2:$A$201,0)),""))</f>
        <v>5</v>
      </c>
      <c r="D88" s="57" t="str">
        <f>IF($A88="","",IFERROR(INDEX('Lecture détaillée'!$J$5:$J$204,MATCH($A88,'Lecture détaillée'!$A$5:$A$204,0)),""))</f>
        <v>Complet</v>
      </c>
      <c r="E88" s="59" t="s">
        <v>2905</v>
      </c>
      <c r="F88" s="59"/>
      <c r="G88" s="59"/>
      <c r="H88" s="59"/>
      <c r="I88" s="59" t="s">
        <v>2905</v>
      </c>
      <c r="J88" s="59"/>
      <c r="K88" s="59" t="s">
        <v>2905</v>
      </c>
      <c r="L88" s="59"/>
      <c r="M88" s="59" t="s">
        <v>2905</v>
      </c>
      <c r="N88" s="59"/>
      <c r="O88" s="59"/>
      <c r="P88" s="59"/>
      <c r="Q88" s="59"/>
      <c r="R88" s="59"/>
      <c r="S88" s="59"/>
      <c r="T88" s="59" t="s">
        <v>2905</v>
      </c>
      <c r="U88" s="59"/>
      <c r="V88" s="59"/>
      <c r="W88" s="59"/>
      <c r="X88" s="59"/>
      <c r="Y88" s="59"/>
      <c r="Z88" s="59" t="s">
        <v>2905</v>
      </c>
      <c r="AA88" s="59"/>
      <c r="AB88" s="59"/>
      <c r="AC88" s="59"/>
      <c r="AD88" s="59"/>
      <c r="AE88" s="59" t="s">
        <v>2905</v>
      </c>
      <c r="AF88" s="59"/>
      <c r="AG88" s="59"/>
      <c r="AH88" s="59"/>
      <c r="AI88" s="59"/>
      <c r="AJ88" s="59"/>
      <c r="AK88" s="59"/>
      <c r="AL88" s="59"/>
      <c r="AM88" s="59"/>
      <c r="AN88" s="59"/>
    </row>
    <row r="89" spans="1:40" x14ac:dyDescent="0.25">
      <c r="A89" s="38" t="s">
        <v>1366</v>
      </c>
      <c r="B89" s="57" t="str">
        <f>IF($A89="","",IFERROR(INDEX(Références!$C$2:$C$201,MATCH($A89,Références!$A$2:$A$201,0)),""))</f>
        <v>Siddharthan et al. (2002)</v>
      </c>
      <c r="C89" s="58">
        <f>IF($A89="","",IFERROR(INDEX(Références!$G$2:$G$201,MATCH($A89,Références!$A$2:$A$201,0)),""))</f>
        <v>5</v>
      </c>
      <c r="D89" s="57" t="str">
        <f>IF($A89="","",IFERROR(INDEX('Lecture détaillée'!$J$5:$J$204,MATCH($A89,'Lecture détaillée'!$A$5:$A$204,0)),""))</f>
        <v>Complet</v>
      </c>
      <c r="E89" s="59" t="s">
        <v>2905</v>
      </c>
      <c r="F89" s="59"/>
      <c r="G89" s="59"/>
      <c r="H89" s="59"/>
      <c r="I89" s="59"/>
      <c r="J89" s="59" t="s">
        <v>2905</v>
      </c>
      <c r="K89" s="59" t="s">
        <v>2905</v>
      </c>
      <c r="L89" s="59"/>
      <c r="M89" s="59"/>
      <c r="N89" s="59"/>
      <c r="O89" s="59"/>
      <c r="P89" s="59"/>
      <c r="Q89" s="59"/>
      <c r="R89" s="59"/>
      <c r="S89" s="59"/>
      <c r="T89" s="59" t="s">
        <v>2905</v>
      </c>
      <c r="U89" s="59"/>
      <c r="V89" s="59"/>
      <c r="W89" s="59"/>
      <c r="X89" s="59"/>
      <c r="Y89" s="59"/>
      <c r="Z89" s="59" t="s">
        <v>2905</v>
      </c>
      <c r="AA89" s="59"/>
      <c r="AB89" s="59"/>
      <c r="AC89" s="59"/>
      <c r="AD89" s="59"/>
      <c r="AE89" s="59" t="s">
        <v>2905</v>
      </c>
      <c r="AF89" s="59" t="s">
        <v>2905</v>
      </c>
      <c r="AG89" s="59"/>
      <c r="AH89" s="59"/>
      <c r="AI89" s="59"/>
      <c r="AJ89" s="59"/>
      <c r="AK89" s="59"/>
      <c r="AL89" s="59" t="s">
        <v>2905</v>
      </c>
      <c r="AM89" s="59"/>
      <c r="AN89" s="59"/>
    </row>
    <row r="90" spans="1:40" x14ac:dyDescent="0.25">
      <c r="A90" s="38" t="s">
        <v>1377</v>
      </c>
      <c r="B90" s="57" t="str">
        <f>IF($A90="","",IFERROR(INDEX(Références!$C$2:$C$201,MATCH($A90,Références!$A$2:$A$201,0)),""))</f>
        <v>Chupin et al. (2010)</v>
      </c>
      <c r="C90" s="58">
        <f>IF($A90="","",IFERROR(INDEX(Références!$G$2:$G$201,MATCH($A90,Références!$A$2:$A$201,0)),""))</f>
        <v>5</v>
      </c>
      <c r="D90" s="57" t="str">
        <f>IF($A90="","",IFERROR(INDEX('Lecture détaillée'!$J$5:$J$204,MATCH($A90,'Lecture détaillée'!$A$5:$A$204,0)),""))</f>
        <v>Complet</v>
      </c>
      <c r="E90" s="59"/>
      <c r="F90" s="59"/>
      <c r="G90" s="59"/>
      <c r="H90" s="59" t="s">
        <v>2905</v>
      </c>
      <c r="I90" s="59"/>
      <c r="J90" s="59"/>
      <c r="K90" s="59"/>
      <c r="L90" s="59"/>
      <c r="M90" s="59" t="s">
        <v>2905</v>
      </c>
      <c r="N90" s="59"/>
      <c r="O90" s="59"/>
      <c r="P90" s="59"/>
      <c r="Q90" s="59"/>
      <c r="R90" s="59"/>
      <c r="S90" s="59"/>
      <c r="T90" s="59" t="s">
        <v>2905</v>
      </c>
      <c r="U90" s="59" t="s">
        <v>2905</v>
      </c>
      <c r="V90" s="59"/>
      <c r="W90" s="59"/>
      <c r="X90" s="59"/>
      <c r="Y90" s="59"/>
      <c r="Z90" s="59" t="s">
        <v>2905</v>
      </c>
      <c r="AA90" s="59"/>
      <c r="AB90" s="59"/>
      <c r="AC90" s="59"/>
      <c r="AD90" s="59"/>
      <c r="AE90" s="59"/>
      <c r="AF90" s="59"/>
      <c r="AG90" s="59"/>
      <c r="AH90" s="59"/>
      <c r="AI90" s="59" t="s">
        <v>2905</v>
      </c>
      <c r="AJ90" s="59" t="s">
        <v>2905</v>
      </c>
      <c r="AK90" s="59"/>
      <c r="AL90" s="59"/>
      <c r="AM90" s="59"/>
      <c r="AN90" s="59" t="s">
        <v>2905</v>
      </c>
    </row>
    <row r="91" spans="1:40" x14ac:dyDescent="0.25">
      <c r="A91" s="38" t="s">
        <v>1389</v>
      </c>
      <c r="B91" s="57" t="str">
        <f>IF($A91="","",IFERROR(INDEX(Références!$C$2:$C$201,MATCH($A91,Références!$A$2:$A$201,0)),""))</f>
        <v>Duhamel et al. (2005)</v>
      </c>
      <c r="C91" s="58">
        <f>IF($A91="","",IFERROR(INDEX(Références!$G$2:$G$201,MATCH($A91,Références!$A$2:$A$201,0)),""))</f>
        <v>5</v>
      </c>
      <c r="D91" s="57" t="str">
        <f>IF($A91="","",IFERROR(INDEX('Lecture détaillée'!$J$5:$J$204,MATCH($A91,'Lecture détaillée'!$A$5:$A$204,0)),""))</f>
        <v>Aucun</v>
      </c>
      <c r="E91" s="59"/>
      <c r="F91" s="59"/>
      <c r="G91" s="59"/>
      <c r="H91" s="59"/>
      <c r="I91" s="59"/>
      <c r="J91" s="59"/>
      <c r="K91" s="59"/>
      <c r="L91" s="59"/>
      <c r="M91" s="59" t="s">
        <v>2905</v>
      </c>
      <c r="N91" s="59"/>
      <c r="O91" s="59"/>
      <c r="P91" s="59"/>
      <c r="Q91" s="59"/>
      <c r="R91" s="59"/>
      <c r="S91" s="59"/>
      <c r="T91" s="59" t="s">
        <v>2905</v>
      </c>
      <c r="U91" s="59"/>
      <c r="V91" s="59"/>
      <c r="W91" s="59"/>
      <c r="X91" s="59"/>
      <c r="Y91" s="59"/>
      <c r="Z91" s="59" t="s">
        <v>2905</v>
      </c>
      <c r="AA91" s="59"/>
      <c r="AB91" s="59"/>
      <c r="AC91" s="59"/>
      <c r="AD91" s="59"/>
      <c r="AE91" s="59"/>
      <c r="AF91" s="59"/>
      <c r="AG91" s="59"/>
      <c r="AH91" s="59"/>
      <c r="AI91" s="59"/>
      <c r="AJ91" s="59" t="s">
        <v>2905</v>
      </c>
      <c r="AK91" s="59"/>
      <c r="AL91" s="59"/>
      <c r="AM91" s="59"/>
      <c r="AN91" s="59"/>
    </row>
    <row r="92" spans="1:40" x14ac:dyDescent="0.25">
      <c r="A92" s="38" t="s">
        <v>1402</v>
      </c>
      <c r="B92" s="57" t="str">
        <f>IF($A92="","",IFERROR(INDEX(Références!$C$2:$C$201,MATCH($A92,Références!$A$2:$A$201,0)),""))</f>
        <v>Grenier et al. (2009)</v>
      </c>
      <c r="C92" s="58">
        <f>IF($A92="","",IFERROR(INDEX(Références!$G$2:$G$201,MATCH($A92,Références!$A$2:$A$201,0)),""))</f>
        <v>5</v>
      </c>
      <c r="D92" s="57" t="str">
        <f>IF($A92="","",IFERROR(INDEX('Lecture détaillée'!$J$5:$J$204,MATCH($A92,'Lecture détaillée'!$A$5:$A$204,0)),""))</f>
        <v>Complet</v>
      </c>
      <c r="E92" s="59"/>
      <c r="F92" s="59"/>
      <c r="G92" s="59"/>
      <c r="H92" s="59" t="s">
        <v>2905</v>
      </c>
      <c r="I92" s="59"/>
      <c r="J92" s="59"/>
      <c r="K92" s="59"/>
      <c r="L92" s="59"/>
      <c r="M92" s="59" t="s">
        <v>2905</v>
      </c>
      <c r="N92" s="59"/>
      <c r="O92" s="59"/>
      <c r="P92" s="59"/>
      <c r="Q92" s="59"/>
      <c r="R92" s="59"/>
      <c r="S92" s="59"/>
      <c r="T92" s="59"/>
      <c r="U92" s="59" t="s">
        <v>2905</v>
      </c>
      <c r="V92" s="59"/>
      <c r="W92" s="59"/>
      <c r="X92" s="59"/>
      <c r="Y92" s="59"/>
      <c r="Z92" s="59"/>
      <c r="AA92" s="59"/>
      <c r="AB92" s="59" t="s">
        <v>2905</v>
      </c>
      <c r="AC92" s="59"/>
      <c r="AD92" s="59"/>
      <c r="AE92" s="59"/>
      <c r="AF92" s="59"/>
      <c r="AG92" s="59"/>
      <c r="AH92" s="59"/>
      <c r="AI92" s="59" t="s">
        <v>2905</v>
      </c>
      <c r="AJ92" s="59"/>
      <c r="AK92" s="59"/>
      <c r="AL92" s="59"/>
      <c r="AM92" s="59"/>
      <c r="AN92" s="59"/>
    </row>
    <row r="93" spans="1:40" x14ac:dyDescent="0.25">
      <c r="A93" s="38" t="s">
        <v>1414</v>
      </c>
      <c r="B93" s="57" t="str">
        <f>IF($A93="","",IFERROR(INDEX(Références!$C$2:$C$201,MATCH($A93,Références!$A$2:$A$201,0)),""))</f>
        <v>Maina &amp; Matsui (2004)</v>
      </c>
      <c r="C93" s="58">
        <f>IF($A93="","",IFERROR(INDEX(Références!$G$2:$G$201,MATCH($A93,Références!$A$2:$A$201,0)),""))</f>
        <v>5</v>
      </c>
      <c r="D93" s="57" t="str">
        <f>IF($A93="","",IFERROR(INDEX('Lecture détaillée'!$J$5:$J$204,MATCH($A93,'Lecture détaillée'!$A$5:$A$204,0)),""))</f>
        <v>Complet</v>
      </c>
      <c r="E93" s="59"/>
      <c r="F93" s="59"/>
      <c r="G93" s="59"/>
      <c r="H93" s="59" t="s">
        <v>2905</v>
      </c>
      <c r="I93" s="59"/>
      <c r="J93" s="59"/>
      <c r="K93" s="59" t="s">
        <v>2905</v>
      </c>
      <c r="L93" s="59" t="s">
        <v>2905</v>
      </c>
      <c r="M93" s="59"/>
      <c r="N93" s="59"/>
      <c r="O93" s="59"/>
      <c r="P93" s="59"/>
      <c r="Q93" s="59"/>
      <c r="R93" s="59"/>
      <c r="S93" s="59"/>
      <c r="T93" s="59" t="s">
        <v>2905</v>
      </c>
      <c r="U93" s="59"/>
      <c r="V93" s="59"/>
      <c r="W93" s="59"/>
      <c r="X93" s="59"/>
      <c r="Y93" s="59" t="s">
        <v>2905</v>
      </c>
      <c r="Z93" s="59"/>
      <c r="AA93" s="59"/>
      <c r="AB93" s="59"/>
      <c r="AC93" s="59"/>
      <c r="AD93" s="59"/>
      <c r="AE93" s="59"/>
      <c r="AF93" s="59"/>
      <c r="AG93" s="59"/>
      <c r="AH93" s="59"/>
      <c r="AI93" s="59"/>
      <c r="AJ93" s="59" t="s">
        <v>2905</v>
      </c>
      <c r="AK93" s="59"/>
      <c r="AL93" s="59"/>
      <c r="AM93" s="59"/>
      <c r="AN93" s="59" t="s">
        <v>2905</v>
      </c>
    </row>
    <row r="94" spans="1:40" x14ac:dyDescent="0.25">
      <c r="A94" s="38" t="s">
        <v>283</v>
      </c>
      <c r="B94" s="57" t="str">
        <f>IF($A94="","",IFERROR(INDEX(Références!$C$2:$C$201,MATCH($A94,Références!$A$2:$A$201,0)),""))</f>
        <v>Sadoun et al. (2022)</v>
      </c>
      <c r="C94" s="58">
        <f>IF($A94="","",IFERROR(INDEX(Références!$G$2:$G$201,MATCH($A94,Références!$A$2:$A$201,0)),""))</f>
        <v>6</v>
      </c>
      <c r="D94" s="57" t="str">
        <f>IF($A94="","",IFERROR(INDEX('Lecture détaillée'!$J$5:$J$204,MATCH($A94,'Lecture détaillée'!$A$5:$A$204,0)),""))</f>
        <v>Complet</v>
      </c>
      <c r="E94" s="59"/>
      <c r="F94" s="59" t="s">
        <v>2905</v>
      </c>
      <c r="G94" s="59"/>
      <c r="H94" s="59"/>
      <c r="I94" s="59"/>
      <c r="J94" s="59"/>
      <c r="K94" s="59"/>
      <c r="L94" s="59"/>
      <c r="M94" s="59" t="s">
        <v>2905</v>
      </c>
      <c r="N94" s="59"/>
      <c r="O94" s="59"/>
      <c r="P94" s="59"/>
      <c r="Q94" s="59" t="s">
        <v>2905</v>
      </c>
      <c r="R94" s="59"/>
      <c r="S94" s="59" t="s">
        <v>2905</v>
      </c>
      <c r="T94" s="59"/>
      <c r="U94" s="59"/>
      <c r="V94" s="59"/>
      <c r="W94" s="59"/>
      <c r="X94" s="59"/>
      <c r="Y94" s="59"/>
      <c r="Z94" s="59" t="s">
        <v>2905</v>
      </c>
      <c r="AA94" s="59"/>
      <c r="AB94" s="59" t="s">
        <v>2905</v>
      </c>
      <c r="AC94" s="59"/>
      <c r="AD94" s="59" t="s">
        <v>2905</v>
      </c>
      <c r="AE94" s="59"/>
      <c r="AF94" s="59"/>
      <c r="AG94" s="59" t="s">
        <v>2905</v>
      </c>
      <c r="AH94" s="59"/>
      <c r="AI94" s="59" t="s">
        <v>2905</v>
      </c>
      <c r="AJ94" s="59"/>
      <c r="AK94" s="59"/>
      <c r="AL94" s="59" t="s">
        <v>2905</v>
      </c>
      <c r="AM94" s="59"/>
      <c r="AN94" s="59"/>
    </row>
    <row r="95" spans="1:40" x14ac:dyDescent="0.25">
      <c r="A95" s="38" t="s">
        <v>1425</v>
      </c>
      <c r="B95" s="57" t="str">
        <f>IF($A95="","",IFERROR(INDEX(Références!$C$2:$C$201,MATCH($A95,Références!$A$2:$A$201,0)),""))</f>
        <v>Canestrari &amp; Ingrassia (2020)</v>
      </c>
      <c r="C95" s="58">
        <f>IF($A95="","",IFERROR(INDEX(Références!$G$2:$G$201,MATCH($A95,Références!$A$2:$A$201,0)),""))</f>
        <v>6</v>
      </c>
      <c r="D95" s="57" t="str">
        <f>IF($A95="","",IFERROR(INDEX('Lecture détaillée'!$J$5:$J$204,MATCH($A95,'Lecture détaillée'!$A$5:$A$204,0)),""))</f>
        <v>Partiel</v>
      </c>
      <c r="E95" s="59"/>
      <c r="F95" s="59"/>
      <c r="G95" s="59"/>
      <c r="H95" s="59"/>
      <c r="I95" s="59"/>
      <c r="J95" s="59"/>
      <c r="K95" s="59"/>
      <c r="L95" s="59"/>
      <c r="M95" s="59"/>
      <c r="N95" s="59"/>
      <c r="O95" s="59"/>
      <c r="P95" s="59"/>
      <c r="Q95" s="59"/>
      <c r="R95" s="59"/>
      <c r="S95" s="59"/>
      <c r="T95" s="59"/>
      <c r="U95" s="59"/>
      <c r="V95" s="59"/>
      <c r="W95" s="59"/>
      <c r="X95" s="59" t="s">
        <v>2905</v>
      </c>
      <c r="Y95" s="59"/>
      <c r="Z95" s="59"/>
      <c r="AA95" s="59"/>
      <c r="AB95" s="59"/>
      <c r="AC95" s="59"/>
      <c r="AD95" s="59" t="s">
        <v>2905</v>
      </c>
      <c r="AE95" s="59"/>
      <c r="AF95" s="59"/>
      <c r="AG95" s="59" t="s">
        <v>2905</v>
      </c>
      <c r="AH95" s="59"/>
      <c r="AI95" s="59"/>
      <c r="AJ95" s="59"/>
      <c r="AK95" s="59"/>
      <c r="AL95" s="59" t="s">
        <v>2905</v>
      </c>
      <c r="AM95" s="59"/>
      <c r="AN95" s="59"/>
    </row>
    <row r="96" spans="1:40" x14ac:dyDescent="0.25">
      <c r="A96" s="38" t="s">
        <v>1438</v>
      </c>
      <c r="B96" s="57" t="str">
        <f>IF($A96="","",IFERROR(INDEX(Références!$C$2:$C$201,MATCH($A96,Références!$A$2:$A$201,0)),""))</f>
        <v>Wang &amp; Al-Qadi (2010)</v>
      </c>
      <c r="C96" s="58">
        <f>IF($A96="","",IFERROR(INDEX(Références!$G$2:$G$201,MATCH($A96,Références!$A$2:$A$201,0)),""))</f>
        <v>6</v>
      </c>
      <c r="D96" s="57" t="str">
        <f>IF($A96="","",IFERROR(INDEX('Lecture détaillée'!$J$5:$J$204,MATCH($A96,'Lecture détaillée'!$A$5:$A$204,0)),""))</f>
        <v>Partiel</v>
      </c>
      <c r="E96" s="59" t="s">
        <v>2905</v>
      </c>
      <c r="F96" s="59"/>
      <c r="G96" s="59"/>
      <c r="H96" s="59"/>
      <c r="I96" s="59" t="s">
        <v>2905</v>
      </c>
      <c r="J96" s="59"/>
      <c r="K96" s="59" t="s">
        <v>2905</v>
      </c>
      <c r="L96" s="59"/>
      <c r="M96" s="59" t="s">
        <v>2905</v>
      </c>
      <c r="N96" s="59"/>
      <c r="O96" s="59"/>
      <c r="P96" s="59"/>
      <c r="Q96" s="59"/>
      <c r="R96" s="59"/>
      <c r="S96" s="59" t="s">
        <v>2905</v>
      </c>
      <c r="T96" s="59"/>
      <c r="U96" s="59"/>
      <c r="V96" s="59"/>
      <c r="W96" s="59"/>
      <c r="X96" s="59"/>
      <c r="Y96" s="59"/>
      <c r="Z96" s="59" t="s">
        <v>2905</v>
      </c>
      <c r="AA96" s="59"/>
      <c r="AB96" s="59"/>
      <c r="AC96" s="59"/>
      <c r="AD96" s="59" t="s">
        <v>2905</v>
      </c>
      <c r="AE96" s="59"/>
      <c r="AF96" s="59"/>
      <c r="AG96" s="59"/>
      <c r="AH96" s="59"/>
      <c r="AI96" s="59" t="s">
        <v>2905</v>
      </c>
      <c r="AJ96" s="59"/>
      <c r="AK96" s="59"/>
      <c r="AL96" s="59"/>
      <c r="AM96" s="59"/>
      <c r="AN96" s="59"/>
    </row>
    <row r="97" spans="1:40" x14ac:dyDescent="0.25">
      <c r="A97" s="38" t="s">
        <v>1448</v>
      </c>
      <c r="B97" s="57" t="str">
        <f>IF($A97="","",IFERROR(INDEX(Références!$C$2:$C$201,MATCH($A97,Références!$A$2:$A$201,0)),""))</f>
        <v>Di Benedetto et al. (2004)</v>
      </c>
      <c r="C97" s="58">
        <f>IF($A97="","",IFERROR(INDEX(Références!$G$2:$G$201,MATCH($A97,Références!$A$2:$A$201,0)),""))</f>
        <v>6</v>
      </c>
      <c r="D97" s="57" t="str">
        <f>IF($A97="","",IFERROR(INDEX('Lecture détaillée'!$J$5:$J$204,MATCH($A97,'Lecture détaillée'!$A$5:$A$204,0)),""))</f>
        <v>Complet</v>
      </c>
      <c r="E97" s="59"/>
      <c r="F97" s="59"/>
      <c r="G97" s="59"/>
      <c r="H97" s="59"/>
      <c r="I97" s="59"/>
      <c r="J97" s="59"/>
      <c r="K97" s="59"/>
      <c r="L97" s="59"/>
      <c r="M97" s="59" t="s">
        <v>2905</v>
      </c>
      <c r="N97" s="59"/>
      <c r="O97" s="59" t="s">
        <v>2905</v>
      </c>
      <c r="P97" s="59"/>
      <c r="Q97" s="59"/>
      <c r="R97" s="59" t="s">
        <v>2905</v>
      </c>
      <c r="S97" s="59"/>
      <c r="T97" s="59"/>
      <c r="U97" s="59"/>
      <c r="V97" s="59"/>
      <c r="W97" s="59"/>
      <c r="X97" s="59"/>
      <c r="Y97" s="59"/>
      <c r="Z97" s="59"/>
      <c r="AA97" s="59" t="s">
        <v>2905</v>
      </c>
      <c r="AB97" s="59"/>
      <c r="AC97" s="59"/>
      <c r="AD97" s="59"/>
      <c r="AE97" s="59"/>
      <c r="AF97" s="59"/>
      <c r="AG97" s="59" t="s">
        <v>2905</v>
      </c>
      <c r="AH97" s="59"/>
      <c r="AI97" s="59"/>
      <c r="AJ97" s="59"/>
      <c r="AK97" s="59"/>
      <c r="AL97" s="59"/>
      <c r="AM97" s="59" t="s">
        <v>2905</v>
      </c>
      <c r="AN97" s="59"/>
    </row>
    <row r="98" spans="1:40" x14ac:dyDescent="0.25">
      <c r="A98" s="38" t="s">
        <v>1459</v>
      </c>
      <c r="B98" s="57" t="str">
        <f>IF($A98="","",IFERROR(INDEX(Références!$C$2:$C$201,MATCH($A98,Références!$A$2:$A$201,0)),""))</f>
        <v>Kim et al. (2009)</v>
      </c>
      <c r="C98" s="58">
        <f>IF($A98="","",IFERROR(INDEX(Références!$G$2:$G$201,MATCH($A98,Références!$A$2:$A$201,0)),""))</f>
        <v>6</v>
      </c>
      <c r="D98" s="57" t="str">
        <f>IF($A98="","",IFERROR(INDEX('Lecture détaillée'!$J$5:$J$204,MATCH($A98,'Lecture détaillée'!$A$5:$A$204,0)),""))</f>
        <v>Complet</v>
      </c>
      <c r="E98" s="59"/>
      <c r="F98" s="59"/>
      <c r="G98" s="59"/>
      <c r="H98" s="59"/>
      <c r="I98" s="59"/>
      <c r="J98" s="59"/>
      <c r="K98" s="59"/>
      <c r="L98" s="59"/>
      <c r="M98" s="59" t="s">
        <v>2905</v>
      </c>
      <c r="N98" s="59"/>
      <c r="O98" s="59"/>
      <c r="P98" s="59"/>
      <c r="Q98" s="59"/>
      <c r="R98" s="59"/>
      <c r="S98" s="59"/>
      <c r="T98" s="59"/>
      <c r="U98" s="59"/>
      <c r="V98" s="59"/>
      <c r="W98" s="59"/>
      <c r="X98" s="59"/>
      <c r="Y98" s="59"/>
      <c r="Z98" s="59" t="s">
        <v>2905</v>
      </c>
      <c r="AA98" s="59"/>
      <c r="AB98" s="59"/>
      <c r="AC98" s="59"/>
      <c r="AD98" s="59" t="s">
        <v>2905</v>
      </c>
      <c r="AE98" s="59" t="s">
        <v>2905</v>
      </c>
      <c r="AF98" s="59"/>
      <c r="AG98" s="59" t="s">
        <v>2905</v>
      </c>
      <c r="AH98" s="59"/>
      <c r="AI98" s="59"/>
      <c r="AJ98" s="59"/>
      <c r="AK98" s="59"/>
      <c r="AL98" s="59"/>
      <c r="AM98" s="59"/>
      <c r="AN98" s="59" t="s">
        <v>2905</v>
      </c>
    </row>
    <row r="99" spans="1:40" x14ac:dyDescent="0.25">
      <c r="A99" s="38" t="s">
        <v>1470</v>
      </c>
      <c r="B99" s="57" t="str">
        <f>IF($A99="","",IFERROR(INDEX(Références!$C$2:$C$201,MATCH($A99,Références!$A$2:$A$201,0)),""))</f>
        <v>Myers et al. (2001)</v>
      </c>
      <c r="C99" s="58">
        <f>IF($A99="","",IFERROR(INDEX(Références!$G$2:$G$201,MATCH($A99,Références!$A$2:$A$201,0)),""))</f>
        <v>6</v>
      </c>
      <c r="D99" s="57" t="str">
        <f>IF($A99="","",IFERROR(INDEX('Lecture détaillée'!$J$5:$J$204,MATCH($A99,'Lecture détaillée'!$A$5:$A$204,0)),""))</f>
        <v>Complet</v>
      </c>
      <c r="E99" s="59" t="s">
        <v>2905</v>
      </c>
      <c r="F99" s="59"/>
      <c r="G99" s="59"/>
      <c r="H99" s="59"/>
      <c r="I99" s="59"/>
      <c r="J99" s="59"/>
      <c r="K99" s="59"/>
      <c r="L99" s="59"/>
      <c r="M99" s="59"/>
      <c r="N99" s="59"/>
      <c r="O99" s="59"/>
      <c r="P99" s="59"/>
      <c r="Q99" s="59" t="s">
        <v>2905</v>
      </c>
      <c r="R99" s="59"/>
      <c r="S99" s="59" t="s">
        <v>2905</v>
      </c>
      <c r="T99" s="59"/>
      <c r="U99" s="59"/>
      <c r="V99" s="59"/>
      <c r="W99" s="59"/>
      <c r="X99" s="59"/>
      <c r="Y99" s="59" t="s">
        <v>2905</v>
      </c>
      <c r="Z99" s="59"/>
      <c r="AA99" s="59"/>
      <c r="AB99" s="59"/>
      <c r="AC99" s="59"/>
      <c r="AD99" s="59" t="s">
        <v>2905</v>
      </c>
      <c r="AE99" s="59"/>
      <c r="AF99" s="59"/>
      <c r="AG99" s="59" t="s">
        <v>2905</v>
      </c>
      <c r="AH99" s="59"/>
      <c r="AI99" s="59"/>
      <c r="AJ99" s="59"/>
      <c r="AK99" s="59"/>
      <c r="AL99" s="59" t="s">
        <v>2905</v>
      </c>
      <c r="AM99" s="59"/>
      <c r="AN99" s="59"/>
    </row>
    <row r="100" spans="1:40" x14ac:dyDescent="0.25">
      <c r="A100" s="38" t="s">
        <v>1481</v>
      </c>
      <c r="B100" s="57" t="str">
        <f>IF($A100="","",IFERROR(INDEX(Références!$C$2:$C$201,MATCH($A100,Références!$A$2:$A$201,0)),""))</f>
        <v>Oubahdou et al. (2021)</v>
      </c>
      <c r="C100" s="58">
        <f>IF($A100="","",IFERROR(INDEX(Références!$G$2:$G$201,MATCH($A100,Références!$A$2:$A$201,0)),""))</f>
        <v>6</v>
      </c>
      <c r="D100" s="57" t="str">
        <f>IF($A100="","",IFERROR(INDEX('Lecture détaillée'!$J$5:$J$204,MATCH($A100,'Lecture détaillée'!$A$5:$A$204,0)),""))</f>
        <v>Complet</v>
      </c>
      <c r="E100" s="59"/>
      <c r="F100" s="59"/>
      <c r="G100" s="59" t="s">
        <v>2905</v>
      </c>
      <c r="H100" s="59"/>
      <c r="I100" s="59"/>
      <c r="J100" s="59" t="s">
        <v>2905</v>
      </c>
      <c r="K100" s="59" t="s">
        <v>2905</v>
      </c>
      <c r="L100" s="59" t="s">
        <v>2905</v>
      </c>
      <c r="M100" s="59"/>
      <c r="N100" s="59"/>
      <c r="O100" s="59"/>
      <c r="P100" s="59" t="s">
        <v>2905</v>
      </c>
      <c r="Q100" s="59"/>
      <c r="R100" s="59"/>
      <c r="S100" s="59"/>
      <c r="T100" s="59" t="s">
        <v>2905</v>
      </c>
      <c r="U100" s="59"/>
      <c r="V100" s="59"/>
      <c r="W100" s="59"/>
      <c r="X100" s="59"/>
      <c r="Y100" s="59" t="s">
        <v>2905</v>
      </c>
      <c r="Z100" s="59" t="s">
        <v>2905</v>
      </c>
      <c r="AA100" s="59"/>
      <c r="AB100" s="59"/>
      <c r="AC100" s="59" t="s">
        <v>2905</v>
      </c>
      <c r="AD100" s="59" t="s">
        <v>2905</v>
      </c>
      <c r="AE100" s="59"/>
      <c r="AF100" s="59"/>
      <c r="AG100" s="59"/>
      <c r="AH100" s="59"/>
      <c r="AI100" s="59"/>
      <c r="AJ100" s="59"/>
      <c r="AK100" s="59"/>
      <c r="AL100" s="59"/>
      <c r="AM100" s="59" t="s">
        <v>2905</v>
      </c>
      <c r="AN100" s="59"/>
    </row>
    <row r="101" spans="1:40" x14ac:dyDescent="0.25">
      <c r="A101" s="38" t="s">
        <v>1493</v>
      </c>
      <c r="B101" s="57" t="str">
        <f>IF($A101="","",IFERROR(INDEX(Références!$C$2:$C$201,MATCH($A101,Références!$A$2:$A$201,0)),""))</f>
        <v>Roque et al. (2010)</v>
      </c>
      <c r="C101" s="58">
        <f>IF($A101="","",IFERROR(INDEX(Références!$G$2:$G$201,MATCH($A101,Références!$A$2:$A$201,0)),""))</f>
        <v>6</v>
      </c>
      <c r="D101" s="57" t="str">
        <f>IF($A101="","",IFERROR(INDEX('Lecture détaillée'!$J$5:$J$204,MATCH($A101,'Lecture détaillée'!$A$5:$A$204,0)),""))</f>
        <v>Partiel</v>
      </c>
      <c r="E101" s="59"/>
      <c r="F101" s="59"/>
      <c r="G101" s="59"/>
      <c r="H101" s="59"/>
      <c r="I101" s="59"/>
      <c r="J101" s="59"/>
      <c r="K101" s="59"/>
      <c r="L101" s="59"/>
      <c r="M101" s="59" t="s">
        <v>2905</v>
      </c>
      <c r="N101" s="59"/>
      <c r="O101" s="59"/>
      <c r="P101" s="59"/>
      <c r="Q101" s="59"/>
      <c r="R101" s="59"/>
      <c r="S101" s="59"/>
      <c r="T101" s="59"/>
      <c r="U101" s="59"/>
      <c r="V101" s="59"/>
      <c r="W101" s="59"/>
      <c r="X101" s="59"/>
      <c r="Y101" s="59"/>
      <c r="Z101" s="59"/>
      <c r="AA101" s="59"/>
      <c r="AB101" s="59"/>
      <c r="AC101" s="59"/>
      <c r="AD101" s="59" t="s">
        <v>2905</v>
      </c>
      <c r="AE101" s="59"/>
      <c r="AF101" s="59"/>
      <c r="AG101" s="59" t="s">
        <v>2905</v>
      </c>
      <c r="AH101" s="59"/>
      <c r="AI101" s="59"/>
      <c r="AJ101" s="59"/>
      <c r="AK101" s="59"/>
      <c r="AL101" s="59"/>
      <c r="AM101" s="59"/>
      <c r="AN101" s="59" t="s">
        <v>2905</v>
      </c>
    </row>
    <row r="102" spans="1:40" x14ac:dyDescent="0.25">
      <c r="A102" s="38" t="s">
        <v>1505</v>
      </c>
      <c r="B102" s="57" t="str">
        <f>IF($A102="","",IFERROR(INDEX(Références!$C$2:$C$201,MATCH($A102,Références!$A$2:$A$201,0)),""))</f>
        <v>Weissman (1999)</v>
      </c>
      <c r="C102" s="58">
        <f>IF($A102="","",IFERROR(INDEX(Références!$G$2:$G$201,MATCH($A102,Références!$A$2:$A$201,0)),""))</f>
        <v>6</v>
      </c>
      <c r="D102" s="57" t="str">
        <f>IF($A102="","",IFERROR(INDEX('Lecture détaillée'!$J$5:$J$204,MATCH($A102,'Lecture détaillée'!$A$5:$A$204,0)),""))</f>
        <v>Partiel</v>
      </c>
      <c r="E102" s="59" t="s">
        <v>2905</v>
      </c>
      <c r="F102" s="59"/>
      <c r="G102" s="59"/>
      <c r="H102" s="59" t="s">
        <v>2905</v>
      </c>
      <c r="I102" s="59" t="s">
        <v>2905</v>
      </c>
      <c r="J102" s="59"/>
      <c r="K102" s="59"/>
      <c r="L102" s="59" t="s">
        <v>2905</v>
      </c>
      <c r="M102" s="59"/>
      <c r="N102" s="59"/>
      <c r="O102" s="59"/>
      <c r="P102" s="59"/>
      <c r="Q102" s="59"/>
      <c r="R102" s="59"/>
      <c r="S102" s="59"/>
      <c r="T102" s="59" t="s">
        <v>2905</v>
      </c>
      <c r="U102" s="59"/>
      <c r="V102" s="59"/>
      <c r="W102" s="59"/>
      <c r="X102" s="59"/>
      <c r="Y102" s="59" t="s">
        <v>2905</v>
      </c>
      <c r="Z102" s="59"/>
      <c r="AA102" s="59"/>
      <c r="AB102" s="59"/>
      <c r="AC102" s="59"/>
      <c r="AD102" s="59"/>
      <c r="AE102" s="59"/>
      <c r="AF102" s="59" t="s">
        <v>2905</v>
      </c>
      <c r="AG102" s="59" t="s">
        <v>2905</v>
      </c>
      <c r="AH102" s="59"/>
      <c r="AI102" s="59"/>
      <c r="AJ102" s="59" t="s">
        <v>2905</v>
      </c>
      <c r="AK102" s="59"/>
      <c r="AL102" s="59"/>
      <c r="AM102" s="59" t="s">
        <v>2905</v>
      </c>
      <c r="AN102" s="59"/>
    </row>
    <row r="103" spans="1:40" x14ac:dyDescent="0.25">
      <c r="A103" s="38" t="s">
        <v>1592</v>
      </c>
      <c r="B103" s="57" t="str">
        <f>IF($A103="","",IFERROR(INDEX(Références!$C$2:$C$201,MATCH($A103,Références!$A$2:$A$201,0)),""))</f>
        <v>AFNOR (2019)</v>
      </c>
      <c r="C103" s="58">
        <f>IF($A103="","",IFERROR(INDEX(Références!$G$2:$G$201,MATCH($A103,Références!$A$2:$A$201,0)),""))</f>
        <v>6</v>
      </c>
      <c r="D103" s="57" t="str">
        <f>IF($A103="","",IFERROR(INDEX('Lecture détaillée'!$J$5:$J$204,MATCH($A103,'Lecture détaillée'!$A$5:$A$204,0)),""))</f>
        <v>Aucun</v>
      </c>
      <c r="E103" s="59"/>
      <c r="F103" s="59"/>
      <c r="G103" s="59"/>
      <c r="H103" s="59"/>
      <c r="I103" s="59"/>
      <c r="J103" s="59"/>
      <c r="K103" s="59"/>
      <c r="L103" s="59"/>
      <c r="M103" s="59"/>
      <c r="N103" s="59"/>
      <c r="O103" s="59"/>
      <c r="P103" s="59"/>
      <c r="Q103" s="59"/>
      <c r="R103" s="59" t="s">
        <v>2905</v>
      </c>
      <c r="S103" s="59"/>
      <c r="T103" s="59"/>
      <c r="U103" s="59"/>
      <c r="V103" s="59"/>
      <c r="W103" s="59"/>
      <c r="X103" s="59" t="s">
        <v>2905</v>
      </c>
      <c r="Y103" s="59"/>
      <c r="Z103" s="59"/>
      <c r="AA103" s="59" t="s">
        <v>2905</v>
      </c>
      <c r="AB103" s="59"/>
      <c r="AC103" s="59"/>
      <c r="AD103" s="59"/>
      <c r="AE103" s="59"/>
      <c r="AF103" s="59"/>
      <c r="AG103" s="59" t="s">
        <v>2905</v>
      </c>
      <c r="AH103" s="59"/>
      <c r="AI103" s="59"/>
      <c r="AJ103" s="59"/>
      <c r="AK103" s="59"/>
      <c r="AL103" s="59"/>
      <c r="AM103" s="59"/>
      <c r="AN103" s="59"/>
    </row>
    <row r="104" spans="1:40" x14ac:dyDescent="0.25">
      <c r="A104" s="38" t="s">
        <v>1601</v>
      </c>
      <c r="B104" s="57" t="str">
        <f>IF($A104="","",IFERROR(INDEX(Références!$C$2:$C$201,MATCH($A104,Références!$A$2:$A$201,0)),""))</f>
        <v>Garg et al. (2018)</v>
      </c>
      <c r="C104" s="58">
        <f>IF($A104="","",IFERROR(INDEX(Références!$G$2:$G$201,MATCH($A104,Références!$A$2:$A$201,0)),""))</f>
        <v>6</v>
      </c>
      <c r="D104" s="57" t="str">
        <f>IF($A104="","",IFERROR(INDEX('Lecture détaillée'!$J$5:$J$204,MATCH($A104,'Lecture détaillée'!$A$5:$A$204,0)),""))</f>
        <v>Partiel</v>
      </c>
      <c r="E104" s="59"/>
      <c r="F104" s="59" t="s">
        <v>2905</v>
      </c>
      <c r="G104" s="59"/>
      <c r="H104" s="59"/>
      <c r="I104" s="59"/>
      <c r="J104" s="59"/>
      <c r="K104" s="59"/>
      <c r="L104" s="59"/>
      <c r="M104" s="59"/>
      <c r="N104" s="59"/>
      <c r="O104" s="59"/>
      <c r="P104" s="59"/>
      <c r="Q104" s="59" t="s">
        <v>2905</v>
      </c>
      <c r="R104" s="59" t="s">
        <v>2905</v>
      </c>
      <c r="S104" s="59"/>
      <c r="T104" s="59"/>
      <c r="U104" s="59"/>
      <c r="V104" s="59"/>
      <c r="W104" s="59"/>
      <c r="X104" s="59"/>
      <c r="Y104" s="59"/>
      <c r="Z104" s="59" t="s">
        <v>2905</v>
      </c>
      <c r="AA104" s="59"/>
      <c r="AB104" s="59"/>
      <c r="AC104" s="59"/>
      <c r="AD104" s="59"/>
      <c r="AE104" s="59"/>
      <c r="AF104" s="59" t="s">
        <v>2905</v>
      </c>
      <c r="AG104" s="59"/>
      <c r="AH104" s="59"/>
      <c r="AI104" s="59"/>
      <c r="AJ104" s="59"/>
      <c r="AK104" s="59"/>
      <c r="AL104" s="59" t="s">
        <v>2905</v>
      </c>
      <c r="AM104" s="59" t="s">
        <v>2905</v>
      </c>
      <c r="AN104" s="59"/>
    </row>
    <row r="105" spans="1:40" x14ac:dyDescent="0.25">
      <c r="A105" s="38" t="s">
        <v>1612</v>
      </c>
      <c r="B105" s="57" t="str">
        <f>IF($A105="","",IFERROR(INDEX(Références!$C$2:$C$201,MATCH($A105,Références!$A$2:$A$201,0)),""))</f>
        <v>Guo et al. (2025)</v>
      </c>
      <c r="C105" s="58">
        <f>IF($A105="","",IFERROR(INDEX(Références!$G$2:$G$201,MATCH($A105,Références!$A$2:$A$201,0)),""))</f>
        <v>6</v>
      </c>
      <c r="D105" s="57" t="str">
        <f>IF($A105="","",IFERROR(INDEX('Lecture détaillée'!$J$5:$J$204,MATCH($A105,'Lecture détaillée'!$A$5:$A$204,0)),""))</f>
        <v>Complet</v>
      </c>
      <c r="E105" s="59" t="s">
        <v>2905</v>
      </c>
      <c r="F105" s="59"/>
      <c r="G105" s="59"/>
      <c r="H105" s="59"/>
      <c r="I105" s="59"/>
      <c r="J105" s="59" t="s">
        <v>2905</v>
      </c>
      <c r="K105" s="59" t="s">
        <v>2905</v>
      </c>
      <c r="L105" s="59"/>
      <c r="M105" s="59"/>
      <c r="N105" s="59"/>
      <c r="O105" s="59"/>
      <c r="P105" s="59"/>
      <c r="Q105" s="59"/>
      <c r="R105" s="59"/>
      <c r="S105" s="59" t="s">
        <v>2905</v>
      </c>
      <c r="T105" s="59"/>
      <c r="U105" s="59"/>
      <c r="V105" s="59" t="s">
        <v>2905</v>
      </c>
      <c r="W105" s="59"/>
      <c r="X105" s="59"/>
      <c r="Y105" s="59"/>
      <c r="Z105" s="59" t="s">
        <v>2905</v>
      </c>
      <c r="AA105" s="59"/>
      <c r="AB105" s="59"/>
      <c r="AC105" s="59"/>
      <c r="AD105" s="59"/>
      <c r="AE105" s="59"/>
      <c r="AF105" s="59" t="s">
        <v>2905</v>
      </c>
      <c r="AG105" s="59"/>
      <c r="AH105" s="59"/>
      <c r="AI105" s="59"/>
      <c r="AJ105" s="59" t="s">
        <v>2905</v>
      </c>
      <c r="AK105" s="59"/>
      <c r="AL105" s="59"/>
      <c r="AM105" s="59" t="s">
        <v>2905</v>
      </c>
      <c r="AN105" s="59"/>
    </row>
    <row r="106" spans="1:40" x14ac:dyDescent="0.25">
      <c r="A106" s="38" t="s">
        <v>1625</v>
      </c>
      <c r="B106" s="57" t="str">
        <f>IF($A106="","",IFERROR(INDEX(Références!$C$2:$C$201,MATCH($A106,Références!$A$2:$A$201,0)),""))</f>
        <v>Miner (1945)</v>
      </c>
      <c r="C106" s="58">
        <f>IF($A106="","",IFERROR(INDEX(Références!$G$2:$G$201,MATCH($A106,Références!$A$2:$A$201,0)),""))</f>
        <v>6</v>
      </c>
      <c r="D106" s="57" t="str">
        <f>IF($A106="","",IFERROR(INDEX('Lecture détaillée'!$J$5:$J$204,MATCH($A106,'Lecture détaillée'!$A$5:$A$204,0)),""))</f>
        <v>Complet</v>
      </c>
      <c r="E106" s="59"/>
      <c r="F106" s="59"/>
      <c r="G106" s="59"/>
      <c r="H106" s="59"/>
      <c r="I106" s="59"/>
      <c r="J106" s="59"/>
      <c r="K106" s="59"/>
      <c r="L106" s="59"/>
      <c r="M106" s="59"/>
      <c r="N106" s="59"/>
      <c r="O106" s="59" t="s">
        <v>2905</v>
      </c>
      <c r="P106" s="59"/>
      <c r="Q106" s="59"/>
      <c r="R106" s="59" t="s">
        <v>2905</v>
      </c>
      <c r="S106" s="59"/>
      <c r="T106" s="59"/>
      <c r="U106" s="59"/>
      <c r="V106" s="59"/>
      <c r="W106" s="59"/>
      <c r="X106" s="59"/>
      <c r="Y106" s="59"/>
      <c r="Z106" s="59"/>
      <c r="AA106" s="59" t="s">
        <v>2905</v>
      </c>
      <c r="AB106" s="59"/>
      <c r="AC106" s="59"/>
      <c r="AD106" s="59"/>
      <c r="AE106" s="59"/>
      <c r="AF106" s="59"/>
      <c r="AG106" s="59" t="s">
        <v>2905</v>
      </c>
      <c r="AH106" s="59"/>
      <c r="AI106" s="59"/>
      <c r="AJ106" s="59"/>
      <c r="AK106" s="59"/>
      <c r="AL106" s="59"/>
      <c r="AM106" s="59" t="s">
        <v>2905</v>
      </c>
      <c r="AN106" s="59"/>
    </row>
    <row r="107" spans="1:40" x14ac:dyDescent="0.25">
      <c r="A107" s="38" t="s">
        <v>300</v>
      </c>
      <c r="B107" s="57" t="str">
        <f>IF($A107="","",IFERROR(INDEX(Références!$C$2:$C$201,MATCH($A107,Références!$A$2:$A$201,0)),""))</f>
        <v>Airbus S.A.S. (2010)</v>
      </c>
      <c r="C107" s="58">
        <f>IF($A107="","",IFERROR(INDEX(Références!$G$2:$G$201,MATCH($A107,Références!$A$2:$A$201,0)),""))</f>
        <v>7</v>
      </c>
      <c r="D107" s="57" t="str">
        <f>IF($A107="","",IFERROR(INDEX('Lecture détaillée'!$J$5:$J$204,MATCH($A107,'Lecture détaillée'!$A$5:$A$204,0)),""))</f>
        <v>Partiel</v>
      </c>
      <c r="E107" s="59"/>
      <c r="F107" s="59" t="s">
        <v>2905</v>
      </c>
      <c r="G107" s="59"/>
      <c r="H107" s="59"/>
      <c r="I107" s="59"/>
      <c r="J107" s="59" t="s">
        <v>2905</v>
      </c>
      <c r="K107" s="59"/>
      <c r="L107" s="59"/>
      <c r="M107" s="59"/>
      <c r="N107" s="59"/>
      <c r="O107" s="59"/>
      <c r="P107" s="59"/>
      <c r="Q107" s="59" t="s">
        <v>2905</v>
      </c>
      <c r="R107" s="59"/>
      <c r="S107" s="59"/>
      <c r="T107" s="59"/>
      <c r="U107" s="59"/>
      <c r="V107" s="59" t="s">
        <v>2905</v>
      </c>
      <c r="W107" s="59"/>
      <c r="X107" s="59"/>
      <c r="Y107" s="59"/>
      <c r="Z107" s="59" t="s">
        <v>2905</v>
      </c>
      <c r="AA107" s="59"/>
      <c r="AB107" s="59"/>
      <c r="AC107" s="59" t="s">
        <v>2905</v>
      </c>
      <c r="AD107" s="59"/>
      <c r="AE107" s="59"/>
      <c r="AF107" s="59" t="s">
        <v>2905</v>
      </c>
      <c r="AG107" s="59"/>
      <c r="AH107" s="59"/>
      <c r="AI107" s="59"/>
      <c r="AJ107" s="59" t="s">
        <v>2905</v>
      </c>
      <c r="AK107" s="59"/>
      <c r="AL107" s="59" t="s">
        <v>2905</v>
      </c>
      <c r="AM107" s="59"/>
      <c r="AN107" s="59"/>
    </row>
    <row r="108" spans="1:40" x14ac:dyDescent="0.25">
      <c r="A108" s="38" t="s">
        <v>312</v>
      </c>
      <c r="B108" s="57" t="str">
        <f>IF($A108="","",IFERROR(INDEX(Références!$C$2:$C$201,MATCH($A108,Références!$A$2:$A$201,0)),""))</f>
        <v>Petitjean et al. (2001)</v>
      </c>
      <c r="C108" s="58">
        <f>IF($A108="","",IFERROR(INDEX(Références!$G$2:$G$201,MATCH($A108,Références!$A$2:$A$201,0)),""))</f>
        <v>7</v>
      </c>
      <c r="D108" s="57" t="str">
        <f>IF($A108="","",IFERROR(INDEX('Lecture détaillée'!$J$5:$J$204,MATCH($A108,'Lecture détaillée'!$A$5:$A$204,0)),""))</f>
        <v>Partiel</v>
      </c>
      <c r="E108" s="59"/>
      <c r="F108" s="59" t="s">
        <v>2905</v>
      </c>
      <c r="G108" s="59"/>
      <c r="H108" s="59"/>
      <c r="I108" s="59"/>
      <c r="J108" s="59"/>
      <c r="K108" s="59"/>
      <c r="L108" s="59" t="s">
        <v>2905</v>
      </c>
      <c r="M108" s="59"/>
      <c r="N108" s="59"/>
      <c r="O108" s="59"/>
      <c r="P108" s="59"/>
      <c r="Q108" s="59" t="s">
        <v>2905</v>
      </c>
      <c r="R108" s="59"/>
      <c r="S108" s="59"/>
      <c r="T108" s="59"/>
      <c r="U108" s="59"/>
      <c r="V108" s="59"/>
      <c r="W108" s="59"/>
      <c r="X108" s="59"/>
      <c r="Y108" s="59" t="s">
        <v>2905</v>
      </c>
      <c r="Z108" s="59" t="s">
        <v>2905</v>
      </c>
      <c r="AA108" s="59"/>
      <c r="AB108" s="59"/>
      <c r="AC108" s="59"/>
      <c r="AD108" s="59"/>
      <c r="AE108" s="59" t="s">
        <v>2905</v>
      </c>
      <c r="AF108" s="59"/>
      <c r="AG108" s="59"/>
      <c r="AH108" s="59"/>
      <c r="AI108" s="59"/>
      <c r="AJ108" s="59" t="s">
        <v>2905</v>
      </c>
      <c r="AK108" s="59"/>
      <c r="AL108" s="59" t="s">
        <v>2905</v>
      </c>
      <c r="AM108" s="59"/>
      <c r="AN108" s="59"/>
    </row>
    <row r="109" spans="1:40" x14ac:dyDescent="0.25">
      <c r="A109" s="38" t="s">
        <v>324</v>
      </c>
      <c r="B109" s="57" t="str">
        <f>IF($A109="","",IFERROR(INDEX(Références!$C$2:$C$201,MATCH($A109,Références!$A$2:$A$201,0)),""))</f>
        <v>STAC (2011)</v>
      </c>
      <c r="C109" s="58">
        <f>IF($A109="","",IFERROR(INDEX(Références!$G$2:$G$201,MATCH($A109,Références!$A$2:$A$201,0)),""))</f>
        <v>7</v>
      </c>
      <c r="D109" s="57" t="str">
        <f>IF($A109="","",IFERROR(INDEX('Lecture détaillée'!$J$5:$J$204,MATCH($A109,'Lecture détaillée'!$A$5:$A$204,0)),""))</f>
        <v>Partiel</v>
      </c>
      <c r="E109" s="59"/>
      <c r="F109" s="59" t="s">
        <v>2905</v>
      </c>
      <c r="G109" s="59"/>
      <c r="H109" s="59"/>
      <c r="I109" s="59"/>
      <c r="J109" s="59"/>
      <c r="K109" s="59"/>
      <c r="L109" s="59"/>
      <c r="M109" s="59"/>
      <c r="N109" s="59"/>
      <c r="O109" s="59"/>
      <c r="P109" s="59"/>
      <c r="Q109" s="59" t="s">
        <v>2905</v>
      </c>
      <c r="R109" s="59"/>
      <c r="S109" s="59"/>
      <c r="T109" s="59"/>
      <c r="U109" s="59"/>
      <c r="V109" s="59"/>
      <c r="W109" s="59"/>
      <c r="X109" s="59"/>
      <c r="Y109" s="59"/>
      <c r="Z109" s="59" t="s">
        <v>2905</v>
      </c>
      <c r="AA109" s="59"/>
      <c r="AB109" s="59"/>
      <c r="AC109" s="59"/>
      <c r="AD109" s="59"/>
      <c r="AE109" s="59"/>
      <c r="AF109" s="59" t="s">
        <v>2905</v>
      </c>
      <c r="AG109" s="59"/>
      <c r="AH109" s="59"/>
      <c r="AI109" s="59"/>
      <c r="AJ109" s="59" t="s">
        <v>2905</v>
      </c>
      <c r="AK109" s="59"/>
      <c r="AL109" s="59" t="s">
        <v>2905</v>
      </c>
      <c r="AM109" s="59"/>
      <c r="AN109" s="59"/>
    </row>
    <row r="110" spans="1:40" x14ac:dyDescent="0.25">
      <c r="A110" s="38" t="s">
        <v>985</v>
      </c>
      <c r="B110" s="57" t="str">
        <f>IF($A110="","",IFERROR(INDEX(Références!$C$2:$C$201,MATCH($A110,Références!$A$2:$A$201,0)),""))</f>
        <v>STAC (2016)</v>
      </c>
      <c r="C110" s="58">
        <f>IF($A110="","",IFERROR(INDEX(Références!$G$2:$G$201,MATCH($A110,Références!$A$2:$A$201,0)),""))</f>
        <v>7</v>
      </c>
      <c r="D110" s="57" t="str">
        <f>IF($A110="","",IFERROR(INDEX('Lecture détaillée'!$J$5:$J$204,MATCH($A110,'Lecture détaillée'!$A$5:$A$204,0)),""))</f>
        <v>Aucun</v>
      </c>
      <c r="E110" s="59"/>
      <c r="F110" s="59" t="s">
        <v>2905</v>
      </c>
      <c r="G110" s="59"/>
      <c r="H110" s="59"/>
      <c r="I110" s="59"/>
      <c r="J110" s="59"/>
      <c r="K110" s="59"/>
      <c r="L110" s="59" t="s">
        <v>2905</v>
      </c>
      <c r="M110" s="59"/>
      <c r="N110" s="59"/>
      <c r="O110" s="59"/>
      <c r="P110" s="59"/>
      <c r="Q110" s="59"/>
      <c r="R110" s="59"/>
      <c r="S110" s="59"/>
      <c r="T110" s="59" t="s">
        <v>2905</v>
      </c>
      <c r="U110" s="59"/>
      <c r="V110" s="59"/>
      <c r="W110" s="59"/>
      <c r="X110" s="59" t="s">
        <v>2905</v>
      </c>
      <c r="Y110" s="59"/>
      <c r="Z110" s="59"/>
      <c r="AA110" s="59"/>
      <c r="AB110" s="59"/>
      <c r="AC110" s="59"/>
      <c r="AD110" s="59"/>
      <c r="AE110" s="59" t="s">
        <v>2905</v>
      </c>
      <c r="AF110" s="59"/>
      <c r="AG110" s="59"/>
      <c r="AH110" s="59"/>
      <c r="AI110" s="59"/>
      <c r="AJ110" s="59"/>
      <c r="AK110" s="59"/>
      <c r="AL110" s="59"/>
      <c r="AM110" s="59"/>
      <c r="AN110" s="59"/>
    </row>
    <row r="111" spans="1:40" x14ac:dyDescent="0.25">
      <c r="A111" s="38" t="s">
        <v>1103</v>
      </c>
      <c r="B111" s="57" t="str">
        <f>IF($A111="","",IFERROR(INDEX(Références!$C$2:$C$201,MATCH($A111,Références!$A$2:$A$201,0)),""))</f>
        <v>Blanc et al. (2016)</v>
      </c>
      <c r="C111" s="58">
        <f>IF($A111="","",IFERROR(INDEX(Références!$G$2:$G$201,MATCH($A111,Références!$A$2:$A$201,0)),""))</f>
        <v>7</v>
      </c>
      <c r="D111" s="57" t="str">
        <f>IF($A111="","",IFERROR(INDEX('Lecture détaillée'!$J$5:$J$204,MATCH($A111,'Lecture détaillée'!$A$5:$A$204,0)),""))</f>
        <v>Aucun</v>
      </c>
      <c r="E111" s="59"/>
      <c r="F111" s="59" t="s">
        <v>2905</v>
      </c>
      <c r="G111" s="59"/>
      <c r="H111" s="59"/>
      <c r="I111" s="59"/>
      <c r="J111" s="59"/>
      <c r="K111" s="59"/>
      <c r="L111" s="59" t="s">
        <v>2905</v>
      </c>
      <c r="M111" s="59"/>
      <c r="N111" s="59"/>
      <c r="O111" s="59"/>
      <c r="P111" s="59"/>
      <c r="Q111" s="59"/>
      <c r="R111" s="59"/>
      <c r="S111" s="59"/>
      <c r="T111" s="59" t="s">
        <v>2905</v>
      </c>
      <c r="U111" s="59"/>
      <c r="V111" s="59"/>
      <c r="W111" s="59"/>
      <c r="X111" s="59" t="s">
        <v>2905</v>
      </c>
      <c r="Y111" s="59"/>
      <c r="Z111" s="59"/>
      <c r="AA111" s="59"/>
      <c r="AB111" s="59"/>
      <c r="AC111" s="59"/>
      <c r="AD111" s="59"/>
      <c r="AE111" s="59"/>
      <c r="AF111" s="59"/>
      <c r="AG111" s="59"/>
      <c r="AH111" s="59"/>
      <c r="AI111" s="59"/>
      <c r="AJ111" s="59"/>
      <c r="AK111" s="59" t="s">
        <v>2905</v>
      </c>
      <c r="AL111" s="59"/>
      <c r="AM111" s="59"/>
      <c r="AN111" s="59"/>
    </row>
    <row r="112" spans="1:40" x14ac:dyDescent="0.25">
      <c r="A112" s="38" t="s">
        <v>1116</v>
      </c>
      <c r="B112" s="57" t="str">
        <f>IF($A112="","",IFERROR(INDEX(Références!$C$2:$C$201,MATCH($A112,Références!$A$2:$A$201,0)),""))</f>
        <v>Broutin (2010)</v>
      </c>
      <c r="C112" s="58">
        <f>IF($A112="","",IFERROR(INDEX(Références!$G$2:$G$201,MATCH($A112,Références!$A$2:$A$201,0)),""))</f>
        <v>7</v>
      </c>
      <c r="D112" s="57" t="str">
        <f>IF($A112="","",IFERROR(INDEX('Lecture détaillée'!$J$5:$J$204,MATCH($A112,'Lecture détaillée'!$A$5:$A$204,0)),""))</f>
        <v>Aucun</v>
      </c>
      <c r="E112" s="59"/>
      <c r="F112" s="59"/>
      <c r="G112" s="59"/>
      <c r="H112" s="59" t="s">
        <v>2905</v>
      </c>
      <c r="I112" s="59"/>
      <c r="J112" s="59"/>
      <c r="K112" s="59"/>
      <c r="L112" s="59"/>
      <c r="M112" s="59"/>
      <c r="N112" s="59"/>
      <c r="O112" s="59"/>
      <c r="P112" s="59"/>
      <c r="Q112" s="59"/>
      <c r="R112" s="59"/>
      <c r="S112" s="59" t="s">
        <v>2905</v>
      </c>
      <c r="T112" s="59"/>
      <c r="U112" s="59"/>
      <c r="V112" s="59"/>
      <c r="W112" s="59"/>
      <c r="X112" s="59"/>
      <c r="Y112" s="59"/>
      <c r="Z112" s="59"/>
      <c r="AA112" s="59"/>
      <c r="AB112" s="59" t="s">
        <v>2905</v>
      </c>
      <c r="AC112" s="59"/>
      <c r="AD112" s="59"/>
      <c r="AE112" s="59"/>
      <c r="AF112" s="59"/>
      <c r="AG112" s="59"/>
      <c r="AH112" s="59"/>
      <c r="AI112" s="59" t="s">
        <v>2905</v>
      </c>
      <c r="AJ112" s="59"/>
      <c r="AK112" s="59"/>
      <c r="AL112" s="59"/>
      <c r="AM112" s="59"/>
      <c r="AN112" s="59"/>
    </row>
    <row r="113" spans="1:40" x14ac:dyDescent="0.25">
      <c r="A113" s="38" t="s">
        <v>1128</v>
      </c>
      <c r="B113" s="57" t="str">
        <f>IF($A113="","",IFERROR(INDEX(Références!$C$2:$C$201,MATCH($A113,Références!$A$2:$A$201,0)),""))</f>
        <v>Clavel &amp; Courant (2018)</v>
      </c>
      <c r="C113" s="58">
        <f>IF($A113="","",IFERROR(INDEX(Références!$G$2:$G$201,MATCH($A113,Références!$A$2:$A$201,0)),""))</f>
        <v>7</v>
      </c>
      <c r="D113" s="57" t="str">
        <f>IF($A113="","",IFERROR(INDEX('Lecture détaillée'!$J$5:$J$204,MATCH($A113,'Lecture détaillée'!$A$5:$A$204,0)),""))</f>
        <v>Aucun</v>
      </c>
      <c r="E113" s="59"/>
      <c r="F113" s="59" t="s">
        <v>2905</v>
      </c>
      <c r="G113" s="59"/>
      <c r="H113" s="59"/>
      <c r="I113" s="59"/>
      <c r="J113" s="59"/>
      <c r="K113" s="59"/>
      <c r="L113" s="59" t="s">
        <v>2905</v>
      </c>
      <c r="M113" s="59"/>
      <c r="N113" s="59"/>
      <c r="O113" s="59"/>
      <c r="P113" s="59"/>
      <c r="Q113" s="59"/>
      <c r="R113" s="59"/>
      <c r="S113" s="59"/>
      <c r="T113" s="59" t="s">
        <v>2905</v>
      </c>
      <c r="U113" s="59"/>
      <c r="V113" s="59"/>
      <c r="W113" s="59"/>
      <c r="X113" s="59" t="s">
        <v>2905</v>
      </c>
      <c r="Y113" s="59"/>
      <c r="Z113" s="59"/>
      <c r="AA113" s="59"/>
      <c r="AB113" s="59"/>
      <c r="AC113" s="59"/>
      <c r="AD113" s="59"/>
      <c r="AE113" s="59"/>
      <c r="AF113" s="59"/>
      <c r="AG113" s="59"/>
      <c r="AH113" s="59"/>
      <c r="AI113" s="59"/>
      <c r="AJ113" s="59"/>
      <c r="AK113" s="59" t="s">
        <v>2905</v>
      </c>
      <c r="AL113" s="59"/>
      <c r="AM113" s="59"/>
      <c r="AN113" s="59"/>
    </row>
    <row r="114" spans="1:40" x14ac:dyDescent="0.25">
      <c r="A114" s="38" t="s">
        <v>1138</v>
      </c>
      <c r="B114" s="57" t="str">
        <f>IF($A114="","",IFERROR(INDEX(Références!$C$2:$C$201,MATCH($A114,Références!$A$2:$A$201,0)),""))</f>
        <v>Wang et al. (2013)</v>
      </c>
      <c r="C114" s="58">
        <f>IF($A114="","",IFERROR(INDEX(Références!$G$2:$G$201,MATCH($A114,Références!$A$2:$A$201,0)),""))</f>
        <v>7</v>
      </c>
      <c r="D114" s="57" t="str">
        <f>IF($A114="","",IFERROR(INDEX('Lecture détaillée'!$J$5:$J$204,MATCH($A114,'Lecture détaillée'!$A$5:$A$204,0)),""))</f>
        <v>Complet</v>
      </c>
      <c r="E114" s="59"/>
      <c r="F114" s="59" t="s">
        <v>2905</v>
      </c>
      <c r="G114" s="59"/>
      <c r="H114" s="59"/>
      <c r="I114" s="59"/>
      <c r="J114" s="59" t="s">
        <v>2905</v>
      </c>
      <c r="K114" s="59"/>
      <c r="L114" s="59"/>
      <c r="M114" s="59" t="s">
        <v>2905</v>
      </c>
      <c r="N114" s="59"/>
      <c r="O114" s="59"/>
      <c r="P114" s="59"/>
      <c r="Q114" s="59"/>
      <c r="R114" s="59"/>
      <c r="S114" s="59" t="s">
        <v>2905</v>
      </c>
      <c r="T114" s="59"/>
      <c r="U114" s="59"/>
      <c r="V114" s="59"/>
      <c r="W114" s="59"/>
      <c r="X114" s="59"/>
      <c r="Y114" s="59"/>
      <c r="Z114" s="59" t="s">
        <v>2905</v>
      </c>
      <c r="AA114" s="59"/>
      <c r="AB114" s="59"/>
      <c r="AC114" s="59"/>
      <c r="AD114" s="59" t="s">
        <v>2905</v>
      </c>
      <c r="AE114" s="59" t="s">
        <v>2905</v>
      </c>
      <c r="AF114" s="59"/>
      <c r="AG114" s="59"/>
      <c r="AH114" s="59"/>
      <c r="AI114" s="59" t="s">
        <v>2905</v>
      </c>
      <c r="AJ114" s="59"/>
      <c r="AK114" s="59"/>
      <c r="AL114" s="59" t="s">
        <v>2905</v>
      </c>
      <c r="AM114" s="59"/>
      <c r="AN114" s="59"/>
    </row>
    <row r="115" spans="1:40" x14ac:dyDescent="0.25">
      <c r="A115" s="38" t="s">
        <v>1184</v>
      </c>
      <c r="B115" s="57" t="str">
        <f>IF($A115="","",IFERROR(INDEX(Références!$C$2:$C$201,MATCH($A115,Références!$A$2:$A$201,0)),""))</f>
        <v>Airbus S.A.S. (2025)</v>
      </c>
      <c r="C115" s="58">
        <f>IF($A115="","",IFERROR(INDEX(Références!$G$2:$G$201,MATCH($A115,Références!$A$2:$A$201,0)),""))</f>
        <v>7</v>
      </c>
      <c r="D115" s="57" t="str">
        <f>IF($A115="","",IFERROR(INDEX('Lecture détaillée'!$J$5:$J$204,MATCH($A115,'Lecture détaillée'!$A$5:$A$204,0)),""))</f>
        <v>Aucun</v>
      </c>
      <c r="E115" s="59"/>
      <c r="F115" s="59" t="s">
        <v>2905</v>
      </c>
      <c r="G115" s="59"/>
      <c r="H115" s="59"/>
      <c r="I115" s="59"/>
      <c r="J115" s="59"/>
      <c r="K115" s="59"/>
      <c r="L115" s="59"/>
      <c r="M115" s="59"/>
      <c r="N115" s="59"/>
      <c r="O115" s="59"/>
      <c r="P115" s="59"/>
      <c r="Q115" s="59"/>
      <c r="R115" s="59"/>
      <c r="S115" s="59"/>
      <c r="T115" s="59"/>
      <c r="U115" s="59"/>
      <c r="V115" s="59"/>
      <c r="W115" s="59"/>
      <c r="X115" s="59" t="s">
        <v>2905</v>
      </c>
      <c r="Y115" s="59"/>
      <c r="Z115" s="59"/>
      <c r="AA115" s="59"/>
      <c r="AB115" s="59"/>
      <c r="AC115" s="59"/>
      <c r="AD115" s="59"/>
      <c r="AE115" s="59"/>
      <c r="AF115" s="59"/>
      <c r="AG115" s="59"/>
      <c r="AH115" s="59"/>
      <c r="AI115" s="59"/>
      <c r="AJ115" s="59"/>
      <c r="AK115" s="59" t="s">
        <v>2905</v>
      </c>
      <c r="AL115" s="59"/>
      <c r="AM115" s="59"/>
      <c r="AN115" s="59"/>
    </row>
    <row r="116" spans="1:40" x14ac:dyDescent="0.25">
      <c r="A116" s="38" t="s">
        <v>1193</v>
      </c>
      <c r="B116" s="57" t="str">
        <f>IF($A116="","",IFERROR(INDEX(Références!$C$2:$C$201,MATCH($A116,Références!$A$2:$A$201,0)),""))</f>
        <v>Gharbi et al. (2022)</v>
      </c>
      <c r="C116" s="58">
        <f>IF($A116="","",IFERROR(INDEX(Références!$G$2:$G$201,MATCH($A116,Références!$A$2:$A$201,0)),""))</f>
        <v>7</v>
      </c>
      <c r="D116" s="57" t="str">
        <f>IF($A116="","",IFERROR(INDEX('Lecture détaillée'!$J$5:$J$204,MATCH($A116,'Lecture détaillée'!$A$5:$A$204,0)),""))</f>
        <v>Complet</v>
      </c>
      <c r="E116" s="59"/>
      <c r="F116" s="59"/>
      <c r="G116" s="59"/>
      <c r="H116" s="59" t="s">
        <v>2905</v>
      </c>
      <c r="I116" s="59"/>
      <c r="J116" s="59"/>
      <c r="K116" s="59"/>
      <c r="L116" s="59"/>
      <c r="M116" s="59"/>
      <c r="N116" s="59"/>
      <c r="O116" s="59"/>
      <c r="P116" s="59"/>
      <c r="Q116" s="59" t="s">
        <v>2905</v>
      </c>
      <c r="R116" s="59"/>
      <c r="S116" s="59"/>
      <c r="T116" s="59"/>
      <c r="U116" s="59"/>
      <c r="V116" s="59"/>
      <c r="W116" s="59"/>
      <c r="X116" s="59"/>
      <c r="Y116" s="59"/>
      <c r="Z116" s="59"/>
      <c r="AA116" s="59"/>
      <c r="AB116" s="59" t="s">
        <v>2905</v>
      </c>
      <c r="AC116" s="59"/>
      <c r="AD116" s="59"/>
      <c r="AE116" s="59"/>
      <c r="AF116" s="59"/>
      <c r="AG116" s="59"/>
      <c r="AH116" s="59"/>
      <c r="AI116" s="59" t="s">
        <v>2905</v>
      </c>
      <c r="AJ116" s="59" t="s">
        <v>2905</v>
      </c>
      <c r="AK116" s="59"/>
      <c r="AL116" s="59" t="s">
        <v>2905</v>
      </c>
      <c r="AM116" s="59"/>
      <c r="AN116" s="59"/>
    </row>
    <row r="117" spans="1:40" x14ac:dyDescent="0.25">
      <c r="A117" s="38" t="s">
        <v>1516</v>
      </c>
      <c r="B117" s="57" t="str">
        <f>IF($A117="","",IFERROR(INDEX(Références!$C$2:$C$201,MATCH($A117,Références!$A$2:$A$201,0)),""))</f>
        <v>FAA (2021)</v>
      </c>
      <c r="C117" s="58">
        <f>IF($A117="","",IFERROR(INDEX(Références!$G$2:$G$201,MATCH($A117,Références!$A$2:$A$201,0)),""))</f>
        <v>7</v>
      </c>
      <c r="D117" s="57" t="str">
        <f>IF($A117="","",IFERROR(INDEX('Lecture détaillée'!$J$5:$J$204,MATCH($A117,'Lecture détaillée'!$A$5:$A$204,0)),""))</f>
        <v>Aucun</v>
      </c>
      <c r="E117" s="59"/>
      <c r="F117" s="59" t="s">
        <v>2905</v>
      </c>
      <c r="G117" s="59"/>
      <c r="H117" s="59"/>
      <c r="I117" s="59"/>
      <c r="J117" s="59"/>
      <c r="K117" s="59"/>
      <c r="L117" s="59"/>
      <c r="M117" s="59"/>
      <c r="N117" s="59"/>
      <c r="O117" s="59"/>
      <c r="P117" s="59"/>
      <c r="Q117" s="59"/>
      <c r="R117" s="59"/>
      <c r="S117" s="59"/>
      <c r="T117" s="59"/>
      <c r="U117" s="59"/>
      <c r="V117" s="59"/>
      <c r="W117" s="59"/>
      <c r="X117" s="59" t="s">
        <v>2905</v>
      </c>
      <c r="Y117" s="59"/>
      <c r="Z117" s="59"/>
      <c r="AA117" s="59"/>
      <c r="AB117" s="59"/>
      <c r="AC117" s="59"/>
      <c r="AD117" s="59"/>
      <c r="AE117" s="59" t="s">
        <v>2905</v>
      </c>
      <c r="AF117" s="59"/>
      <c r="AG117" s="59"/>
      <c r="AH117" s="59"/>
      <c r="AI117" s="59"/>
      <c r="AJ117" s="59"/>
      <c r="AK117" s="59"/>
      <c r="AL117" s="59"/>
      <c r="AM117" s="59"/>
      <c r="AN117" s="59"/>
    </row>
    <row r="118" spans="1:40" x14ac:dyDescent="0.25">
      <c r="A118" s="38" t="s">
        <v>1528</v>
      </c>
      <c r="B118" s="57" t="str">
        <f>IF($A118="","",IFERROR(INDEX(Références!$C$2:$C$201,MATCH($A118,Références!$A$2:$A$201,0)),""))</f>
        <v>FAA (2022)</v>
      </c>
      <c r="C118" s="58">
        <f>IF($A118="","",IFERROR(INDEX(Références!$G$2:$G$201,MATCH($A118,Références!$A$2:$A$201,0)),""))</f>
        <v>7</v>
      </c>
      <c r="D118" s="57" t="str">
        <f>IF($A118="","",IFERROR(INDEX('Lecture détaillée'!$J$5:$J$204,MATCH($A118,'Lecture détaillée'!$A$5:$A$204,0)),""))</f>
        <v>Aucun</v>
      </c>
      <c r="E118" s="59"/>
      <c r="F118" s="59" t="s">
        <v>2905</v>
      </c>
      <c r="G118" s="59"/>
      <c r="H118" s="59"/>
      <c r="I118" s="59"/>
      <c r="J118" s="59"/>
      <c r="K118" s="59"/>
      <c r="L118" s="59"/>
      <c r="M118" s="59"/>
      <c r="N118" s="59"/>
      <c r="O118" s="59"/>
      <c r="P118" s="59"/>
      <c r="Q118" s="59"/>
      <c r="R118" s="59"/>
      <c r="S118" s="59"/>
      <c r="T118" s="59"/>
      <c r="U118" s="59"/>
      <c r="V118" s="59"/>
      <c r="W118" s="59"/>
      <c r="X118" s="59" t="s">
        <v>2905</v>
      </c>
      <c r="Y118" s="59"/>
      <c r="Z118" s="59"/>
      <c r="AA118" s="59"/>
      <c r="AB118" s="59"/>
      <c r="AC118" s="59"/>
      <c r="AD118" s="59"/>
      <c r="AE118" s="59"/>
      <c r="AF118" s="59"/>
      <c r="AG118" s="59"/>
      <c r="AH118" s="59"/>
      <c r="AI118" s="59"/>
      <c r="AJ118" s="59"/>
      <c r="AK118" s="59" t="s">
        <v>2905</v>
      </c>
      <c r="AL118" s="59"/>
      <c r="AM118" s="59"/>
      <c r="AN118" s="59"/>
    </row>
    <row r="119" spans="1:40" x14ac:dyDescent="0.25">
      <c r="A119" s="38" t="s">
        <v>1537</v>
      </c>
      <c r="B119" s="57" t="str">
        <f>IF($A119="","",IFERROR(INDEX(Références!$C$2:$C$201,MATCH($A119,Références!$A$2:$A$201,0)),""))</f>
        <v>HoSang (1975)</v>
      </c>
      <c r="C119" s="58">
        <f>IF($A119="","",IFERROR(INDEX(Références!$G$2:$G$201,MATCH($A119,Références!$A$2:$A$201,0)),""))</f>
        <v>7</v>
      </c>
      <c r="D119" s="57" t="str">
        <f>IF($A119="","",IFERROR(INDEX('Lecture détaillée'!$J$5:$J$204,MATCH($A119,'Lecture détaillée'!$A$5:$A$204,0)),""))</f>
        <v>Aucun</v>
      </c>
      <c r="E119" s="59"/>
      <c r="F119" s="59" t="s">
        <v>2905</v>
      </c>
      <c r="G119" s="59"/>
      <c r="H119" s="59"/>
      <c r="I119" s="59"/>
      <c r="J119" s="59"/>
      <c r="K119" s="59"/>
      <c r="L119" s="59"/>
      <c r="M119" s="59"/>
      <c r="N119" s="59"/>
      <c r="O119" s="59"/>
      <c r="P119" s="59"/>
      <c r="Q119" s="59" t="s">
        <v>2905</v>
      </c>
      <c r="R119" s="59"/>
      <c r="S119" s="59"/>
      <c r="T119" s="59"/>
      <c r="U119" s="59"/>
      <c r="V119" s="59"/>
      <c r="W119" s="59"/>
      <c r="X119" s="59"/>
      <c r="Y119" s="59"/>
      <c r="Z119" s="59" t="s">
        <v>2905</v>
      </c>
      <c r="AA119" s="59"/>
      <c r="AB119" s="59"/>
      <c r="AC119" s="59"/>
      <c r="AD119" s="59"/>
      <c r="AE119" s="59"/>
      <c r="AF119" s="59"/>
      <c r="AG119" s="59"/>
      <c r="AH119" s="59"/>
      <c r="AI119" s="59"/>
      <c r="AJ119" s="59"/>
      <c r="AK119" s="59" t="s">
        <v>2905</v>
      </c>
      <c r="AL119" s="59"/>
      <c r="AM119" s="59"/>
      <c r="AN119" s="59"/>
    </row>
    <row r="120" spans="1:40" x14ac:dyDescent="0.25">
      <c r="A120" s="38" t="s">
        <v>1548</v>
      </c>
      <c r="B120" s="57" t="str">
        <f>IF($A120="","",IFERROR(INDEX(Références!$C$2:$C$201,MATCH($A120,Références!$A$2:$A$201,0)),""))</f>
        <v>OACI (2022)</v>
      </c>
      <c r="C120" s="58">
        <f>IF($A120="","",IFERROR(INDEX(Références!$G$2:$G$201,MATCH($A120,Références!$A$2:$A$201,0)),""))</f>
        <v>7</v>
      </c>
      <c r="D120" s="57" t="str">
        <f>IF($A120="","",IFERROR(INDEX('Lecture détaillée'!$J$5:$J$204,MATCH($A120,'Lecture détaillée'!$A$5:$A$204,0)),""))</f>
        <v>Aucun</v>
      </c>
      <c r="E120" s="59"/>
      <c r="F120" s="59" t="s">
        <v>2905</v>
      </c>
      <c r="G120" s="59"/>
      <c r="H120" s="59"/>
      <c r="I120" s="59"/>
      <c r="J120" s="59"/>
      <c r="K120" s="59"/>
      <c r="L120" s="59"/>
      <c r="M120" s="59"/>
      <c r="N120" s="59"/>
      <c r="O120" s="59"/>
      <c r="P120" s="59"/>
      <c r="Q120" s="59"/>
      <c r="R120" s="59"/>
      <c r="S120" s="59"/>
      <c r="T120" s="59"/>
      <c r="U120" s="59"/>
      <c r="V120" s="59"/>
      <c r="W120" s="59"/>
      <c r="X120" s="59" t="s">
        <v>2905</v>
      </c>
      <c r="Y120" s="59"/>
      <c r="Z120" s="59"/>
      <c r="AA120" s="59"/>
      <c r="AB120" s="59"/>
      <c r="AC120" s="59"/>
      <c r="AD120" s="59"/>
      <c r="AE120" s="59"/>
      <c r="AF120" s="59"/>
      <c r="AG120" s="59"/>
      <c r="AH120" s="59"/>
      <c r="AI120" s="59"/>
      <c r="AJ120" s="59"/>
      <c r="AK120" s="59" t="s">
        <v>2905</v>
      </c>
      <c r="AL120" s="59"/>
      <c r="AM120" s="59"/>
      <c r="AN120" s="59"/>
    </row>
    <row r="121" spans="1:40" x14ac:dyDescent="0.25">
      <c r="A121" s="38" t="s">
        <v>1560</v>
      </c>
      <c r="B121" s="57" t="str">
        <f>IF($A121="","",IFERROR(INDEX(Références!$C$2:$C$201,MATCH($A121,Références!$A$2:$A$201,0)),""))</f>
        <v>OACI (2022)</v>
      </c>
      <c r="C121" s="58">
        <f>IF($A121="","",IFERROR(INDEX(Références!$G$2:$G$201,MATCH($A121,Références!$A$2:$A$201,0)),""))</f>
        <v>7</v>
      </c>
      <c r="D121" s="57" t="str">
        <f>IF($A121="","",IFERROR(INDEX('Lecture détaillée'!$J$5:$J$204,MATCH($A121,'Lecture détaillée'!$A$5:$A$204,0)),""))</f>
        <v>Aucun</v>
      </c>
      <c r="E121" s="59"/>
      <c r="F121" s="59" t="s">
        <v>2905</v>
      </c>
      <c r="G121" s="59"/>
      <c r="H121" s="59"/>
      <c r="I121" s="59"/>
      <c r="J121" s="59"/>
      <c r="K121" s="59"/>
      <c r="L121" s="59"/>
      <c r="M121" s="59"/>
      <c r="N121" s="59"/>
      <c r="O121" s="59"/>
      <c r="P121" s="59"/>
      <c r="Q121" s="59"/>
      <c r="R121" s="59"/>
      <c r="S121" s="59"/>
      <c r="T121" s="59"/>
      <c r="U121" s="59"/>
      <c r="V121" s="59"/>
      <c r="W121" s="59"/>
      <c r="X121" s="59" t="s">
        <v>2905</v>
      </c>
      <c r="Y121" s="59"/>
      <c r="Z121" s="59"/>
      <c r="AA121" s="59"/>
      <c r="AB121" s="59"/>
      <c r="AC121" s="59"/>
      <c r="AD121" s="59"/>
      <c r="AE121" s="59"/>
      <c r="AF121" s="59"/>
      <c r="AG121" s="59"/>
      <c r="AH121" s="59"/>
      <c r="AI121" s="59"/>
      <c r="AJ121" s="59"/>
      <c r="AK121" s="59" t="s">
        <v>2905</v>
      </c>
      <c r="AL121" s="59"/>
      <c r="AM121" s="59"/>
      <c r="AN121" s="59"/>
    </row>
    <row r="122" spans="1:40" x14ac:dyDescent="0.25">
      <c r="A122" s="38" t="s">
        <v>1568</v>
      </c>
      <c r="B122" s="57" t="str">
        <f>IF($A122="","",IFERROR(INDEX(Références!$C$2:$C$201,MATCH($A122,Références!$A$2:$A$201,0)),""))</f>
        <v>Roginski (2007)</v>
      </c>
      <c r="C122" s="58">
        <f>IF($A122="","",IFERROR(INDEX(Références!$G$2:$G$201,MATCH($A122,Références!$A$2:$A$201,0)),""))</f>
        <v>7</v>
      </c>
      <c r="D122" s="57" t="str">
        <f>IF($A122="","",IFERROR(INDEX('Lecture détaillée'!$J$5:$J$204,MATCH($A122,'Lecture détaillée'!$A$5:$A$204,0)),""))</f>
        <v>Partiel</v>
      </c>
      <c r="E122" s="59"/>
      <c r="F122" s="59" t="s">
        <v>2905</v>
      </c>
      <c r="G122" s="59"/>
      <c r="H122" s="59"/>
      <c r="I122" s="59"/>
      <c r="J122" s="59"/>
      <c r="K122" s="59"/>
      <c r="L122" s="59"/>
      <c r="M122" s="59"/>
      <c r="N122" s="59"/>
      <c r="O122" s="59"/>
      <c r="P122" s="59"/>
      <c r="Q122" s="59" t="s">
        <v>2905</v>
      </c>
      <c r="R122" s="59"/>
      <c r="S122" s="59"/>
      <c r="T122" s="59"/>
      <c r="U122" s="59"/>
      <c r="V122" s="59"/>
      <c r="W122" s="59"/>
      <c r="X122" s="59"/>
      <c r="Y122" s="59"/>
      <c r="Z122" s="59" t="s">
        <v>2905</v>
      </c>
      <c r="AA122" s="59"/>
      <c r="AB122" s="59"/>
      <c r="AC122" s="59"/>
      <c r="AD122" s="59"/>
      <c r="AE122" s="59"/>
      <c r="AF122" s="59" t="s">
        <v>2905</v>
      </c>
      <c r="AG122" s="59" t="s">
        <v>2905</v>
      </c>
      <c r="AH122" s="59"/>
      <c r="AI122" s="59"/>
      <c r="AJ122" s="59"/>
      <c r="AK122" s="59"/>
      <c r="AL122" s="59" t="s">
        <v>2905</v>
      </c>
      <c r="AM122" s="59"/>
      <c r="AN122" s="59"/>
    </row>
    <row r="123" spans="1:40" x14ac:dyDescent="0.25">
      <c r="A123" s="38" t="s">
        <v>1580</v>
      </c>
      <c r="B123" s="57" t="str">
        <f>IF($A123="","",IFERROR(INDEX(Références!$C$2:$C$201,MATCH($A123,Références!$A$2:$A$201,0)),""))</f>
        <v>Travailleur &amp; Broutin (2022)</v>
      </c>
      <c r="C123" s="58">
        <f>IF($A123="","",IFERROR(INDEX(Références!$G$2:$G$201,MATCH($A123,Références!$A$2:$A$201,0)),""))</f>
        <v>7</v>
      </c>
      <c r="D123" s="57" t="str">
        <f>IF($A123="","",IFERROR(INDEX('Lecture détaillée'!$J$5:$J$204,MATCH($A123,'Lecture détaillée'!$A$5:$A$204,0)),""))</f>
        <v>Partiel</v>
      </c>
      <c r="E123" s="59"/>
      <c r="F123" s="59" t="s">
        <v>2905</v>
      </c>
      <c r="G123" s="59"/>
      <c r="H123" s="59"/>
      <c r="I123" s="59"/>
      <c r="J123" s="59"/>
      <c r="K123" s="59"/>
      <c r="L123" s="59"/>
      <c r="M123" s="59"/>
      <c r="N123" s="59"/>
      <c r="O123" s="59"/>
      <c r="P123" s="59"/>
      <c r="Q123" s="59"/>
      <c r="R123" s="59"/>
      <c r="S123" s="59"/>
      <c r="T123" s="59"/>
      <c r="U123" s="59"/>
      <c r="V123" s="59"/>
      <c r="W123" s="59"/>
      <c r="X123" s="59" t="s">
        <v>2905</v>
      </c>
      <c r="Y123" s="59"/>
      <c r="Z123" s="59"/>
      <c r="AA123" s="59"/>
      <c r="AB123" s="59"/>
      <c r="AC123" s="59"/>
      <c r="AD123" s="59"/>
      <c r="AE123" s="59"/>
      <c r="AF123" s="59"/>
      <c r="AG123" s="59"/>
      <c r="AH123" s="59"/>
      <c r="AI123" s="59"/>
      <c r="AJ123" s="59"/>
      <c r="AK123" s="59" t="s">
        <v>2905</v>
      </c>
      <c r="AL123" s="59"/>
      <c r="AM123" s="59"/>
      <c r="AN123" s="59"/>
    </row>
    <row r="124" spans="1:40" x14ac:dyDescent="0.25">
      <c r="A124" s="38" t="s">
        <v>1637</v>
      </c>
      <c r="B124" s="57" t="str">
        <f>IF($A124="","",IFERROR(INDEX(Références!$C$2:$C$201,MATCH($A124,Références!$A$2:$A$201,0)),""))</f>
        <v>Bazi et al. (2021)</v>
      </c>
      <c r="C124" s="58">
        <f>IF($A124="","",IFERROR(INDEX(Références!$G$2:$G$201,MATCH($A124,Références!$A$2:$A$201,0)),""))</f>
        <v>7</v>
      </c>
      <c r="D124" s="57" t="str">
        <f>IF($A124="","",IFERROR(INDEX('Lecture détaillée'!$J$5:$J$204,MATCH($A124,'Lecture détaillée'!$A$5:$A$204,0)),""))</f>
        <v>Complet</v>
      </c>
      <c r="E124" s="59"/>
      <c r="F124" s="59" t="s">
        <v>2905</v>
      </c>
      <c r="G124" s="59"/>
      <c r="H124" s="59"/>
      <c r="I124" s="59"/>
      <c r="J124" s="59"/>
      <c r="K124" s="59"/>
      <c r="L124" s="59"/>
      <c r="M124" s="59"/>
      <c r="N124" s="59"/>
      <c r="O124" s="59"/>
      <c r="P124" s="59"/>
      <c r="Q124" s="59" t="s">
        <v>2905</v>
      </c>
      <c r="R124" s="59"/>
      <c r="S124" s="59" t="s">
        <v>2905</v>
      </c>
      <c r="T124" s="59"/>
      <c r="U124" s="59"/>
      <c r="V124" s="59"/>
      <c r="W124" s="59"/>
      <c r="X124" s="59"/>
      <c r="Y124" s="59"/>
      <c r="Z124" s="59" t="s">
        <v>2905</v>
      </c>
      <c r="AA124" s="59"/>
      <c r="AB124" s="59"/>
      <c r="AC124" s="59"/>
      <c r="AD124" s="59"/>
      <c r="AE124" s="59"/>
      <c r="AF124" s="59" t="s">
        <v>2905</v>
      </c>
      <c r="AG124" s="59"/>
      <c r="AH124" s="59"/>
      <c r="AI124" s="59"/>
      <c r="AJ124" s="59" t="s">
        <v>2905</v>
      </c>
      <c r="AK124" s="59"/>
      <c r="AL124" s="59" t="s">
        <v>2905</v>
      </c>
      <c r="AM124" s="59"/>
      <c r="AN124" s="59"/>
    </row>
    <row r="125" spans="1:40" x14ac:dyDescent="0.25">
      <c r="A125" s="38" t="s">
        <v>1648</v>
      </c>
      <c r="B125" s="57" t="str">
        <f>IF($A125="","",IFERROR(INDEX(Références!$C$2:$C$201,MATCH($A125,Références!$A$2:$A$201,0)),""))</f>
        <v>FAA (2024)</v>
      </c>
      <c r="C125" s="58">
        <f>IF($A125="","",IFERROR(INDEX(Références!$G$2:$G$201,MATCH($A125,Références!$A$2:$A$201,0)),""))</f>
        <v>7</v>
      </c>
      <c r="D125" s="57" t="str">
        <f>IF($A125="","",IFERROR(INDEX('Lecture détaillée'!$J$5:$J$204,MATCH($A125,'Lecture détaillée'!$A$5:$A$204,0)),""))</f>
        <v>Aucun</v>
      </c>
      <c r="E125" s="59"/>
      <c r="F125" s="59" t="s">
        <v>2905</v>
      </c>
      <c r="G125" s="59"/>
      <c r="H125" s="59"/>
      <c r="I125" s="59"/>
      <c r="J125" s="59"/>
      <c r="K125" s="59"/>
      <c r="L125" s="59"/>
      <c r="M125" s="59"/>
      <c r="N125" s="59"/>
      <c r="O125" s="59"/>
      <c r="P125" s="59"/>
      <c r="Q125" s="59"/>
      <c r="R125" s="59"/>
      <c r="S125" s="59"/>
      <c r="T125" s="59"/>
      <c r="U125" s="59"/>
      <c r="V125" s="59"/>
      <c r="W125" s="59"/>
      <c r="X125" s="59" t="s">
        <v>2905</v>
      </c>
      <c r="Y125" s="59"/>
      <c r="Z125" s="59"/>
      <c r="AA125" s="59"/>
      <c r="AB125" s="59"/>
      <c r="AC125" s="59"/>
      <c r="AD125" s="59"/>
      <c r="AE125" s="59"/>
      <c r="AF125" s="59"/>
      <c r="AG125" s="59"/>
      <c r="AH125" s="59"/>
      <c r="AI125" s="59"/>
      <c r="AJ125" s="59"/>
      <c r="AK125" s="59" t="s">
        <v>2905</v>
      </c>
      <c r="AL125" s="59"/>
      <c r="AM125" s="59"/>
      <c r="AN125" s="59"/>
    </row>
    <row r="126" spans="1:40" x14ac:dyDescent="0.25">
      <c r="A126" s="38" t="s">
        <v>1149</v>
      </c>
      <c r="B126" s="57" t="str">
        <f>IF($A126="","",IFERROR(INDEX(Références!$C$2:$C$201,MATCH($A126,Références!$A$2:$A$201,0)),""))</f>
        <v>LCPC &amp; SETRA (1994)</v>
      </c>
      <c r="C126" s="58">
        <f>IF($A126="","",IFERROR(INDEX(Références!$G$2:$G$201,MATCH($A126,Références!$A$2:$A$201,0)),""))</f>
        <v>8</v>
      </c>
      <c r="D126" s="57" t="str">
        <f>IF($A126="","",IFERROR(INDEX('Lecture détaillée'!$J$5:$J$204,MATCH($A126,'Lecture détaillée'!$A$5:$A$204,0)),""))</f>
        <v>Aucun</v>
      </c>
      <c r="E126" s="59" t="s">
        <v>2905</v>
      </c>
      <c r="F126" s="59"/>
      <c r="G126" s="59"/>
      <c r="H126" s="59"/>
      <c r="I126" s="59"/>
      <c r="J126" s="59"/>
      <c r="K126" s="59"/>
      <c r="L126" s="59" t="s">
        <v>2905</v>
      </c>
      <c r="M126" s="59"/>
      <c r="N126" s="59"/>
      <c r="O126" s="59"/>
      <c r="P126" s="59"/>
      <c r="Q126" s="59"/>
      <c r="R126" s="59"/>
      <c r="S126" s="59"/>
      <c r="T126" s="59" t="s">
        <v>2905</v>
      </c>
      <c r="U126" s="59"/>
      <c r="V126" s="59"/>
      <c r="W126" s="59"/>
      <c r="X126" s="59" t="s">
        <v>2905</v>
      </c>
      <c r="Y126" s="59"/>
      <c r="Z126" s="59"/>
      <c r="AA126" s="59"/>
      <c r="AB126" s="59"/>
      <c r="AC126" s="59"/>
      <c r="AD126" s="59"/>
      <c r="AE126" s="59" t="s">
        <v>2905</v>
      </c>
      <c r="AF126" s="59"/>
      <c r="AG126" s="59"/>
      <c r="AH126" s="59"/>
      <c r="AI126" s="59"/>
      <c r="AJ126" s="59"/>
      <c r="AK126" s="59"/>
      <c r="AL126" s="59"/>
      <c r="AM126" s="59"/>
      <c r="AN126" s="59"/>
    </row>
    <row r="127" spans="1:40" x14ac:dyDescent="0.25">
      <c r="A127" s="38" t="s">
        <v>1203</v>
      </c>
      <c r="B127" s="57" t="str">
        <f>IF($A127="","",IFERROR(INDEX(Références!$C$2:$C$201,MATCH($A127,Références!$A$2:$A$201,0)),""))</f>
        <v>AFNOR (2019)</v>
      </c>
      <c r="C127" s="58">
        <f>IF($A127="","",IFERROR(INDEX(Références!$G$2:$G$201,MATCH($A127,Références!$A$2:$A$201,0)),""))</f>
        <v>8</v>
      </c>
      <c r="D127" s="57" t="str">
        <f>IF($A127="","",IFERROR(INDEX('Lecture détaillée'!$J$5:$J$204,MATCH($A127,'Lecture détaillée'!$A$5:$A$204,0)),""))</f>
        <v>Aucun</v>
      </c>
      <c r="E127" s="59" t="s">
        <v>2905</v>
      </c>
      <c r="F127" s="59"/>
      <c r="G127" s="59"/>
      <c r="H127" s="59"/>
      <c r="I127" s="59"/>
      <c r="J127" s="59"/>
      <c r="K127" s="59"/>
      <c r="L127" s="59" t="s">
        <v>2905</v>
      </c>
      <c r="M127" s="59"/>
      <c r="N127" s="59"/>
      <c r="O127" s="59"/>
      <c r="P127" s="59"/>
      <c r="Q127" s="59"/>
      <c r="R127" s="59"/>
      <c r="S127" s="59"/>
      <c r="T127" s="59" t="s">
        <v>2905</v>
      </c>
      <c r="U127" s="59"/>
      <c r="V127" s="59"/>
      <c r="W127" s="59"/>
      <c r="X127" s="59" t="s">
        <v>2905</v>
      </c>
      <c r="Y127" s="59"/>
      <c r="Z127" s="59"/>
      <c r="AA127" s="59"/>
      <c r="AB127" s="59"/>
      <c r="AC127" s="59"/>
      <c r="AD127" s="59"/>
      <c r="AE127" s="59" t="s">
        <v>2905</v>
      </c>
      <c r="AF127" s="59"/>
      <c r="AG127" s="59"/>
      <c r="AH127" s="59"/>
      <c r="AI127" s="59"/>
      <c r="AJ127" s="59"/>
      <c r="AK127" s="59"/>
      <c r="AL127" s="59"/>
      <c r="AM127" s="59"/>
      <c r="AN127" s="59"/>
    </row>
    <row r="128" spans="1:40" x14ac:dyDescent="0.25">
      <c r="A128" s="38" t="s">
        <v>1211</v>
      </c>
      <c r="B128" s="57" t="str">
        <f>IF($A128="","",IFERROR(INDEX(Références!$C$2:$C$201,MATCH($A128,Références!$A$2:$A$201,0)),""))</f>
        <v>IFSTTAR (2016)</v>
      </c>
      <c r="C128" s="58">
        <f>IF($A128="","",IFERROR(INDEX(Références!$G$2:$G$201,MATCH($A128,Références!$A$2:$A$201,0)),""))</f>
        <v>8</v>
      </c>
      <c r="D128" s="57" t="str">
        <f>IF($A128="","",IFERROR(INDEX('Lecture détaillée'!$J$5:$J$204,MATCH($A128,'Lecture détaillée'!$A$5:$A$204,0)),""))</f>
        <v>Aucun</v>
      </c>
      <c r="E128" s="59"/>
      <c r="F128" s="59"/>
      <c r="G128" s="59"/>
      <c r="H128" s="59"/>
      <c r="I128" s="59"/>
      <c r="J128" s="59"/>
      <c r="K128" s="59"/>
      <c r="L128" s="59" t="s">
        <v>2905</v>
      </c>
      <c r="M128" s="59"/>
      <c r="N128" s="59"/>
      <c r="O128" s="59"/>
      <c r="P128" s="59"/>
      <c r="Q128" s="59"/>
      <c r="R128" s="59"/>
      <c r="S128" s="59"/>
      <c r="T128" s="59" t="s">
        <v>2905</v>
      </c>
      <c r="U128" s="59"/>
      <c r="V128" s="59"/>
      <c r="W128" s="59"/>
      <c r="X128" s="59" t="s">
        <v>2905</v>
      </c>
      <c r="Y128" s="59"/>
      <c r="Z128" s="59"/>
      <c r="AA128" s="59"/>
      <c r="AB128" s="59"/>
      <c r="AC128" s="59"/>
      <c r="AD128" s="59"/>
      <c r="AE128" s="59"/>
      <c r="AF128" s="59"/>
      <c r="AG128" s="59"/>
      <c r="AH128" s="59"/>
      <c r="AI128" s="59"/>
      <c r="AJ128" s="59" t="s">
        <v>2905</v>
      </c>
      <c r="AK128" s="59"/>
      <c r="AL128" s="59"/>
      <c r="AM128" s="59"/>
      <c r="AN128" s="59"/>
    </row>
    <row r="129" spans="1:40" x14ac:dyDescent="0.25">
      <c r="A129" s="38" t="s">
        <v>3522</v>
      </c>
      <c r="B129" s="57" t="str">
        <f>IF($A129="","",IFERROR(INDEX(Références!$C$2:$C$201,MATCH($A129,Références!$A$2:$A$201,0)),""))</f>
        <v>Wriggers (2006)</v>
      </c>
      <c r="C129" s="58">
        <f>IF($A129="","",IFERROR(INDEX(Références!$G$2:$G$201,MATCH($A129,Références!$A$2:$A$201,0)),""))</f>
        <v>2</v>
      </c>
      <c r="D129" s="57" t="str">
        <f>IF($A129="","",IFERROR(INDEX('Lecture détaillée'!$J$5:$J$204,MATCH($A129,'Lecture détaillée'!$A$5:$A$204,0)),""))</f>
        <v>Aucun</v>
      </c>
      <c r="E129" s="59"/>
      <c r="F129" s="59"/>
      <c r="G129" s="59"/>
      <c r="H129" s="59"/>
      <c r="I129" s="59"/>
      <c r="J129" s="59" t="s">
        <v>2905</v>
      </c>
      <c r="K129" s="59" t="s">
        <v>2905</v>
      </c>
      <c r="L129" s="59" t="s">
        <v>2905</v>
      </c>
      <c r="M129" s="59"/>
      <c r="N129" s="59"/>
      <c r="O129" s="59"/>
      <c r="P129" s="59"/>
      <c r="Q129" s="59"/>
      <c r="R129" s="59"/>
      <c r="S129" s="59" t="s">
        <v>2905</v>
      </c>
      <c r="T129" s="59"/>
      <c r="U129" s="59"/>
      <c r="V129" s="59"/>
      <c r="W129" s="59"/>
      <c r="X129" s="59" t="s">
        <v>2905</v>
      </c>
      <c r="Y129" s="59" t="s">
        <v>2905</v>
      </c>
      <c r="Z129" s="59"/>
      <c r="AA129" s="59"/>
      <c r="AB129" s="59"/>
      <c r="AC129" s="59" t="s">
        <v>2905</v>
      </c>
      <c r="AD129" s="59"/>
      <c r="AE129" s="59"/>
      <c r="AF129" s="59"/>
      <c r="AG129" s="59"/>
      <c r="AH129" s="59"/>
      <c r="AI129" s="59"/>
      <c r="AJ129" s="59"/>
      <c r="AK129" s="59" t="s">
        <v>2905</v>
      </c>
      <c r="AL129" s="59"/>
      <c r="AM129" s="59"/>
      <c r="AN129" s="59"/>
    </row>
    <row r="130" spans="1:40" x14ac:dyDescent="0.25">
      <c r="A130" s="38" t="s">
        <v>3372</v>
      </c>
      <c r="B130" s="57" t="str">
        <f>IF($A130="","",IFERROR(INDEX(Références!$C$2:$C$201,MATCH($A130,Références!$A$2:$A$201,0)),""))</f>
        <v>Polonsky &amp; Keer (1999)</v>
      </c>
      <c r="C130" s="58">
        <f>IF($A130="","",IFERROR(INDEX(Références!$G$2:$G$201,MATCH($A130,Références!$A$2:$A$201,0)),""))</f>
        <v>2</v>
      </c>
      <c r="D130" s="57" t="str">
        <f>IF($A130="","",IFERROR(INDEX('Lecture détaillée'!$J$5:$J$204,MATCH($A130,'Lecture détaillée'!$A$5:$A$204,0)),""))</f>
        <v>Aucun</v>
      </c>
      <c r="E130" s="59"/>
      <c r="F130" s="59"/>
      <c r="G130" s="59"/>
      <c r="H130" s="59"/>
      <c r="I130" s="59"/>
      <c r="J130" s="59" t="s">
        <v>2905</v>
      </c>
      <c r="K130" s="59"/>
      <c r="L130" s="59" t="s">
        <v>2905</v>
      </c>
      <c r="M130" s="59"/>
      <c r="N130" s="59"/>
      <c r="O130" s="59"/>
      <c r="P130" s="59"/>
      <c r="Q130" s="59"/>
      <c r="R130" s="59"/>
      <c r="S130" s="59"/>
      <c r="T130" s="59" t="s">
        <v>2905</v>
      </c>
      <c r="U130" s="59"/>
      <c r="V130" s="59"/>
      <c r="W130" s="59"/>
      <c r="X130" s="59"/>
      <c r="Y130" s="59" t="s">
        <v>2905</v>
      </c>
      <c r="Z130" s="59"/>
      <c r="AA130" s="59"/>
      <c r="AB130" s="59"/>
      <c r="AC130" s="59" t="s">
        <v>2905</v>
      </c>
      <c r="AD130" s="59"/>
      <c r="AE130" s="59"/>
      <c r="AF130" s="59"/>
      <c r="AG130" s="59"/>
      <c r="AH130" s="59"/>
      <c r="AI130" s="59"/>
      <c r="AJ130" s="59"/>
      <c r="AK130" s="59"/>
      <c r="AL130" s="59"/>
      <c r="AM130" s="59"/>
      <c r="AN130" s="59" t="s">
        <v>2905</v>
      </c>
    </row>
    <row r="131" spans="1:40" x14ac:dyDescent="0.25">
      <c r="A131" s="38" t="s">
        <v>3384</v>
      </c>
      <c r="B131" s="57" t="str">
        <f>IF($A131="","",IFERROR(INDEX(Références!$C$2:$C$201,MATCH($A131,Références!$A$2:$A$201,0)),""))</f>
        <v>Polonsky &amp; Keer (2000)</v>
      </c>
      <c r="C131" s="58">
        <f>IF($A131="","",IFERROR(INDEX(Références!$G$2:$G$201,MATCH($A131,Références!$A$2:$A$201,0)),""))</f>
        <v>2</v>
      </c>
      <c r="D131" s="57" t="str">
        <f>IF($A131="","",IFERROR(INDEX('Lecture détaillée'!$J$5:$J$204,MATCH($A131,'Lecture détaillée'!$A$5:$A$204,0)),""))</f>
        <v>Aucun</v>
      </c>
      <c r="E131" s="59"/>
      <c r="F131" s="59"/>
      <c r="G131" s="59"/>
      <c r="H131" s="59"/>
      <c r="I131" s="59"/>
      <c r="J131" s="59" t="s">
        <v>2905</v>
      </c>
      <c r="K131" s="59"/>
      <c r="L131" s="59" t="s">
        <v>2905</v>
      </c>
      <c r="M131" s="59"/>
      <c r="N131" s="59"/>
      <c r="O131" s="59"/>
      <c r="P131" s="59"/>
      <c r="Q131" s="59"/>
      <c r="R131" s="59"/>
      <c r="S131" s="59"/>
      <c r="T131" s="59" t="s">
        <v>2905</v>
      </c>
      <c r="U131" s="59"/>
      <c r="V131" s="59"/>
      <c r="W131" s="59"/>
      <c r="X131" s="59"/>
      <c r="Y131" s="59" t="s">
        <v>2905</v>
      </c>
      <c r="Z131" s="59"/>
      <c r="AA131" s="59"/>
      <c r="AB131" s="59"/>
      <c r="AC131" s="59" t="s">
        <v>2905</v>
      </c>
      <c r="AD131" s="59"/>
      <c r="AE131" s="59"/>
      <c r="AF131" s="59"/>
      <c r="AG131" s="59"/>
      <c r="AH131" s="59"/>
      <c r="AI131" s="59"/>
      <c r="AJ131" s="59"/>
      <c r="AK131" s="59"/>
      <c r="AL131" s="59"/>
      <c r="AM131" s="59"/>
      <c r="AN131" s="59" t="s">
        <v>2905</v>
      </c>
    </row>
    <row r="132" spans="1:40" x14ac:dyDescent="0.25">
      <c r="A132" s="38" t="s">
        <v>3396</v>
      </c>
      <c r="B132" s="57" t="str">
        <f>IF($A132="","",IFERROR(INDEX(Références!$C$2:$C$201,MATCH($A132,Références!$A$2:$A$201,0)),""))</f>
        <v>Westergaard (1939)</v>
      </c>
      <c r="C132" s="58">
        <f>IF($A132="","",IFERROR(INDEX(Références!$G$2:$G$201,MATCH($A132,Références!$A$2:$A$201,0)),""))</f>
        <v>2</v>
      </c>
      <c r="D132" s="57" t="str">
        <f>IF($A132="","",IFERROR(INDEX('Lecture détaillée'!$J$5:$J$204,MATCH($A132,'Lecture détaillée'!$A$5:$A$204,0)),""))</f>
        <v>Aucun</v>
      </c>
      <c r="E132" s="59"/>
      <c r="F132" s="59"/>
      <c r="G132" s="59"/>
      <c r="H132" s="59"/>
      <c r="I132" s="59"/>
      <c r="J132" s="59" t="s">
        <v>2905</v>
      </c>
      <c r="K132" s="59"/>
      <c r="L132" s="59" t="s">
        <v>2905</v>
      </c>
      <c r="M132" s="59"/>
      <c r="N132" s="59"/>
      <c r="O132" s="59"/>
      <c r="P132" s="59"/>
      <c r="Q132" s="59"/>
      <c r="R132" s="59"/>
      <c r="S132" s="59"/>
      <c r="T132" s="59" t="s">
        <v>2905</v>
      </c>
      <c r="U132" s="59"/>
      <c r="V132" s="59"/>
      <c r="W132" s="59"/>
      <c r="X132" s="59"/>
      <c r="Y132" s="59" t="s">
        <v>2905</v>
      </c>
      <c r="Z132" s="59"/>
      <c r="AA132" s="59"/>
      <c r="AB132" s="59"/>
      <c r="AC132" s="59" t="s">
        <v>2905</v>
      </c>
      <c r="AD132" s="59"/>
      <c r="AE132" s="59"/>
      <c r="AF132" s="59"/>
      <c r="AG132" s="59"/>
      <c r="AH132" s="59"/>
      <c r="AI132" s="59"/>
      <c r="AJ132" s="59"/>
      <c r="AK132" s="59"/>
      <c r="AL132" s="59"/>
      <c r="AM132" s="59"/>
      <c r="AN132" s="59" t="s">
        <v>2905</v>
      </c>
    </row>
    <row r="133" spans="1:40" x14ac:dyDescent="0.25">
      <c r="A133" s="38" t="s">
        <v>3408</v>
      </c>
      <c r="B133" s="57" t="str">
        <f>IF($A133="","",IFERROR(INDEX(Références!$C$2:$C$201,MATCH($A133,Références!$A$2:$A$201,0)),""))</f>
        <v>Johnson et al. (1985)</v>
      </c>
      <c r="C133" s="58">
        <f>IF($A133="","",IFERROR(INDEX(Références!$G$2:$G$201,MATCH($A133,Références!$A$2:$A$201,0)),""))</f>
        <v>2</v>
      </c>
      <c r="D133" s="57" t="str">
        <f>IF($A133="","",IFERROR(INDEX('Lecture détaillée'!$J$5:$J$204,MATCH($A133,'Lecture détaillée'!$A$5:$A$204,0)),""))</f>
        <v>Aucun</v>
      </c>
      <c r="E133" s="59"/>
      <c r="F133" s="59"/>
      <c r="G133" s="59"/>
      <c r="H133" s="59"/>
      <c r="I133" s="59"/>
      <c r="J133" s="59" t="s">
        <v>2905</v>
      </c>
      <c r="K133" s="59"/>
      <c r="L133" s="59" t="s">
        <v>2905</v>
      </c>
      <c r="M133" s="59"/>
      <c r="N133" s="59"/>
      <c r="O133" s="59"/>
      <c r="P133" s="59"/>
      <c r="Q133" s="59"/>
      <c r="R133" s="59"/>
      <c r="S133" s="59"/>
      <c r="T133" s="59" t="s">
        <v>2905</v>
      </c>
      <c r="U133" s="59"/>
      <c r="V133" s="59"/>
      <c r="W133" s="59"/>
      <c r="X133" s="59"/>
      <c r="Y133" s="59" t="s">
        <v>2905</v>
      </c>
      <c r="Z133" s="59"/>
      <c r="AA133" s="59"/>
      <c r="AB133" s="59"/>
      <c r="AC133" s="59" t="s">
        <v>2905</v>
      </c>
      <c r="AD133" s="59"/>
      <c r="AE133" s="59"/>
      <c r="AF133" s="59"/>
      <c r="AG133" s="59"/>
      <c r="AH133" s="59"/>
      <c r="AI133" s="59"/>
      <c r="AJ133" s="59"/>
      <c r="AK133" s="59"/>
      <c r="AL133" s="59"/>
      <c r="AM133" s="59"/>
      <c r="AN133" s="59" t="s">
        <v>2905</v>
      </c>
    </row>
    <row r="134" spans="1:40" x14ac:dyDescent="0.25">
      <c r="A134" s="38" t="s">
        <v>3418</v>
      </c>
      <c r="B134" s="57" t="str">
        <f>IF($A134="","",IFERROR(INDEX(Références!$C$2:$C$201,MATCH($A134,Références!$A$2:$A$201,0)),""))</f>
        <v>Greenwood &amp; Williamson (1966)</v>
      </c>
      <c r="C134" s="58">
        <f>IF($A134="","",IFERROR(INDEX(Références!$G$2:$G$201,MATCH($A134,Références!$A$2:$A$201,0)),""))</f>
        <v>2</v>
      </c>
      <c r="D134" s="57" t="str">
        <f>IF($A134="","",IFERROR(INDEX('Lecture détaillée'!$J$5:$J$204,MATCH($A134,'Lecture détaillée'!$A$5:$A$204,0)),""))</f>
        <v>Aucun</v>
      </c>
      <c r="E134" s="59"/>
      <c r="F134" s="59"/>
      <c r="G134" s="59"/>
      <c r="H134" s="59"/>
      <c r="I134" s="59"/>
      <c r="J134" s="59" t="s">
        <v>2905</v>
      </c>
      <c r="K134" s="59"/>
      <c r="L134" s="59" t="s">
        <v>2905</v>
      </c>
      <c r="M134" s="59"/>
      <c r="N134" s="59"/>
      <c r="O134" s="59"/>
      <c r="P134" s="59"/>
      <c r="Q134" s="59"/>
      <c r="R134" s="59"/>
      <c r="S134" s="59"/>
      <c r="T134" s="59" t="s">
        <v>2905</v>
      </c>
      <c r="U134" s="59"/>
      <c r="V134" s="59"/>
      <c r="W134" s="59"/>
      <c r="X134" s="59"/>
      <c r="Y134" s="59" t="s">
        <v>2905</v>
      </c>
      <c r="Z134" s="59"/>
      <c r="AA134" s="59"/>
      <c r="AB134" s="59"/>
      <c r="AC134" s="59" t="s">
        <v>2905</v>
      </c>
      <c r="AD134" s="59"/>
      <c r="AE134" s="59"/>
      <c r="AF134" s="59"/>
      <c r="AG134" s="59"/>
      <c r="AH134" s="59"/>
      <c r="AI134" s="59"/>
      <c r="AJ134" s="59"/>
      <c r="AK134" s="59"/>
      <c r="AL134" s="59"/>
      <c r="AM134" s="59"/>
      <c r="AN134" s="59" t="s">
        <v>2905</v>
      </c>
    </row>
    <row r="135" spans="1:40" x14ac:dyDescent="0.25">
      <c r="A135" s="38" t="s">
        <v>3433</v>
      </c>
      <c r="B135" s="57" t="str">
        <f>IF($A135="","",IFERROR(INDEX(Références!$C$2:$C$201,MATCH($A135,Références!$A$2:$A$201,0)),""))</f>
        <v>Persson (2001)</v>
      </c>
      <c r="C135" s="58">
        <f>IF($A135="","",IFERROR(INDEX(Références!$G$2:$G$201,MATCH($A135,Références!$A$2:$A$201,0)),""))</f>
        <v>2</v>
      </c>
      <c r="D135" s="57" t="str">
        <f>IF($A135="","",IFERROR(INDEX('Lecture détaillée'!$J$5:$J$204,MATCH($A135,'Lecture détaillée'!$A$5:$A$204,0)),""))</f>
        <v>Aucun</v>
      </c>
      <c r="E135" s="59"/>
      <c r="F135" s="59"/>
      <c r="G135" s="59" t="s">
        <v>2905</v>
      </c>
      <c r="H135" s="59"/>
      <c r="I135" s="59"/>
      <c r="J135" s="59" t="s">
        <v>2905</v>
      </c>
      <c r="K135" s="59"/>
      <c r="L135" s="59" t="s">
        <v>2905</v>
      </c>
      <c r="M135" s="59" t="s">
        <v>2905</v>
      </c>
      <c r="N135" s="59"/>
      <c r="O135" s="59"/>
      <c r="P135" s="59"/>
      <c r="Q135" s="59"/>
      <c r="R135" s="59"/>
      <c r="S135" s="59"/>
      <c r="T135" s="59" t="s">
        <v>2905</v>
      </c>
      <c r="U135" s="59"/>
      <c r="V135" s="59"/>
      <c r="W135" s="59"/>
      <c r="X135" s="59"/>
      <c r="Y135" s="59" t="s">
        <v>2905</v>
      </c>
      <c r="Z135" s="59"/>
      <c r="AA135" s="59"/>
      <c r="AB135" s="59"/>
      <c r="AC135" s="59" t="s">
        <v>2905</v>
      </c>
      <c r="AD135" s="59"/>
      <c r="AE135" s="59"/>
      <c r="AF135" s="59"/>
      <c r="AG135" s="59"/>
      <c r="AH135" s="59"/>
      <c r="AI135" s="59"/>
      <c r="AJ135" s="59"/>
      <c r="AK135" s="59"/>
      <c r="AL135" s="59"/>
      <c r="AM135" s="59"/>
      <c r="AN135" s="59" t="s">
        <v>2905</v>
      </c>
    </row>
    <row r="136" spans="1:40" x14ac:dyDescent="0.25">
      <c r="A136" s="38" t="s">
        <v>3446</v>
      </c>
      <c r="B136" s="57" t="str">
        <f>IF($A136="","",IFERROR(INDEX(Références!$C$2:$C$201,MATCH($A136,Références!$A$2:$A$201,0)),""))</f>
        <v>Persson (2006)</v>
      </c>
      <c r="C136" s="58">
        <f>IF($A136="","",IFERROR(INDEX(Références!$G$2:$G$201,MATCH($A136,Références!$A$2:$A$201,0)),""))</f>
        <v>2</v>
      </c>
      <c r="D136" s="57" t="str">
        <f>IF($A136="","",IFERROR(INDEX('Lecture détaillée'!$J$5:$J$204,MATCH($A136,'Lecture détaillée'!$A$5:$A$204,0)),""))</f>
        <v>Aucun</v>
      </c>
      <c r="E136" s="59"/>
      <c r="F136" s="59"/>
      <c r="G136" s="59"/>
      <c r="H136" s="59"/>
      <c r="I136" s="59"/>
      <c r="J136" s="59" t="s">
        <v>2905</v>
      </c>
      <c r="K136" s="59"/>
      <c r="L136" s="59" t="s">
        <v>2905</v>
      </c>
      <c r="M136" s="59"/>
      <c r="N136" s="59"/>
      <c r="O136" s="59"/>
      <c r="P136" s="59"/>
      <c r="Q136" s="59"/>
      <c r="R136" s="59"/>
      <c r="S136" s="59"/>
      <c r="T136" s="59"/>
      <c r="U136" s="59"/>
      <c r="V136" s="59"/>
      <c r="W136" s="59"/>
      <c r="X136" s="59" t="s">
        <v>2905</v>
      </c>
      <c r="Y136" s="59" t="s">
        <v>2905</v>
      </c>
      <c r="Z136" s="59"/>
      <c r="AA136" s="59"/>
      <c r="AB136" s="59"/>
      <c r="AC136" s="59" t="s">
        <v>2905</v>
      </c>
      <c r="AD136" s="59"/>
      <c r="AE136" s="59"/>
      <c r="AF136" s="59"/>
      <c r="AG136" s="59"/>
      <c r="AH136" s="59"/>
      <c r="AI136" s="59"/>
      <c r="AJ136" s="59"/>
      <c r="AK136" s="59"/>
      <c r="AL136" s="59"/>
      <c r="AM136" s="59"/>
      <c r="AN136" s="59"/>
    </row>
    <row r="137" spans="1:40" x14ac:dyDescent="0.25">
      <c r="A137" s="38" t="s">
        <v>3503</v>
      </c>
      <c r="B137" s="57" t="str">
        <f>IF($A137="","",IFERROR(INDEX(Références!$C$2:$C$201,MATCH($A137,Références!$A$2:$A$201,0)),""))</f>
        <v>Yastrebov (2013)</v>
      </c>
      <c r="C137" s="58">
        <f>IF($A137="","",IFERROR(INDEX(Références!$G$2:$G$201,MATCH($A137,Références!$A$2:$A$201,0)),""))</f>
        <v>2</v>
      </c>
      <c r="D137" s="57" t="str">
        <f>IF($A137="","",IFERROR(INDEX('Lecture détaillée'!$J$5:$J$204,MATCH($A137,'Lecture détaillée'!$A$5:$A$204,0)),""))</f>
        <v>Aucun</v>
      </c>
      <c r="E137" s="59"/>
      <c r="F137" s="59"/>
      <c r="G137" s="59"/>
      <c r="H137" s="59"/>
      <c r="I137" s="59"/>
      <c r="J137" s="59" t="s">
        <v>2905</v>
      </c>
      <c r="K137" s="59" t="s">
        <v>2905</v>
      </c>
      <c r="L137" s="59" t="s">
        <v>2905</v>
      </c>
      <c r="M137" s="59"/>
      <c r="N137" s="59"/>
      <c r="O137" s="59"/>
      <c r="P137" s="59"/>
      <c r="Q137" s="59"/>
      <c r="R137" s="59"/>
      <c r="S137" s="59" t="s">
        <v>2905</v>
      </c>
      <c r="T137" s="59"/>
      <c r="U137" s="59"/>
      <c r="V137" s="59"/>
      <c r="W137" s="59"/>
      <c r="X137" s="59" t="s">
        <v>2905</v>
      </c>
      <c r="Y137" s="59" t="s">
        <v>2905</v>
      </c>
      <c r="Z137" s="59"/>
      <c r="AA137" s="59"/>
      <c r="AB137" s="59"/>
      <c r="AC137" s="59" t="s">
        <v>2905</v>
      </c>
      <c r="AD137" s="59"/>
      <c r="AE137" s="59"/>
      <c r="AF137" s="59"/>
      <c r="AG137" s="59"/>
      <c r="AH137" s="59"/>
      <c r="AI137" s="59"/>
      <c r="AJ137" s="59"/>
      <c r="AK137" s="59" t="s">
        <v>2905</v>
      </c>
      <c r="AL137" s="59"/>
      <c r="AM137" s="59"/>
      <c r="AN137" s="59"/>
    </row>
    <row r="138" spans="1:40" x14ac:dyDescent="0.25">
      <c r="A138" s="38" t="s">
        <v>3516</v>
      </c>
      <c r="B138" s="57" t="str">
        <f>IF($A138="","",IFERROR(INDEX(Références!$C$2:$C$201,MATCH($A138,Références!$A$2:$A$201,0)),""))</f>
        <v>Barber (2018)</v>
      </c>
      <c r="C138" s="58">
        <f>IF($A138="","",IFERROR(INDEX(Références!$G$2:$G$201,MATCH($A138,Références!$A$2:$A$201,0)),""))</f>
        <v>2</v>
      </c>
      <c r="D138" s="57" t="str">
        <f>IF($A138="","",IFERROR(INDEX('Lecture détaillée'!$J$5:$J$204,MATCH($A138,'Lecture détaillée'!$A$5:$A$204,0)),""))</f>
        <v>Aucun</v>
      </c>
      <c r="E138" s="59"/>
      <c r="F138" s="59"/>
      <c r="G138" s="59"/>
      <c r="H138" s="59"/>
      <c r="I138" s="59"/>
      <c r="J138" s="59" t="s">
        <v>2905</v>
      </c>
      <c r="K138" s="59" t="s">
        <v>2905</v>
      </c>
      <c r="L138" s="59" t="s">
        <v>2905</v>
      </c>
      <c r="M138" s="59"/>
      <c r="N138" s="59"/>
      <c r="O138" s="59"/>
      <c r="P138" s="59"/>
      <c r="Q138" s="59"/>
      <c r="R138" s="59"/>
      <c r="S138" s="59"/>
      <c r="T138" s="59"/>
      <c r="U138" s="59"/>
      <c r="V138" s="59"/>
      <c r="W138" s="59"/>
      <c r="X138" s="59" t="s">
        <v>2905</v>
      </c>
      <c r="Y138" s="59" t="s">
        <v>2905</v>
      </c>
      <c r="Z138" s="59"/>
      <c r="AA138" s="59"/>
      <c r="AB138" s="59"/>
      <c r="AC138" s="59" t="s">
        <v>2905</v>
      </c>
      <c r="AD138" s="59"/>
      <c r="AE138" s="59"/>
      <c r="AF138" s="59"/>
      <c r="AG138" s="59"/>
      <c r="AH138" s="59"/>
      <c r="AI138" s="59"/>
      <c r="AJ138" s="59"/>
      <c r="AK138" s="59"/>
      <c r="AL138" s="59"/>
      <c r="AM138" s="59"/>
      <c r="AN138" s="59"/>
    </row>
    <row r="139" spans="1:40" x14ac:dyDescent="0.25">
      <c r="A139" s="38" t="s">
        <v>3530</v>
      </c>
      <c r="B139" s="57" t="str">
        <f>IF($A139="","",IFERROR(INDEX(Références!$C$2:$C$201,MATCH($A139,Références!$A$2:$A$201,0)),""))</f>
        <v>Müser et al. (2017)</v>
      </c>
      <c r="C139" s="58">
        <f>IF($A139="","",IFERROR(INDEX(Références!$G$2:$G$201,MATCH($A139,Références!$A$2:$A$201,0)),""))</f>
        <v>2</v>
      </c>
      <c r="D139" s="57" t="str">
        <f>IF($A139="","",IFERROR(INDEX('Lecture détaillée'!$J$5:$J$204,MATCH($A139,'Lecture détaillée'!$A$5:$A$204,0)),""))</f>
        <v>Aucun</v>
      </c>
      <c r="E139" s="59"/>
      <c r="F139" s="59"/>
      <c r="G139" s="59"/>
      <c r="H139" s="59"/>
      <c r="I139" s="59"/>
      <c r="J139" s="59" t="s">
        <v>2905</v>
      </c>
      <c r="K139" s="59"/>
      <c r="L139" s="59" t="s">
        <v>2905</v>
      </c>
      <c r="M139" s="59"/>
      <c r="N139" s="59"/>
      <c r="O139" s="59"/>
      <c r="P139" s="59"/>
      <c r="Q139" s="59"/>
      <c r="R139" s="59"/>
      <c r="S139" s="59" t="s">
        <v>2905</v>
      </c>
      <c r="T139" s="59" t="s">
        <v>2905</v>
      </c>
      <c r="U139" s="59"/>
      <c r="V139" s="59"/>
      <c r="W139" s="59"/>
      <c r="X139" s="59"/>
      <c r="Y139" s="59" t="s">
        <v>2905</v>
      </c>
      <c r="Z139" s="59"/>
      <c r="AA139" s="59"/>
      <c r="AB139" s="59"/>
      <c r="AC139" s="59" t="s">
        <v>2905</v>
      </c>
      <c r="AD139" s="59"/>
      <c r="AE139" s="59"/>
      <c r="AF139" s="59"/>
      <c r="AG139" s="59"/>
      <c r="AH139" s="59"/>
      <c r="AI139" s="59"/>
      <c r="AJ139" s="59"/>
      <c r="AK139" s="59"/>
      <c r="AL139" s="59"/>
      <c r="AM139" s="59"/>
      <c r="AN139" s="59" t="s">
        <v>2905</v>
      </c>
    </row>
    <row r="140" spans="1:40" x14ac:dyDescent="0.25">
      <c r="A140" s="38" t="s">
        <v>3543</v>
      </c>
      <c r="B140" s="57" t="str">
        <f>IF($A140="","",IFERROR(INDEX(Références!$C$2:$C$201,MATCH($A140,Références!$A$2:$A$201,0)),""))</f>
        <v>Yastrebov et al. (2014)</v>
      </c>
      <c r="C140" s="58">
        <f>IF($A140="","",IFERROR(INDEX(Références!$G$2:$G$201,MATCH($A140,Références!$A$2:$A$201,0)),""))</f>
        <v>2</v>
      </c>
      <c r="D140" s="57" t="str">
        <f>IF($A140="","",IFERROR(INDEX('Lecture détaillée'!$J$5:$J$204,MATCH($A140,'Lecture détaillée'!$A$5:$A$204,0)),""))</f>
        <v>Aucun</v>
      </c>
      <c r="E140" s="59"/>
      <c r="F140" s="59"/>
      <c r="G140" s="59"/>
      <c r="H140" s="59"/>
      <c r="I140" s="59"/>
      <c r="J140" s="59" t="s">
        <v>2905</v>
      </c>
      <c r="K140" s="59"/>
      <c r="L140" s="59" t="s">
        <v>2905</v>
      </c>
      <c r="M140" s="59"/>
      <c r="N140" s="59"/>
      <c r="O140" s="59"/>
      <c r="P140" s="59"/>
      <c r="Q140" s="59"/>
      <c r="R140" s="59"/>
      <c r="S140" s="59" t="s">
        <v>2905</v>
      </c>
      <c r="T140" s="59"/>
      <c r="U140" s="59"/>
      <c r="V140" s="59"/>
      <c r="W140" s="59"/>
      <c r="X140" s="59"/>
      <c r="Y140" s="59" t="s">
        <v>2905</v>
      </c>
      <c r="Z140" s="59"/>
      <c r="AA140" s="59"/>
      <c r="AB140" s="59"/>
      <c r="AC140" s="59" t="s">
        <v>2905</v>
      </c>
      <c r="AD140" s="59"/>
      <c r="AE140" s="59"/>
      <c r="AF140" s="59"/>
      <c r="AG140" s="59"/>
      <c r="AH140" s="59"/>
      <c r="AI140" s="59"/>
      <c r="AJ140" s="59"/>
      <c r="AK140" s="59"/>
      <c r="AL140" s="59"/>
      <c r="AM140" s="59"/>
      <c r="AN140" s="59" t="s">
        <v>2905</v>
      </c>
    </row>
    <row r="141" spans="1:40" x14ac:dyDescent="0.25">
      <c r="A141" s="38" t="s">
        <v>3555</v>
      </c>
      <c r="B141" s="57" t="str">
        <f>IF($A141="","",IFERROR(INDEX(Références!$C$2:$C$201,MATCH($A141,Références!$A$2:$A$201,0)),""))</f>
        <v>Dapp et al. (2014)</v>
      </c>
      <c r="C141" s="58">
        <f>IF($A141="","",IFERROR(INDEX(Références!$G$2:$G$201,MATCH($A141,Références!$A$2:$A$201,0)),""))</f>
        <v>2</v>
      </c>
      <c r="D141" s="57" t="str">
        <f>IF($A141="","",IFERROR(INDEX('Lecture détaillée'!$J$5:$J$204,MATCH($A141,'Lecture détaillée'!$A$5:$A$204,0)),""))</f>
        <v>Aucun</v>
      </c>
      <c r="E141" s="59"/>
      <c r="F141" s="59"/>
      <c r="G141" s="59"/>
      <c r="H141" s="59"/>
      <c r="I141" s="59"/>
      <c r="J141" s="59" t="s">
        <v>2905</v>
      </c>
      <c r="K141" s="59"/>
      <c r="L141" s="59" t="s">
        <v>2905</v>
      </c>
      <c r="M141" s="59"/>
      <c r="N141" s="59"/>
      <c r="O141" s="59"/>
      <c r="P141" s="59"/>
      <c r="Q141" s="59"/>
      <c r="R141" s="59"/>
      <c r="S141" s="59"/>
      <c r="T141" s="59" t="s">
        <v>2905</v>
      </c>
      <c r="U141" s="59"/>
      <c r="V141" s="59"/>
      <c r="W141" s="59"/>
      <c r="X141" s="59"/>
      <c r="Y141" s="59" t="s">
        <v>2905</v>
      </c>
      <c r="Z141" s="59"/>
      <c r="AA141" s="59"/>
      <c r="AB141" s="59"/>
      <c r="AC141" s="59" t="s">
        <v>2905</v>
      </c>
      <c r="AD141" s="59"/>
      <c r="AE141" s="59"/>
      <c r="AF141" s="59"/>
      <c r="AG141" s="59"/>
      <c r="AH141" s="59"/>
      <c r="AI141" s="59"/>
      <c r="AJ141" s="59"/>
      <c r="AK141" s="59"/>
      <c r="AL141" s="59"/>
      <c r="AM141" s="59"/>
      <c r="AN141" s="59" t="s">
        <v>2905</v>
      </c>
    </row>
    <row r="142" spans="1:40" x14ac:dyDescent="0.25">
      <c r="A142" s="38" t="s">
        <v>3564</v>
      </c>
      <c r="B142" s="57" t="str">
        <f>IF($A142="","",IFERROR(INDEX(Références!$C$2:$C$201,MATCH($A142,Références!$A$2:$A$201,0)),""))</f>
        <v>Bemporad &amp; Paggi (2015)</v>
      </c>
      <c r="C142" s="58">
        <f>IF($A142="","",IFERROR(INDEX(Références!$G$2:$G$201,MATCH($A142,Références!$A$2:$A$201,0)),""))</f>
        <v>2</v>
      </c>
      <c r="D142" s="57" t="str">
        <f>IF($A142="","",IFERROR(INDEX('Lecture détaillée'!$J$5:$J$204,MATCH($A142,'Lecture détaillée'!$A$5:$A$204,0)),""))</f>
        <v>Aucun</v>
      </c>
      <c r="E142" s="59"/>
      <c r="F142" s="59"/>
      <c r="G142" s="59"/>
      <c r="H142" s="59"/>
      <c r="I142" s="59"/>
      <c r="J142" s="59" t="s">
        <v>2905</v>
      </c>
      <c r="K142" s="59"/>
      <c r="L142" s="59" t="s">
        <v>2905</v>
      </c>
      <c r="M142" s="59"/>
      <c r="N142" s="59"/>
      <c r="O142" s="59"/>
      <c r="P142" s="59"/>
      <c r="Q142" s="59"/>
      <c r="R142" s="59"/>
      <c r="S142" s="59"/>
      <c r="T142" s="59" t="s">
        <v>2905</v>
      </c>
      <c r="U142" s="59"/>
      <c r="V142" s="59"/>
      <c r="W142" s="59"/>
      <c r="X142" s="59"/>
      <c r="Y142" s="59" t="s">
        <v>2905</v>
      </c>
      <c r="Z142" s="59"/>
      <c r="AA142" s="59"/>
      <c r="AB142" s="59"/>
      <c r="AC142" s="59" t="s">
        <v>2905</v>
      </c>
      <c r="AD142" s="59"/>
      <c r="AE142" s="59"/>
      <c r="AF142" s="59"/>
      <c r="AG142" s="59"/>
      <c r="AH142" s="59"/>
      <c r="AI142" s="59"/>
      <c r="AJ142" s="59"/>
      <c r="AK142" s="59"/>
      <c r="AL142" s="59"/>
      <c r="AM142" s="59"/>
      <c r="AN142" s="59" t="s">
        <v>2905</v>
      </c>
    </row>
    <row r="143" spans="1:40" x14ac:dyDescent="0.25">
      <c r="A143" s="38" t="s">
        <v>3576</v>
      </c>
      <c r="B143" s="57" t="str">
        <f>IF($A143="","",IFERROR(INDEX(Références!$C$2:$C$201,MATCH($A143,Références!$A$2:$A$201,0)),""))</f>
        <v>Pohrt &amp; Li (2014)</v>
      </c>
      <c r="C143" s="58">
        <f>IF($A143="","",IFERROR(INDEX(Références!$G$2:$G$201,MATCH($A143,Références!$A$2:$A$201,0)),""))</f>
        <v>2</v>
      </c>
      <c r="D143" s="57" t="str">
        <f>IF($A143="","",IFERROR(INDEX('Lecture détaillée'!$J$5:$J$204,MATCH($A143,'Lecture détaillée'!$A$5:$A$204,0)),""))</f>
        <v>Aucun</v>
      </c>
      <c r="E143" s="59"/>
      <c r="F143" s="59"/>
      <c r="G143" s="59"/>
      <c r="H143" s="59"/>
      <c r="I143" s="59"/>
      <c r="J143" s="59" t="s">
        <v>2905</v>
      </c>
      <c r="K143" s="59" t="s">
        <v>2905</v>
      </c>
      <c r="L143" s="59" t="s">
        <v>2905</v>
      </c>
      <c r="M143" s="59"/>
      <c r="N143" s="59"/>
      <c r="O143" s="59"/>
      <c r="P143" s="59"/>
      <c r="Q143" s="59"/>
      <c r="R143" s="59"/>
      <c r="S143" s="59"/>
      <c r="T143" s="59" t="s">
        <v>2905</v>
      </c>
      <c r="U143" s="59"/>
      <c r="V143" s="59"/>
      <c r="W143" s="59"/>
      <c r="X143" s="59"/>
      <c r="Y143" s="59" t="s">
        <v>2905</v>
      </c>
      <c r="Z143" s="59"/>
      <c r="AA143" s="59"/>
      <c r="AB143" s="59"/>
      <c r="AC143" s="59" t="s">
        <v>2905</v>
      </c>
      <c r="AD143" s="59"/>
      <c r="AE143" s="59"/>
      <c r="AF143" s="59"/>
      <c r="AG143" s="59"/>
      <c r="AH143" s="59"/>
      <c r="AI143" s="59"/>
      <c r="AJ143" s="59"/>
      <c r="AK143" s="59"/>
      <c r="AL143" s="59"/>
      <c r="AM143" s="59"/>
      <c r="AN143" s="59" t="s">
        <v>2905</v>
      </c>
    </row>
    <row r="144" spans="1:40" x14ac:dyDescent="0.25">
      <c r="A144" s="38" t="s">
        <v>3459</v>
      </c>
      <c r="B144" s="57" t="str">
        <f>IF($A144="","",IFERROR(INDEX(Références!$C$2:$C$201,MATCH($A144,Références!$A$2:$A$201,0)),""))</f>
        <v>Persson et al. (2005)</v>
      </c>
      <c r="C144" s="58">
        <f>IF($A144="","",IFERROR(INDEX(Références!$G$2:$G$201,MATCH($A144,Références!$A$2:$A$201,0)),""))</f>
        <v>2</v>
      </c>
      <c r="D144" s="57" t="str">
        <f>IF($A144="","",IFERROR(INDEX('Lecture détaillée'!$J$5:$J$204,MATCH($A144,'Lecture détaillée'!$A$5:$A$204,0)),""))</f>
        <v>Aucun</v>
      </c>
      <c r="E144" s="59"/>
      <c r="F144" s="59"/>
      <c r="G144" s="59" t="s">
        <v>2905</v>
      </c>
      <c r="H144" s="59"/>
      <c r="I144" s="59"/>
      <c r="J144" s="59" t="s">
        <v>2905</v>
      </c>
      <c r="K144" s="59"/>
      <c r="L144" s="59" t="s">
        <v>2905</v>
      </c>
      <c r="M144" s="59" t="s">
        <v>2905</v>
      </c>
      <c r="N144" s="59"/>
      <c r="O144" s="59"/>
      <c r="P144" s="59"/>
      <c r="Q144" s="59"/>
      <c r="R144" s="59"/>
      <c r="S144" s="59"/>
      <c r="T144" s="59"/>
      <c r="U144" s="59"/>
      <c r="V144" s="59"/>
      <c r="W144" s="59"/>
      <c r="X144" s="59" t="s">
        <v>2905</v>
      </c>
      <c r="Y144" s="59" t="s">
        <v>2905</v>
      </c>
      <c r="Z144" s="59"/>
      <c r="AA144" s="59"/>
      <c r="AB144" s="59"/>
      <c r="AC144" s="59" t="s">
        <v>2905</v>
      </c>
      <c r="AD144" s="59" t="s">
        <v>2905</v>
      </c>
      <c r="AE144" s="59"/>
      <c r="AF144" s="59"/>
      <c r="AG144" s="59"/>
      <c r="AH144" s="59"/>
      <c r="AI144" s="59"/>
      <c r="AJ144" s="59"/>
      <c r="AK144" s="59"/>
      <c r="AL144" s="59"/>
      <c r="AM144" s="59"/>
      <c r="AN144" s="59"/>
    </row>
    <row r="145" spans="1:40" x14ac:dyDescent="0.25">
      <c r="A145" s="38" t="s">
        <v>3471</v>
      </c>
      <c r="B145" s="57" t="str">
        <f>IF($A145="","",IFERROR(INDEX(Références!$C$2:$C$201,MATCH($A145,Références!$A$2:$A$201,0)),""))</f>
        <v>Jacobs et al. (2017)</v>
      </c>
      <c r="C145" s="58">
        <f>IF($A145="","",IFERROR(INDEX(Références!$G$2:$G$201,MATCH($A145,Références!$A$2:$A$201,0)),""))</f>
        <v>2</v>
      </c>
      <c r="D145" s="57" t="str">
        <f>IF($A145="","",IFERROR(INDEX('Lecture détaillée'!$J$5:$J$204,MATCH($A145,'Lecture détaillée'!$A$5:$A$204,0)),""))</f>
        <v>Aucun</v>
      </c>
      <c r="E145" s="59"/>
      <c r="F145" s="59"/>
      <c r="G145" s="59"/>
      <c r="H145" s="59"/>
      <c r="I145" s="59"/>
      <c r="J145" s="59"/>
      <c r="K145" s="59"/>
      <c r="L145" s="59"/>
      <c r="M145" s="59"/>
      <c r="N145" s="59"/>
      <c r="O145" s="59"/>
      <c r="P145" s="59"/>
      <c r="Q145" s="59"/>
      <c r="R145" s="59"/>
      <c r="S145" s="59"/>
      <c r="T145" s="59"/>
      <c r="U145" s="59"/>
      <c r="V145" s="59"/>
      <c r="W145" s="59"/>
      <c r="X145" s="59" t="s">
        <v>2905</v>
      </c>
      <c r="Y145" s="59"/>
      <c r="Z145" s="59"/>
      <c r="AA145" s="59"/>
      <c r="AB145" s="59"/>
      <c r="AC145" s="59"/>
      <c r="AD145" s="59" t="s">
        <v>2905</v>
      </c>
      <c r="AE145" s="59"/>
      <c r="AF145" s="59"/>
      <c r="AG145" s="59"/>
      <c r="AH145" s="59"/>
      <c r="AI145" s="59"/>
      <c r="AJ145" s="59"/>
      <c r="AK145" s="59" t="s">
        <v>2905</v>
      </c>
      <c r="AL145" s="59"/>
      <c r="AM145" s="59"/>
      <c r="AN145" s="59"/>
    </row>
    <row r="146" spans="1:40" x14ac:dyDescent="0.25">
      <c r="A146" s="38" t="s">
        <v>3484</v>
      </c>
      <c r="B146" s="57" t="str">
        <f>IF($A146="","",IFERROR(INDEX(Références!$C$2:$C$201,MATCH($A146,Références!$A$2:$A$201,0)),""))</f>
        <v>Hu &amp; Tonder (1992)</v>
      </c>
      <c r="C146" s="58">
        <f>IF($A146="","",IFERROR(INDEX(Références!$G$2:$G$201,MATCH($A146,Références!$A$2:$A$201,0)),""))</f>
        <v>2</v>
      </c>
      <c r="D146" s="57" t="str">
        <f>IF($A146="","",IFERROR(INDEX('Lecture détaillée'!$J$5:$J$204,MATCH($A146,'Lecture détaillée'!$A$5:$A$204,0)),""))</f>
        <v>Aucun</v>
      </c>
      <c r="E146" s="59"/>
      <c r="F146" s="59"/>
      <c r="G146" s="59"/>
      <c r="H146" s="59"/>
      <c r="I146" s="59"/>
      <c r="J146" s="59"/>
      <c r="K146" s="59"/>
      <c r="L146" s="59"/>
      <c r="M146" s="59"/>
      <c r="N146" s="59"/>
      <c r="O146" s="59"/>
      <c r="P146" s="59"/>
      <c r="Q146" s="59"/>
      <c r="R146" s="59"/>
      <c r="S146" s="59"/>
      <c r="T146" s="59"/>
      <c r="U146" s="59"/>
      <c r="V146" s="59"/>
      <c r="W146" s="59" t="s">
        <v>2905</v>
      </c>
      <c r="X146" s="59"/>
      <c r="Y146" s="59"/>
      <c r="Z146" s="59"/>
      <c r="AA146" s="59"/>
      <c r="AB146" s="59"/>
      <c r="AC146" s="59"/>
      <c r="AD146" s="59" t="s">
        <v>2905</v>
      </c>
      <c r="AE146" s="59"/>
      <c r="AF146" s="59"/>
      <c r="AG146" s="59"/>
      <c r="AH146" s="59"/>
      <c r="AI146" s="59"/>
      <c r="AJ146" s="59"/>
      <c r="AK146" s="59" t="s">
        <v>2905</v>
      </c>
      <c r="AL146" s="59"/>
      <c r="AM146" s="59"/>
      <c r="AN146" s="59"/>
    </row>
    <row r="147" spans="1:40" x14ac:dyDescent="0.25">
      <c r="A147" s="38" t="s">
        <v>3493</v>
      </c>
      <c r="B147" s="57" t="str">
        <f>IF($A147="","",IFERROR(INDEX(Références!$C$2:$C$201,MATCH($A147,Références!$A$2:$A$201,0)),""))</f>
        <v>Klüppel &amp; Heinrich (2000)</v>
      </c>
      <c r="C147" s="58">
        <f>IF($A147="","",IFERROR(INDEX(Références!$G$2:$G$201,MATCH($A147,Références!$A$2:$A$201,0)),""))</f>
        <v>2</v>
      </c>
      <c r="D147" s="57" t="str">
        <f>IF($A147="","",IFERROR(INDEX('Lecture détaillée'!$J$5:$J$204,MATCH($A147,'Lecture détaillée'!$A$5:$A$204,0)),""))</f>
        <v>Aucun</v>
      </c>
      <c r="E147" s="59"/>
      <c r="F147" s="59"/>
      <c r="G147" s="59" t="s">
        <v>2905</v>
      </c>
      <c r="H147" s="59"/>
      <c r="I147" s="59"/>
      <c r="J147" s="59" t="s">
        <v>2905</v>
      </c>
      <c r="K147" s="59"/>
      <c r="L147" s="59"/>
      <c r="M147" s="59" t="s">
        <v>2905</v>
      </c>
      <c r="N147" s="59"/>
      <c r="O147" s="59"/>
      <c r="P147" s="59"/>
      <c r="Q147" s="59"/>
      <c r="R147" s="59"/>
      <c r="S147" s="59"/>
      <c r="T147" s="59" t="s">
        <v>2905</v>
      </c>
      <c r="U147" s="59"/>
      <c r="V147" s="59"/>
      <c r="W147" s="59"/>
      <c r="X147" s="59"/>
      <c r="Y147" s="59"/>
      <c r="Z147" s="59"/>
      <c r="AA147" s="59"/>
      <c r="AB147" s="59"/>
      <c r="AC147" s="59" t="s">
        <v>2905</v>
      </c>
      <c r="AD147" s="59" t="s">
        <v>2905</v>
      </c>
      <c r="AE147" s="59"/>
      <c r="AF147" s="59"/>
      <c r="AG147" s="59"/>
      <c r="AH147" s="59"/>
      <c r="AI147" s="59"/>
      <c r="AJ147" s="59"/>
      <c r="AK147" s="59"/>
      <c r="AL147" s="59"/>
      <c r="AM147" s="59"/>
      <c r="AN147" s="59"/>
    </row>
    <row r="148" spans="1:40" x14ac:dyDescent="0.25">
      <c r="A148" s="38" t="s">
        <v>3587</v>
      </c>
      <c r="B148" s="57" t="str">
        <f>IF($A148="","",IFERROR(INDEX(Références!$C$2:$C$201,MATCH($A148,Références!$A$2:$A$201,0)),""))</f>
        <v>Cesbron (2007)</v>
      </c>
      <c r="C148" s="58">
        <f>IF($A148="","",IFERROR(INDEX(Références!$G$2:$G$201,MATCH($A148,Références!$A$2:$A$201,0)),""))</f>
        <v>2</v>
      </c>
      <c r="D148" s="57" t="str">
        <f>IF($A148="","",IFERROR(INDEX('Lecture détaillée'!$J$5:$J$204,MATCH($A148,'Lecture détaillée'!$A$5:$A$204,0)),""))</f>
        <v>Aucun</v>
      </c>
      <c r="E148" s="59"/>
      <c r="F148" s="59"/>
      <c r="G148" s="59" t="s">
        <v>2905</v>
      </c>
      <c r="H148" s="59"/>
      <c r="I148" s="59"/>
      <c r="J148" s="59" t="s">
        <v>2905</v>
      </c>
      <c r="K148" s="59"/>
      <c r="L148" s="59" t="s">
        <v>2905</v>
      </c>
      <c r="M148" s="59"/>
      <c r="N148" s="59"/>
      <c r="O148" s="59"/>
      <c r="P148" s="59"/>
      <c r="Q148" s="59"/>
      <c r="R148" s="59"/>
      <c r="S148" s="59"/>
      <c r="T148" s="59" t="s">
        <v>2905</v>
      </c>
      <c r="U148" s="59"/>
      <c r="V148" s="59"/>
      <c r="W148" s="59"/>
      <c r="X148" s="59"/>
      <c r="Y148" s="59" t="s">
        <v>2905</v>
      </c>
      <c r="Z148" s="59"/>
      <c r="AA148" s="59"/>
      <c r="AB148" s="59"/>
      <c r="AC148" s="59" t="s">
        <v>2905</v>
      </c>
      <c r="AD148" s="59" t="s">
        <v>2905</v>
      </c>
      <c r="AE148" s="59"/>
      <c r="AF148" s="59"/>
      <c r="AG148" s="59"/>
      <c r="AH148" s="59"/>
      <c r="AI148" s="59"/>
      <c r="AJ148" s="59"/>
      <c r="AK148" s="59"/>
      <c r="AL148" s="59" t="s">
        <v>2905</v>
      </c>
      <c r="AM148" s="59" t="s">
        <v>2905</v>
      </c>
      <c r="AN148" s="59" t="s">
        <v>2905</v>
      </c>
    </row>
    <row r="149" spans="1:40" x14ac:dyDescent="0.25">
      <c r="A149" s="38" t="s">
        <v>3597</v>
      </c>
      <c r="B149" s="57" t="str">
        <f>IF($A149="","",IFERROR(INDEX(Références!$C$2:$C$201,MATCH($A149,Références!$A$2:$A$201,0)),""))</f>
        <v>Sandberg &amp; Ejsmont (2002)</v>
      </c>
      <c r="C149" s="58">
        <f>IF($A149="","",IFERROR(INDEX(Références!$G$2:$G$201,MATCH($A149,Références!$A$2:$A$201,0)),""))</f>
        <v>2</v>
      </c>
      <c r="D149" s="57" t="str">
        <f>IF($A149="","",IFERROR(INDEX('Lecture détaillée'!$J$5:$J$204,MATCH($A149,'Lecture détaillée'!$A$5:$A$204,0)),""))</f>
        <v>Aucun</v>
      </c>
      <c r="E149" s="59"/>
      <c r="F149" s="59"/>
      <c r="G149" s="59" t="s">
        <v>2905</v>
      </c>
      <c r="H149" s="59"/>
      <c r="I149" s="59"/>
      <c r="J149" s="59"/>
      <c r="K149" s="59"/>
      <c r="L149" s="59"/>
      <c r="M149" s="59"/>
      <c r="N149" s="59"/>
      <c r="O149" s="59"/>
      <c r="P149" s="59"/>
      <c r="Q149" s="59"/>
      <c r="R149" s="59"/>
      <c r="S149" s="59"/>
      <c r="T149" s="59"/>
      <c r="U149" s="59"/>
      <c r="V149" s="59"/>
      <c r="W149" s="59"/>
      <c r="X149" s="59" t="s">
        <v>2905</v>
      </c>
      <c r="Y149" s="59"/>
      <c r="Z149" s="59"/>
      <c r="AA149" s="59"/>
      <c r="AB149" s="59"/>
      <c r="AC149" s="59"/>
      <c r="AD149" s="59" t="s">
        <v>2905</v>
      </c>
      <c r="AE149" s="59"/>
      <c r="AF149" s="59"/>
      <c r="AG149" s="59"/>
      <c r="AH149" s="59"/>
      <c r="AI149" s="59"/>
      <c r="AJ149" s="59"/>
      <c r="AK149" s="59"/>
      <c r="AL149" s="59"/>
      <c r="AM149" s="59"/>
      <c r="AN149" s="59"/>
    </row>
    <row r="150" spans="1:40" x14ac:dyDescent="0.25">
      <c r="A150" s="38" t="s">
        <v>3344</v>
      </c>
      <c r="B150" s="57" t="str">
        <f>IF($A150="","",IFERROR(INDEX(Références!$C$2:$C$201,MATCH($A150,Références!$A$2:$A$201,0)),""))</f>
        <v>Lee (1955)</v>
      </c>
      <c r="C150" s="58">
        <f>IF($A150="","",IFERROR(INDEX(Références!$G$2:$G$201,MATCH($A150,Références!$A$2:$A$201,0)),""))</f>
        <v>3</v>
      </c>
      <c r="D150" s="57" t="str">
        <f>IF($A150="","",IFERROR(INDEX('Lecture détaillée'!$J$5:$J$204,MATCH($A150,'Lecture détaillée'!$A$5:$A$204,0)),""))</f>
        <v>Aucun</v>
      </c>
      <c r="E150" s="59"/>
      <c r="F150" s="59"/>
      <c r="G150" s="59"/>
      <c r="H150" s="59"/>
      <c r="I150" s="59"/>
      <c r="J150" s="59"/>
      <c r="K150" s="59"/>
      <c r="L150" s="59"/>
      <c r="M150" s="59" t="s">
        <v>2905</v>
      </c>
      <c r="N150" s="59"/>
      <c r="O150" s="59"/>
      <c r="P150" s="59"/>
      <c r="Q150" s="59"/>
      <c r="R150" s="59"/>
      <c r="S150" s="59"/>
      <c r="T150" s="59" t="s">
        <v>2905</v>
      </c>
      <c r="U150" s="59" t="s">
        <v>2905</v>
      </c>
      <c r="V150" s="59"/>
      <c r="W150" s="59"/>
      <c r="X150" s="59" t="s">
        <v>2905</v>
      </c>
      <c r="Y150" s="59"/>
      <c r="Z150" s="59"/>
      <c r="AA150" s="59"/>
      <c r="AB150" s="59"/>
      <c r="AC150" s="59"/>
      <c r="AD150" s="59"/>
      <c r="AE150" s="59"/>
      <c r="AF150" s="59"/>
      <c r="AG150" s="59"/>
      <c r="AH150" s="59" t="s">
        <v>2905</v>
      </c>
      <c r="AI150" s="59"/>
      <c r="AJ150" s="59"/>
      <c r="AK150" s="59" t="s">
        <v>2905</v>
      </c>
      <c r="AL150" s="59"/>
      <c r="AM150" s="59"/>
      <c r="AN150" s="59" t="s">
        <v>2905</v>
      </c>
    </row>
    <row r="151" spans="1:40" x14ac:dyDescent="0.25">
      <c r="A151" s="38" t="s">
        <v>3355</v>
      </c>
      <c r="B151" s="57" t="str">
        <f>IF($A151="","",IFERROR(INDEX(Références!$C$2:$C$201,MATCH($A151,Références!$A$2:$A$201,0)),""))</f>
        <v>Christensen (1982)</v>
      </c>
      <c r="C151" s="58">
        <f>IF($A151="","",IFERROR(INDEX(Références!$G$2:$G$201,MATCH($A151,Références!$A$2:$A$201,0)),""))</f>
        <v>3</v>
      </c>
      <c r="D151" s="57" t="str">
        <f>IF($A151="","",IFERROR(INDEX('Lecture détaillée'!$J$5:$J$204,MATCH($A151,'Lecture détaillée'!$A$5:$A$204,0)),""))</f>
        <v>Aucun</v>
      </c>
      <c r="E151" s="59"/>
      <c r="F151" s="59"/>
      <c r="G151" s="59"/>
      <c r="H151" s="59"/>
      <c r="I151" s="59"/>
      <c r="J151" s="59"/>
      <c r="K151" s="59"/>
      <c r="L151" s="59"/>
      <c r="M151" s="59" t="s">
        <v>2905</v>
      </c>
      <c r="N151" s="59"/>
      <c r="O151" s="59"/>
      <c r="P151" s="59"/>
      <c r="Q151" s="59"/>
      <c r="R151" s="59"/>
      <c r="S151" s="59"/>
      <c r="T151" s="59"/>
      <c r="U151" s="59"/>
      <c r="V151" s="59"/>
      <c r="W151" s="59"/>
      <c r="X151" s="59" t="s">
        <v>2905</v>
      </c>
      <c r="Y151" s="59"/>
      <c r="Z151" s="59"/>
      <c r="AA151" s="59"/>
      <c r="AB151" s="59"/>
      <c r="AC151" s="59"/>
      <c r="AD151" s="59"/>
      <c r="AE151" s="59"/>
      <c r="AF151" s="59"/>
      <c r="AG151" s="59"/>
      <c r="AH151" s="59" t="s">
        <v>2905</v>
      </c>
      <c r="AI151" s="59"/>
      <c r="AJ151" s="59"/>
      <c r="AK151" s="59" t="s">
        <v>2905</v>
      </c>
      <c r="AL151" s="59"/>
      <c r="AM151" s="59"/>
      <c r="AN151" s="59"/>
    </row>
    <row r="152" spans="1:40" x14ac:dyDescent="0.25">
      <c r="A152" s="38" t="s">
        <v>3364</v>
      </c>
      <c r="B152" s="57" t="str">
        <f>IF($A152="","",IFERROR(INDEX(Références!$C$2:$C$201,MATCH($A152,Références!$A$2:$A$201,0)),""))</f>
        <v>Salençon (2009)</v>
      </c>
      <c r="C152" s="58">
        <f>IF($A152="","",IFERROR(INDEX(Références!$G$2:$G$201,MATCH($A152,Références!$A$2:$A$201,0)),""))</f>
        <v>3</v>
      </c>
      <c r="D152" s="57" t="str">
        <f>IF($A152="","",IFERROR(INDEX('Lecture détaillée'!$J$5:$J$204,MATCH($A152,'Lecture détaillée'!$A$5:$A$204,0)),""))</f>
        <v>Aucun</v>
      </c>
      <c r="E152" s="59"/>
      <c r="F152" s="59"/>
      <c r="G152" s="59"/>
      <c r="H152" s="59"/>
      <c r="I152" s="59"/>
      <c r="J152" s="59"/>
      <c r="K152" s="59"/>
      <c r="L152" s="59"/>
      <c r="M152" s="59" t="s">
        <v>2905</v>
      </c>
      <c r="N152" s="59"/>
      <c r="O152" s="59"/>
      <c r="P152" s="59"/>
      <c r="Q152" s="59"/>
      <c r="R152" s="59"/>
      <c r="S152" s="59"/>
      <c r="T152" s="59"/>
      <c r="U152" s="59"/>
      <c r="V152" s="59"/>
      <c r="W152" s="59"/>
      <c r="X152" s="59" t="s">
        <v>2905</v>
      </c>
      <c r="Y152" s="59"/>
      <c r="Z152" s="59"/>
      <c r="AA152" s="59"/>
      <c r="AB152" s="59"/>
      <c r="AC152" s="59"/>
      <c r="AD152" s="59"/>
      <c r="AE152" s="59"/>
      <c r="AF152" s="59"/>
      <c r="AG152" s="59"/>
      <c r="AH152" s="59" t="s">
        <v>2905</v>
      </c>
      <c r="AI152" s="59"/>
      <c r="AJ152" s="59"/>
      <c r="AK152" s="59" t="s">
        <v>2905</v>
      </c>
      <c r="AL152" s="59"/>
      <c r="AM152" s="59"/>
      <c r="AN152" s="59"/>
    </row>
    <row r="153" spans="1:40" x14ac:dyDescent="0.25">
      <c r="A153" s="38" t="s">
        <v>3190</v>
      </c>
      <c r="B153" s="57" t="str">
        <f>IF($A153="","",IFERROR(INDEX(Références!$C$2:$C$201,MATCH($A153,Références!$A$2:$A$201,0)),""))</f>
        <v>Burmister (1943)</v>
      </c>
      <c r="C153" s="58">
        <f>IF($A153="","",IFERROR(INDEX(Références!$G$2:$G$201,MATCH($A153,Références!$A$2:$A$201,0)),""))</f>
        <v>5</v>
      </c>
      <c r="D153" s="57" t="str">
        <f>IF($A153="","",IFERROR(INDEX('Lecture détaillée'!$J$5:$J$204,MATCH($A153,'Lecture détaillée'!$A$5:$A$204,0)),""))</f>
        <v>Aucun</v>
      </c>
      <c r="E153" s="59"/>
      <c r="F153" s="59" t="s">
        <v>2905</v>
      </c>
      <c r="G153" s="59"/>
      <c r="H153" s="59" t="s">
        <v>2905</v>
      </c>
      <c r="I153" s="59"/>
      <c r="J153" s="59"/>
      <c r="K153" s="59"/>
      <c r="L153" s="59" t="s">
        <v>2905</v>
      </c>
      <c r="M153" s="59"/>
      <c r="N153" s="59"/>
      <c r="O153" s="59"/>
      <c r="P153" s="59"/>
      <c r="Q153" s="59"/>
      <c r="R153" s="59"/>
      <c r="S153" s="59"/>
      <c r="T153" s="59" t="s">
        <v>2905</v>
      </c>
      <c r="U153" s="59"/>
      <c r="V153" s="59"/>
      <c r="W153" s="59"/>
      <c r="X153" s="59"/>
      <c r="Y153" s="59" t="s">
        <v>2905</v>
      </c>
      <c r="Z153" s="59"/>
      <c r="AA153" s="59"/>
      <c r="AB153" s="59"/>
      <c r="AC153" s="59"/>
      <c r="AD153" s="59"/>
      <c r="AE153" s="59"/>
      <c r="AF153" s="59"/>
      <c r="AG153" s="59"/>
      <c r="AH153" s="59"/>
      <c r="AI153" s="59"/>
      <c r="AJ153" s="59" t="s">
        <v>2905</v>
      </c>
      <c r="AK153" s="59"/>
      <c r="AL153" s="59"/>
      <c r="AM153" s="59"/>
      <c r="AN153" s="59" t="s">
        <v>2905</v>
      </c>
    </row>
    <row r="154" spans="1:40" x14ac:dyDescent="0.25">
      <c r="A154" s="38" t="s">
        <v>3241</v>
      </c>
      <c r="B154" s="57" t="str">
        <f>IF($A154="","",IFERROR(INDEX(Références!$C$2:$C$201,MATCH($A154,Références!$A$2:$A$201,0)),""))</f>
        <v>Timoshenko &amp; Goodier (1970)</v>
      </c>
      <c r="C154" s="58">
        <f>IF($A154="","",IFERROR(INDEX(Références!$G$2:$G$201,MATCH($A154,Références!$A$2:$A$201,0)),""))</f>
        <v>5</v>
      </c>
      <c r="D154" s="57" t="str">
        <f>IF($A154="","",IFERROR(INDEX('Lecture détaillée'!$J$5:$J$204,MATCH($A154,'Lecture détaillée'!$A$5:$A$204,0)),""))</f>
        <v>Aucun</v>
      </c>
      <c r="E154" s="59"/>
      <c r="F154" s="59"/>
      <c r="G154" s="59"/>
      <c r="H154" s="59"/>
      <c r="I154" s="59"/>
      <c r="J154" s="59"/>
      <c r="K154" s="59"/>
      <c r="L154" s="59" t="s">
        <v>2905</v>
      </c>
      <c r="M154" s="59"/>
      <c r="N154" s="59"/>
      <c r="O154" s="59"/>
      <c r="P154" s="59"/>
      <c r="Q154" s="59"/>
      <c r="R154" s="59"/>
      <c r="S154" s="59"/>
      <c r="T154" s="59"/>
      <c r="U154" s="59"/>
      <c r="V154" s="59"/>
      <c r="W154" s="59"/>
      <c r="X154" s="59" t="s">
        <v>2905</v>
      </c>
      <c r="Y154" s="59" t="s">
        <v>2905</v>
      </c>
      <c r="Z154" s="59"/>
      <c r="AA154" s="59"/>
      <c r="AB154" s="59"/>
      <c r="AC154" s="59"/>
      <c r="AD154" s="59"/>
      <c r="AE154" s="59"/>
      <c r="AF154" s="59"/>
      <c r="AG154" s="59"/>
      <c r="AH154" s="59"/>
      <c r="AI154" s="59"/>
      <c r="AJ154" s="59"/>
      <c r="AK154" s="59" t="s">
        <v>2905</v>
      </c>
      <c r="AL154" s="59"/>
      <c r="AM154" s="59"/>
      <c r="AN154" s="59"/>
    </row>
    <row r="155" spans="1:40" x14ac:dyDescent="0.25">
      <c r="A155" s="38" t="s">
        <v>3251</v>
      </c>
      <c r="B155" s="57" t="str">
        <f>IF($A155="","",IFERROR(INDEX(Références!$C$2:$C$201,MATCH($A155,Références!$A$2:$A$201,0)),""))</f>
        <v>Huang (2004)</v>
      </c>
      <c r="C155" s="58">
        <f>IF($A155="","",IFERROR(INDEX(Références!$G$2:$G$201,MATCH($A155,Références!$A$2:$A$201,0)),""))</f>
        <v>5</v>
      </c>
      <c r="D155" s="57" t="str">
        <f>IF($A155="","",IFERROR(INDEX('Lecture détaillée'!$J$5:$J$204,MATCH($A155,'Lecture détaillée'!$A$5:$A$204,0)),""))</f>
        <v>Aucun</v>
      </c>
      <c r="E155" s="59" t="s">
        <v>2905</v>
      </c>
      <c r="F155" s="59"/>
      <c r="G155" s="59"/>
      <c r="H155" s="59" t="s">
        <v>2905</v>
      </c>
      <c r="I155" s="59"/>
      <c r="J155" s="59"/>
      <c r="K155" s="59"/>
      <c r="L155" s="59" t="s">
        <v>2905</v>
      </c>
      <c r="M155" s="59" t="s">
        <v>2905</v>
      </c>
      <c r="N155" s="59"/>
      <c r="O155" s="59"/>
      <c r="P155" s="59"/>
      <c r="Q155" s="59"/>
      <c r="R155" s="59"/>
      <c r="S155" s="59"/>
      <c r="T155" s="59"/>
      <c r="U155" s="59"/>
      <c r="V155" s="59"/>
      <c r="W155" s="59"/>
      <c r="X155" s="59" t="s">
        <v>2905</v>
      </c>
      <c r="Y155" s="59" t="s">
        <v>2905</v>
      </c>
      <c r="Z155" s="59"/>
      <c r="AA155" s="59"/>
      <c r="AB155" s="59"/>
      <c r="AC155" s="59"/>
      <c r="AD155" s="59"/>
      <c r="AE155" s="59"/>
      <c r="AF155" s="59"/>
      <c r="AG155" s="59"/>
      <c r="AH155" s="59"/>
      <c r="AI155" s="59"/>
      <c r="AJ155" s="59" t="s">
        <v>2905</v>
      </c>
      <c r="AK155" s="59" t="s">
        <v>2905</v>
      </c>
      <c r="AL155" s="59"/>
      <c r="AM155" s="59"/>
      <c r="AN155" s="59"/>
    </row>
    <row r="156" spans="1:40" x14ac:dyDescent="0.25">
      <c r="A156" s="38" t="s">
        <v>3294</v>
      </c>
      <c r="B156" s="57" t="str">
        <f>IF($A156="","",IFERROR(INDEX(Références!$C$2:$C$201,MATCH($A156,Références!$A$2:$A$201,0)),""))</f>
        <v>Chabot et al. (2006)</v>
      </c>
      <c r="C156" s="58">
        <f>IF($A156="","",IFERROR(INDEX(Références!$G$2:$G$201,MATCH($A156,Références!$A$2:$A$201,0)),""))</f>
        <v>5</v>
      </c>
      <c r="D156" s="57" t="str">
        <f>IF($A156="","",IFERROR(INDEX('Lecture détaillée'!$J$5:$J$204,MATCH($A156,'Lecture détaillée'!$A$5:$A$204,0)),""))</f>
        <v>Aucun</v>
      </c>
      <c r="E156" s="59" t="s">
        <v>2905</v>
      </c>
      <c r="F156" s="59"/>
      <c r="G156" s="59"/>
      <c r="H156" s="59" t="s">
        <v>2905</v>
      </c>
      <c r="I156" s="59"/>
      <c r="J156" s="59"/>
      <c r="K156" s="59"/>
      <c r="L156" s="59"/>
      <c r="M156" s="59" t="s">
        <v>2905</v>
      </c>
      <c r="N156" s="59"/>
      <c r="O156" s="59"/>
      <c r="P156" s="59"/>
      <c r="Q156" s="59"/>
      <c r="R156" s="59"/>
      <c r="S156" s="59"/>
      <c r="T156" s="59" t="s">
        <v>2905</v>
      </c>
      <c r="U156" s="59" t="s">
        <v>2905</v>
      </c>
      <c r="V156" s="59"/>
      <c r="W156" s="59"/>
      <c r="X156" s="59"/>
      <c r="Y156" s="59"/>
      <c r="Z156" s="59" t="s">
        <v>2905</v>
      </c>
      <c r="AA156" s="59"/>
      <c r="AB156" s="59"/>
      <c r="AC156" s="59"/>
      <c r="AD156" s="59"/>
      <c r="AE156" s="59"/>
      <c r="AF156" s="59"/>
      <c r="AG156" s="59"/>
      <c r="AH156" s="59"/>
      <c r="AI156" s="59"/>
      <c r="AJ156" s="59" t="s">
        <v>2905</v>
      </c>
      <c r="AK156" s="59"/>
      <c r="AL156" s="59" t="s">
        <v>2905</v>
      </c>
      <c r="AM156" s="59"/>
      <c r="AN156" s="59" t="s">
        <v>2905</v>
      </c>
    </row>
    <row r="157" spans="1:40" x14ac:dyDescent="0.25">
      <c r="A157" s="38" t="s">
        <v>3305</v>
      </c>
      <c r="B157" s="57" t="str">
        <f>IF($A157="","",IFERROR(INDEX(Références!$C$2:$C$201,MATCH($A157,Références!$A$2:$A$201,0)),""))</f>
        <v>Zhao et al. (2014)</v>
      </c>
      <c r="C157" s="58">
        <f>IF($A157="","",IFERROR(INDEX(Références!$G$2:$G$201,MATCH($A157,Références!$A$2:$A$201,0)),""))</f>
        <v>5</v>
      </c>
      <c r="D157" s="57" t="str">
        <f>IF($A157="","",IFERROR(INDEX('Lecture détaillée'!$J$5:$J$204,MATCH($A157,'Lecture détaillée'!$A$5:$A$204,0)),""))</f>
        <v>Aucun</v>
      </c>
      <c r="E157" s="59"/>
      <c r="F157" s="59"/>
      <c r="G157" s="59"/>
      <c r="H157" s="59" t="s">
        <v>2905</v>
      </c>
      <c r="I157" s="59"/>
      <c r="J157" s="59"/>
      <c r="K157" s="59"/>
      <c r="L157" s="59"/>
      <c r="M157" s="59" t="s">
        <v>2905</v>
      </c>
      <c r="N157" s="59"/>
      <c r="O157" s="59"/>
      <c r="P157" s="59"/>
      <c r="Q157" s="59"/>
      <c r="R157" s="59"/>
      <c r="S157" s="59"/>
      <c r="T157" s="59" t="s">
        <v>2905</v>
      </c>
      <c r="U157" s="59"/>
      <c r="V157" s="59"/>
      <c r="W157" s="59"/>
      <c r="X157" s="59"/>
      <c r="Y157" s="59" t="s">
        <v>2905</v>
      </c>
      <c r="Z157" s="59" t="s">
        <v>2905</v>
      </c>
      <c r="AA157" s="59"/>
      <c r="AB157" s="59"/>
      <c r="AC157" s="59"/>
      <c r="AD157" s="59"/>
      <c r="AE157" s="59"/>
      <c r="AF157" s="59"/>
      <c r="AG157" s="59"/>
      <c r="AH157" s="59"/>
      <c r="AI157" s="59"/>
      <c r="AJ157" s="59" t="s">
        <v>2905</v>
      </c>
      <c r="AK157" s="59"/>
      <c r="AL157" s="59"/>
      <c r="AM157" s="59"/>
      <c r="AN157" s="59" t="s">
        <v>2905</v>
      </c>
    </row>
    <row r="158" spans="1:40" x14ac:dyDescent="0.25">
      <c r="A158" s="38" t="s">
        <v>3315</v>
      </c>
      <c r="B158" s="57" t="str">
        <f>IF($A158="","",IFERROR(INDEX(Références!$C$2:$C$201,MATCH($A158,Références!$A$2:$A$201,0)),""))</f>
        <v>Hughes (2000)</v>
      </c>
      <c r="C158" s="58">
        <f>IF($A158="","",IFERROR(INDEX(Références!$G$2:$G$201,MATCH($A158,Références!$A$2:$A$201,0)),""))</f>
        <v>5</v>
      </c>
      <c r="D158" s="57" t="str">
        <f>IF($A158="","",IFERROR(INDEX('Lecture détaillée'!$J$5:$J$204,MATCH($A158,'Lecture détaillée'!$A$5:$A$204,0)),""))</f>
        <v>Aucun</v>
      </c>
      <c r="E158" s="59"/>
      <c r="F158" s="59"/>
      <c r="G158" s="59"/>
      <c r="H158" s="59"/>
      <c r="I158" s="59"/>
      <c r="J158" s="59"/>
      <c r="K158" s="59"/>
      <c r="L158" s="59" t="s">
        <v>2905</v>
      </c>
      <c r="M158" s="59"/>
      <c r="N158" s="59"/>
      <c r="O158" s="59"/>
      <c r="P158" s="59"/>
      <c r="Q158" s="59"/>
      <c r="R158" s="59"/>
      <c r="S158" s="59" t="s">
        <v>2905</v>
      </c>
      <c r="T158" s="59"/>
      <c r="U158" s="59"/>
      <c r="V158" s="59"/>
      <c r="W158" s="59"/>
      <c r="X158" s="59" t="s">
        <v>2905</v>
      </c>
      <c r="Y158" s="59" t="s">
        <v>2905</v>
      </c>
      <c r="Z158" s="59"/>
      <c r="AA158" s="59"/>
      <c r="AB158" s="59"/>
      <c r="AC158" s="59"/>
      <c r="AD158" s="59"/>
      <c r="AE158" s="59"/>
      <c r="AF158" s="59"/>
      <c r="AG158" s="59"/>
      <c r="AH158" s="59"/>
      <c r="AI158" s="59"/>
      <c r="AJ158" s="59"/>
      <c r="AK158" s="59" t="s">
        <v>2905</v>
      </c>
      <c r="AL158" s="59"/>
      <c r="AM158" s="59"/>
      <c r="AN158" s="59"/>
    </row>
    <row r="159" spans="1:40" x14ac:dyDescent="0.25">
      <c r="A159" s="38" t="s">
        <v>3175</v>
      </c>
      <c r="B159" s="57" t="str">
        <f>IF($A159="","",IFERROR(INDEX(Références!$C$2:$C$201,MATCH($A159,Références!$A$2:$A$201,0)),""))</f>
        <v>Kausel &amp; Roësset (1981)</v>
      </c>
      <c r="C159" s="58">
        <f>IF($A159="","",IFERROR(INDEX(Références!$G$2:$G$201,MATCH($A159,Références!$A$2:$A$201,0)),""))</f>
        <v>5</v>
      </c>
      <c r="D159" s="57" t="str">
        <f>IF($A159="","",IFERROR(INDEX('Lecture détaillée'!$J$5:$J$204,MATCH($A159,'Lecture détaillée'!$A$5:$A$204,0)),""))</f>
        <v>Aucun</v>
      </c>
      <c r="E159" s="59"/>
      <c r="F159" s="59"/>
      <c r="G159" s="59"/>
      <c r="H159" s="59"/>
      <c r="I159" s="59"/>
      <c r="J159" s="59"/>
      <c r="K159" s="59"/>
      <c r="L159" s="59" t="s">
        <v>2905</v>
      </c>
      <c r="M159" s="59"/>
      <c r="N159" s="59"/>
      <c r="O159" s="59"/>
      <c r="P159" s="59"/>
      <c r="Q159" s="59"/>
      <c r="R159" s="59"/>
      <c r="S159" s="59"/>
      <c r="T159" s="59" t="s">
        <v>2905</v>
      </c>
      <c r="U159" s="59" t="s">
        <v>2905</v>
      </c>
      <c r="V159" s="59"/>
      <c r="W159" s="59"/>
      <c r="X159" s="59" t="s">
        <v>2905</v>
      </c>
      <c r="Y159" s="59"/>
      <c r="Z159" s="59"/>
      <c r="AA159" s="59"/>
      <c r="AB159" s="59"/>
      <c r="AC159" s="59"/>
      <c r="AD159" s="59"/>
      <c r="AE159" s="59"/>
      <c r="AF159" s="59"/>
      <c r="AG159" s="59"/>
      <c r="AH159" s="59"/>
      <c r="AI159" s="59"/>
      <c r="AJ159" s="59"/>
      <c r="AK159" s="59" t="s">
        <v>2905</v>
      </c>
      <c r="AL159" s="59"/>
      <c r="AM159" s="59"/>
      <c r="AN159" s="59" t="s">
        <v>2905</v>
      </c>
    </row>
    <row r="160" spans="1:40" x14ac:dyDescent="0.25">
      <c r="A160" s="38" t="s">
        <v>3198</v>
      </c>
      <c r="B160" s="57" t="str">
        <f>IF($A160="","",IFERROR(INDEX(Références!$C$2:$C$201,MATCH($A160,Références!$A$2:$A$201,0)),""))</f>
        <v>Thomson (1950)</v>
      </c>
      <c r="C160" s="58">
        <f>IF($A160="","",IFERROR(INDEX(Références!$G$2:$G$201,MATCH($A160,Références!$A$2:$A$201,0)),""))</f>
        <v>5</v>
      </c>
      <c r="D160" s="57" t="str">
        <f>IF($A160="","",IFERROR(INDEX('Lecture détaillée'!$J$5:$J$204,MATCH($A160,'Lecture détaillée'!$A$5:$A$204,0)),""))</f>
        <v>Aucun</v>
      </c>
      <c r="E160" s="59"/>
      <c r="F160" s="59"/>
      <c r="G160" s="59"/>
      <c r="H160" s="59"/>
      <c r="I160" s="59"/>
      <c r="J160" s="59"/>
      <c r="K160" s="59"/>
      <c r="L160" s="59" t="s">
        <v>2905</v>
      </c>
      <c r="M160" s="59"/>
      <c r="N160" s="59"/>
      <c r="O160" s="59"/>
      <c r="P160" s="59"/>
      <c r="Q160" s="59"/>
      <c r="R160" s="59"/>
      <c r="S160" s="59"/>
      <c r="T160" s="59" t="s">
        <v>2905</v>
      </c>
      <c r="U160" s="59" t="s">
        <v>2905</v>
      </c>
      <c r="V160" s="59"/>
      <c r="W160" s="59"/>
      <c r="X160" s="59"/>
      <c r="Y160" s="59"/>
      <c r="Z160" s="59"/>
      <c r="AA160" s="59"/>
      <c r="AB160" s="59"/>
      <c r="AC160" s="59"/>
      <c r="AD160" s="59"/>
      <c r="AE160" s="59"/>
      <c r="AF160" s="59"/>
      <c r="AG160" s="59"/>
      <c r="AH160" s="59"/>
      <c r="AI160" s="59"/>
      <c r="AJ160" s="59"/>
      <c r="AK160" s="59" t="s">
        <v>2905</v>
      </c>
      <c r="AL160" s="59"/>
      <c r="AM160" s="59"/>
      <c r="AN160" s="59" t="s">
        <v>2905</v>
      </c>
    </row>
    <row r="161" spans="1:40" x14ac:dyDescent="0.25">
      <c r="A161" s="38" t="s">
        <v>3210</v>
      </c>
      <c r="B161" s="57" t="str">
        <f>IF($A161="","",IFERROR(INDEX(Références!$C$2:$C$201,MATCH($A161,Références!$A$2:$A$201,0)),""))</f>
        <v>Haskell (1953)</v>
      </c>
      <c r="C161" s="58">
        <f>IF($A161="","",IFERROR(INDEX(Références!$G$2:$G$201,MATCH($A161,Références!$A$2:$A$201,0)),""))</f>
        <v>5</v>
      </c>
      <c r="D161" s="57" t="str">
        <f>IF($A161="","",IFERROR(INDEX('Lecture détaillée'!$J$5:$J$204,MATCH($A161,'Lecture détaillée'!$A$5:$A$204,0)),""))</f>
        <v>Aucun</v>
      </c>
      <c r="E161" s="59"/>
      <c r="F161" s="59"/>
      <c r="G161" s="59"/>
      <c r="H161" s="59"/>
      <c r="I161" s="59"/>
      <c r="J161" s="59"/>
      <c r="K161" s="59"/>
      <c r="L161" s="59" t="s">
        <v>2905</v>
      </c>
      <c r="M161" s="59"/>
      <c r="N161" s="59"/>
      <c r="O161" s="59"/>
      <c r="P161" s="59"/>
      <c r="Q161" s="59"/>
      <c r="R161" s="59"/>
      <c r="S161" s="59"/>
      <c r="T161" s="59" t="s">
        <v>2905</v>
      </c>
      <c r="U161" s="59" t="s">
        <v>2905</v>
      </c>
      <c r="V161" s="59"/>
      <c r="W161" s="59"/>
      <c r="X161" s="59"/>
      <c r="Y161" s="59"/>
      <c r="Z161" s="59"/>
      <c r="AA161" s="59"/>
      <c r="AB161" s="59"/>
      <c r="AC161" s="59"/>
      <c r="AD161" s="59"/>
      <c r="AE161" s="59"/>
      <c r="AF161" s="59"/>
      <c r="AG161" s="59"/>
      <c r="AH161" s="59"/>
      <c r="AI161" s="59"/>
      <c r="AJ161" s="59"/>
      <c r="AK161" s="59" t="s">
        <v>2905</v>
      </c>
      <c r="AL161" s="59"/>
      <c r="AM161" s="59"/>
      <c r="AN161" s="59" t="s">
        <v>2905</v>
      </c>
    </row>
    <row r="162" spans="1:40" x14ac:dyDescent="0.25">
      <c r="A162" s="38" t="s">
        <v>3222</v>
      </c>
      <c r="B162" s="57" t="str">
        <f>IF($A162="","",IFERROR(INDEX(Références!$C$2:$C$201,MATCH($A162,Références!$A$2:$A$201,0)),""))</f>
        <v>Kausel &amp; Peek (1982)</v>
      </c>
      <c r="C162" s="58">
        <f>IF($A162="","",IFERROR(INDEX(Références!$G$2:$G$201,MATCH($A162,Références!$A$2:$A$201,0)),""))</f>
        <v>5</v>
      </c>
      <c r="D162" s="57" t="str">
        <f>IF($A162="","",IFERROR(INDEX('Lecture détaillée'!$J$5:$J$204,MATCH($A162,'Lecture détaillée'!$A$5:$A$204,0)),""))</f>
        <v>Aucun</v>
      </c>
      <c r="E162" s="59"/>
      <c r="F162" s="59"/>
      <c r="G162" s="59"/>
      <c r="H162" s="59"/>
      <c r="I162" s="59"/>
      <c r="J162" s="59"/>
      <c r="K162" s="59"/>
      <c r="L162" s="59" t="s">
        <v>2905</v>
      </c>
      <c r="M162" s="59"/>
      <c r="N162" s="59"/>
      <c r="O162" s="59"/>
      <c r="P162" s="59"/>
      <c r="Q162" s="59"/>
      <c r="R162" s="59"/>
      <c r="S162" s="59"/>
      <c r="T162" s="59" t="s">
        <v>2905</v>
      </c>
      <c r="U162" s="59" t="s">
        <v>2905</v>
      </c>
      <c r="V162" s="59"/>
      <c r="W162" s="59"/>
      <c r="X162" s="59"/>
      <c r="Y162" s="59"/>
      <c r="Z162" s="59"/>
      <c r="AA162" s="59"/>
      <c r="AB162" s="59"/>
      <c r="AC162" s="59"/>
      <c r="AD162" s="59"/>
      <c r="AE162" s="59"/>
      <c r="AF162" s="59"/>
      <c r="AG162" s="59"/>
      <c r="AH162" s="59"/>
      <c r="AI162" s="59"/>
      <c r="AJ162" s="59"/>
      <c r="AK162" s="59" t="s">
        <v>2905</v>
      </c>
      <c r="AL162" s="59"/>
      <c r="AM162" s="59"/>
      <c r="AN162" s="59" t="s">
        <v>2905</v>
      </c>
    </row>
    <row r="163" spans="1:40" x14ac:dyDescent="0.25">
      <c r="A163" s="38" t="s">
        <v>3233</v>
      </c>
      <c r="B163" s="57" t="str">
        <f>IF($A163="","",IFERROR(INDEX(Références!$C$2:$C$201,MATCH($A163,Références!$A$2:$A$201,0)),""))</f>
        <v>Kausel (2006)</v>
      </c>
      <c r="C163" s="58">
        <f>IF($A163="","",IFERROR(INDEX(Références!$G$2:$G$201,MATCH($A163,Références!$A$2:$A$201,0)),""))</f>
        <v>5</v>
      </c>
      <c r="D163" s="57" t="str">
        <f>IF($A163="","",IFERROR(INDEX('Lecture détaillée'!$J$5:$J$204,MATCH($A163,'Lecture détaillée'!$A$5:$A$204,0)),""))</f>
        <v>Aucun</v>
      </c>
      <c r="E163" s="59"/>
      <c r="F163" s="59"/>
      <c r="G163" s="59"/>
      <c r="H163" s="59"/>
      <c r="I163" s="59"/>
      <c r="J163" s="59"/>
      <c r="K163" s="59"/>
      <c r="L163" s="59" t="s">
        <v>2905</v>
      </c>
      <c r="M163" s="59"/>
      <c r="N163" s="59"/>
      <c r="O163" s="59"/>
      <c r="P163" s="59"/>
      <c r="Q163" s="59"/>
      <c r="R163" s="59"/>
      <c r="S163" s="59"/>
      <c r="T163" s="59" t="s">
        <v>2905</v>
      </c>
      <c r="U163" s="59" t="s">
        <v>2905</v>
      </c>
      <c r="V163" s="59"/>
      <c r="W163" s="59"/>
      <c r="X163" s="59" t="s">
        <v>2905</v>
      </c>
      <c r="Y163" s="59"/>
      <c r="Z163" s="59"/>
      <c r="AA163" s="59"/>
      <c r="AB163" s="59"/>
      <c r="AC163" s="59"/>
      <c r="AD163" s="59"/>
      <c r="AE163" s="59"/>
      <c r="AF163" s="59"/>
      <c r="AG163" s="59"/>
      <c r="AH163" s="59"/>
      <c r="AI163" s="59"/>
      <c r="AJ163" s="59"/>
      <c r="AK163" s="59" t="s">
        <v>2905</v>
      </c>
      <c r="AL163" s="59"/>
      <c r="AM163" s="59"/>
      <c r="AN163" s="59" t="s">
        <v>2905</v>
      </c>
    </row>
    <row r="164" spans="1:40" x14ac:dyDescent="0.25">
      <c r="A164" s="38" t="s">
        <v>3259</v>
      </c>
      <c r="B164" s="57" t="str">
        <f>IF($A164="","",IFERROR(INDEX(Références!$C$2:$C$201,MATCH($A164,Références!$A$2:$A$201,0)),""))</f>
        <v>Nakhaei (2023)</v>
      </c>
      <c r="C164" s="58">
        <f>IF($A164="","",IFERROR(INDEX(Références!$G$2:$G$201,MATCH($A164,Références!$A$2:$A$201,0)),""))</f>
        <v>5</v>
      </c>
      <c r="D164" s="57" t="str">
        <f>IF($A164="","",IFERROR(INDEX('Lecture détaillée'!$J$5:$J$204,MATCH($A164,'Lecture détaillée'!$A$5:$A$204,0)),""))</f>
        <v>Aucun</v>
      </c>
      <c r="E164" s="59"/>
      <c r="F164" s="59"/>
      <c r="G164" s="59"/>
      <c r="H164" s="59" t="s">
        <v>2905</v>
      </c>
      <c r="I164" s="59"/>
      <c r="J164" s="59"/>
      <c r="K164" s="59"/>
      <c r="L164" s="59" t="s">
        <v>2905</v>
      </c>
      <c r="M164" s="59"/>
      <c r="N164" s="59"/>
      <c r="O164" s="59"/>
      <c r="P164" s="59"/>
      <c r="Q164" s="59"/>
      <c r="R164" s="59"/>
      <c r="S164" s="59"/>
      <c r="T164" s="59" t="s">
        <v>2905</v>
      </c>
      <c r="U164" s="59"/>
      <c r="V164" s="59"/>
      <c r="W164" s="59"/>
      <c r="X164" s="59"/>
      <c r="Y164" s="59" t="s">
        <v>2905</v>
      </c>
      <c r="Z164" s="59"/>
      <c r="AA164" s="59"/>
      <c r="AB164" s="59"/>
      <c r="AC164" s="59"/>
      <c r="AD164" s="59"/>
      <c r="AE164" s="59"/>
      <c r="AF164" s="59"/>
      <c r="AG164" s="59"/>
      <c r="AH164" s="59"/>
      <c r="AI164" s="59"/>
      <c r="AJ164" s="59" t="s">
        <v>2905</v>
      </c>
      <c r="AK164" s="59"/>
      <c r="AL164" s="59"/>
      <c r="AM164" s="59"/>
      <c r="AN164" s="59" t="s">
        <v>2905</v>
      </c>
    </row>
    <row r="165" spans="1:40" x14ac:dyDescent="0.25">
      <c r="A165" s="38" t="s">
        <v>3270</v>
      </c>
      <c r="B165" s="57" t="str">
        <f>IF($A165="","",IFERROR(INDEX(Références!$C$2:$C$201,MATCH($A165,Références!$A$2:$A$201,0)),""))</f>
        <v>Muki (1956)</v>
      </c>
      <c r="C165" s="58">
        <f>IF($A165="","",IFERROR(INDEX(Références!$G$2:$G$201,MATCH($A165,Références!$A$2:$A$201,0)),""))</f>
        <v>5</v>
      </c>
      <c r="D165" s="57" t="str">
        <f>IF($A165="","",IFERROR(INDEX('Lecture détaillée'!$J$5:$J$204,MATCH($A165,'Lecture détaillée'!$A$5:$A$204,0)),""))</f>
        <v>Aucun</v>
      </c>
      <c r="E165" s="59"/>
      <c r="F165" s="59"/>
      <c r="G165" s="59"/>
      <c r="H165" s="59" t="s">
        <v>2905</v>
      </c>
      <c r="I165" s="59"/>
      <c r="J165" s="59"/>
      <c r="K165" s="59" t="s">
        <v>2905</v>
      </c>
      <c r="L165" s="59" t="s">
        <v>2905</v>
      </c>
      <c r="M165" s="59"/>
      <c r="N165" s="59"/>
      <c r="O165" s="59"/>
      <c r="P165" s="59"/>
      <c r="Q165" s="59"/>
      <c r="R165" s="59"/>
      <c r="S165" s="59"/>
      <c r="T165" s="59" t="s">
        <v>2905</v>
      </c>
      <c r="U165" s="59"/>
      <c r="V165" s="59"/>
      <c r="W165" s="59"/>
      <c r="X165" s="59"/>
      <c r="Y165" s="59" t="s">
        <v>2905</v>
      </c>
      <c r="Z165" s="59"/>
      <c r="AA165" s="59"/>
      <c r="AB165" s="59"/>
      <c r="AC165" s="59"/>
      <c r="AD165" s="59"/>
      <c r="AE165" s="59"/>
      <c r="AF165" s="59"/>
      <c r="AG165" s="59"/>
      <c r="AH165" s="59"/>
      <c r="AI165" s="59"/>
      <c r="AJ165" s="59" t="s">
        <v>2905</v>
      </c>
      <c r="AK165" s="59"/>
      <c r="AL165" s="59"/>
      <c r="AM165" s="59"/>
      <c r="AN165" s="59" t="s">
        <v>2905</v>
      </c>
    </row>
    <row r="166" spans="1:40" x14ac:dyDescent="0.25">
      <c r="A166" s="38" t="s">
        <v>3281</v>
      </c>
      <c r="B166" s="57" t="str">
        <f>IF($A166="","",IFERROR(INDEX(Références!$C$2:$C$201,MATCH($A166,Références!$A$2:$A$201,0)),""))</f>
        <v>Khazanovich &amp; Wang (2007)</v>
      </c>
      <c r="C166" s="58">
        <f>IF($A166="","",IFERROR(INDEX(Références!$G$2:$G$201,MATCH($A166,Références!$A$2:$A$201,0)),""))</f>
        <v>5</v>
      </c>
      <c r="D166" s="57" t="str">
        <f>IF($A166="","",IFERROR(INDEX('Lecture détaillée'!$J$5:$J$204,MATCH($A166,'Lecture détaillée'!$A$5:$A$204,0)),""))</f>
        <v>Aucun</v>
      </c>
      <c r="E166" s="59"/>
      <c r="F166" s="59"/>
      <c r="G166" s="59"/>
      <c r="H166" s="59" t="s">
        <v>2905</v>
      </c>
      <c r="I166" s="59"/>
      <c r="J166" s="59"/>
      <c r="K166" s="59"/>
      <c r="L166" s="59" t="s">
        <v>2905</v>
      </c>
      <c r="M166" s="59"/>
      <c r="N166" s="59"/>
      <c r="O166" s="59"/>
      <c r="P166" s="59"/>
      <c r="Q166" s="59"/>
      <c r="R166" s="59"/>
      <c r="S166" s="59"/>
      <c r="T166" s="59" t="s">
        <v>2905</v>
      </c>
      <c r="U166" s="59"/>
      <c r="V166" s="59"/>
      <c r="W166" s="59"/>
      <c r="X166" s="59"/>
      <c r="Y166" s="59" t="s">
        <v>2905</v>
      </c>
      <c r="Z166" s="59"/>
      <c r="AA166" s="59"/>
      <c r="AB166" s="59"/>
      <c r="AC166" s="59"/>
      <c r="AD166" s="59"/>
      <c r="AE166" s="59"/>
      <c r="AF166" s="59"/>
      <c r="AG166" s="59"/>
      <c r="AH166" s="59"/>
      <c r="AI166" s="59"/>
      <c r="AJ166" s="59" t="s">
        <v>2905</v>
      </c>
      <c r="AK166" s="59"/>
      <c r="AL166" s="59"/>
      <c r="AM166" s="59"/>
      <c r="AN166" s="59" t="s">
        <v>2905</v>
      </c>
    </row>
    <row r="167" spans="1:40" x14ac:dyDescent="0.25">
      <c r="A167" s="38" t="s">
        <v>3324</v>
      </c>
      <c r="B167" s="57" t="str">
        <f>IF($A167="","",IFERROR(INDEX(Références!$C$2:$C$201,MATCH($A167,Références!$A$2:$A$201,0)),""))</f>
        <v>Bornert et al. (2001)</v>
      </c>
      <c r="C167" s="58">
        <f>IF($A167="","",IFERROR(INDEX(Références!$G$2:$G$201,MATCH($A167,Références!$A$2:$A$201,0)),""))</f>
        <v>5</v>
      </c>
      <c r="D167" s="57" t="str">
        <f>IF($A167="","",IFERROR(INDEX('Lecture détaillée'!$J$5:$J$204,MATCH($A167,'Lecture détaillée'!$A$5:$A$204,0)),""))</f>
        <v>Aucun</v>
      </c>
      <c r="E167" s="59"/>
      <c r="F167" s="59"/>
      <c r="G167" s="59"/>
      <c r="H167" s="59"/>
      <c r="I167" s="59"/>
      <c r="J167" s="59"/>
      <c r="K167" s="59"/>
      <c r="L167" s="59" t="s">
        <v>2905</v>
      </c>
      <c r="M167" s="59"/>
      <c r="N167" s="59"/>
      <c r="O167" s="59"/>
      <c r="P167" s="59"/>
      <c r="Q167" s="59"/>
      <c r="R167" s="59"/>
      <c r="S167" s="59"/>
      <c r="T167" s="59"/>
      <c r="U167" s="59"/>
      <c r="V167" s="59"/>
      <c r="W167" s="59"/>
      <c r="X167" s="59" t="s">
        <v>2905</v>
      </c>
      <c r="Y167" s="59" t="s">
        <v>2905</v>
      </c>
      <c r="Z167" s="59"/>
      <c r="AA167" s="59"/>
      <c r="AB167" s="59"/>
      <c r="AC167" s="59"/>
      <c r="AD167" s="59"/>
      <c r="AE167" s="59"/>
      <c r="AF167" s="59"/>
      <c r="AG167" s="59"/>
      <c r="AH167" s="59" t="s">
        <v>2905</v>
      </c>
      <c r="AI167" s="59"/>
      <c r="AJ167" s="59"/>
      <c r="AK167" s="59" t="s">
        <v>2905</v>
      </c>
      <c r="AL167" s="59"/>
      <c r="AM167" s="59"/>
      <c r="AN167" s="59"/>
    </row>
    <row r="168" spans="1:40" x14ac:dyDescent="0.25">
      <c r="A168" s="38" t="s">
        <v>3332</v>
      </c>
      <c r="B168" s="57" t="str">
        <f>IF($A168="","",IFERROR(INDEX(Références!$C$2:$C$201,MATCH($A168,Références!$A$2:$A$201,0)),""))</f>
        <v>Moulinec &amp; Suquet (1998)</v>
      </c>
      <c r="C168" s="58">
        <f>IF($A168="","",IFERROR(INDEX(Références!$G$2:$G$201,MATCH($A168,Références!$A$2:$A$201,0)),""))</f>
        <v>5</v>
      </c>
      <c r="D168" s="57" t="str">
        <f>IF($A168="","",IFERROR(INDEX('Lecture détaillée'!$J$5:$J$204,MATCH($A168,'Lecture détaillée'!$A$5:$A$204,0)),""))</f>
        <v>Aucun</v>
      </c>
      <c r="E168" s="59"/>
      <c r="F168" s="59"/>
      <c r="G168" s="59"/>
      <c r="H168" s="59"/>
      <c r="I168" s="59"/>
      <c r="J168" s="59"/>
      <c r="K168" s="59"/>
      <c r="L168" s="59" t="s">
        <v>2905</v>
      </c>
      <c r="M168" s="59"/>
      <c r="N168" s="59"/>
      <c r="O168" s="59"/>
      <c r="P168" s="59"/>
      <c r="Q168" s="59"/>
      <c r="R168" s="59"/>
      <c r="S168" s="59"/>
      <c r="T168" s="59"/>
      <c r="U168" s="59"/>
      <c r="V168" s="59"/>
      <c r="W168" s="59" t="s">
        <v>2905</v>
      </c>
      <c r="X168" s="59"/>
      <c r="Y168" s="59" t="s">
        <v>2905</v>
      </c>
      <c r="Z168" s="59"/>
      <c r="AA168" s="59"/>
      <c r="AB168" s="59"/>
      <c r="AC168" s="59"/>
      <c r="AD168" s="59"/>
      <c r="AE168" s="59"/>
      <c r="AF168" s="59"/>
      <c r="AG168" s="59"/>
      <c r="AH168" s="59" t="s">
        <v>2905</v>
      </c>
      <c r="AI168" s="59"/>
      <c r="AJ168" s="59"/>
      <c r="AK168" s="59"/>
      <c r="AL168" s="59"/>
      <c r="AM168" s="59"/>
      <c r="AN168" s="59" t="s">
        <v>2905</v>
      </c>
    </row>
    <row r="169" spans="1:40" x14ac:dyDescent="0.25">
      <c r="A169" s="38" t="s">
        <v>3720</v>
      </c>
      <c r="B169" s="57" t="str">
        <f>IF($A169="","",IFERROR(INDEX(Références!$C$2:$C$201,MATCH($A169,Références!$A$2:$A$201,0)),""))</f>
        <v>Kim et al. (2003)</v>
      </c>
      <c r="C169" s="58">
        <f>IF($A169="","",IFERROR(INDEX(Références!$G$2:$G$201,MATCH($A169,Références!$A$2:$A$201,0)),""))</f>
        <v>6</v>
      </c>
      <c r="D169" s="57" t="str">
        <f>IF($A169="","",IFERROR(INDEX('Lecture détaillée'!$J$5:$J$204,MATCH($A169,'Lecture détaillée'!$A$5:$A$204,0)),""))</f>
        <v>Aucun</v>
      </c>
      <c r="E169" s="59"/>
      <c r="F169" s="59"/>
      <c r="G169" s="59"/>
      <c r="H169" s="59"/>
      <c r="I169" s="59"/>
      <c r="J169" s="59"/>
      <c r="K169" s="59"/>
      <c r="L169" s="59"/>
      <c r="M169" s="59" t="s">
        <v>2905</v>
      </c>
      <c r="N169" s="59"/>
      <c r="O169" s="59" t="s">
        <v>2905</v>
      </c>
      <c r="P169" s="59"/>
      <c r="Q169" s="59"/>
      <c r="R169" s="59" t="s">
        <v>2905</v>
      </c>
      <c r="S169" s="59"/>
      <c r="T169" s="59"/>
      <c r="U169" s="59"/>
      <c r="V169" s="59"/>
      <c r="W169" s="59"/>
      <c r="X169" s="59"/>
      <c r="Y169" s="59"/>
      <c r="Z169" s="59"/>
      <c r="AA169" s="59" t="s">
        <v>2905</v>
      </c>
      <c r="AB169" s="59"/>
      <c r="AC169" s="59"/>
      <c r="AD169" s="59"/>
      <c r="AE169" s="59"/>
      <c r="AF169" s="59"/>
      <c r="AG169" s="59" t="s">
        <v>2905</v>
      </c>
      <c r="AH169" s="59"/>
      <c r="AI169" s="59"/>
      <c r="AJ169" s="59"/>
      <c r="AK169" s="59"/>
      <c r="AL169" s="59"/>
      <c r="AM169" s="59" t="s">
        <v>2905</v>
      </c>
      <c r="AN169" s="59"/>
    </row>
    <row r="170" spans="1:40" x14ac:dyDescent="0.25">
      <c r="A170" s="38" t="s">
        <v>3740</v>
      </c>
      <c r="B170" s="57" t="str">
        <f>IF($A170="","",IFERROR(INDEX(Références!$C$2:$C$201,MATCH($A170,Références!$A$2:$A$201,0)),""))</f>
        <v>Underwood &amp; Kim (2013)</v>
      </c>
      <c r="C170" s="58">
        <f>IF($A170="","",IFERROR(INDEX(Références!$G$2:$G$201,MATCH($A170,Références!$A$2:$A$201,0)),""))</f>
        <v>6</v>
      </c>
      <c r="D170" s="57" t="str">
        <f>IF($A170="","",IFERROR(INDEX('Lecture détaillée'!$J$5:$J$204,MATCH($A170,'Lecture détaillée'!$A$5:$A$204,0)),""))</f>
        <v>Aucun</v>
      </c>
      <c r="E170" s="59"/>
      <c r="F170" s="59"/>
      <c r="G170" s="59"/>
      <c r="H170" s="59"/>
      <c r="I170" s="59"/>
      <c r="J170" s="59"/>
      <c r="K170" s="59"/>
      <c r="L170" s="59"/>
      <c r="M170" s="59" t="s">
        <v>2905</v>
      </c>
      <c r="N170" s="59"/>
      <c r="O170" s="59"/>
      <c r="P170" s="59"/>
      <c r="Q170" s="59"/>
      <c r="R170" s="59" t="s">
        <v>2905</v>
      </c>
      <c r="S170" s="59"/>
      <c r="T170" s="59"/>
      <c r="U170" s="59"/>
      <c r="V170" s="59"/>
      <c r="W170" s="59"/>
      <c r="X170" s="59"/>
      <c r="Y170" s="59"/>
      <c r="Z170" s="59"/>
      <c r="AA170" s="59" t="s">
        <v>2905</v>
      </c>
      <c r="AB170" s="59"/>
      <c r="AC170" s="59"/>
      <c r="AD170" s="59"/>
      <c r="AE170" s="59"/>
      <c r="AF170" s="59"/>
      <c r="AG170" s="59"/>
      <c r="AH170" s="59" t="s">
        <v>2905</v>
      </c>
      <c r="AI170" s="59"/>
      <c r="AJ170" s="59"/>
      <c r="AK170" s="59"/>
      <c r="AL170" s="59"/>
      <c r="AM170" s="59" t="s">
        <v>2905</v>
      </c>
      <c r="AN170" s="59"/>
    </row>
    <row r="171" spans="1:40" x14ac:dyDescent="0.25">
      <c r="A171" s="38" t="s">
        <v>3668</v>
      </c>
      <c r="B171" s="57" t="str">
        <f>IF($A171="","",IFERROR(INDEX(Références!$C$2:$C$201,MATCH($A171,Références!$A$2:$A$201,0)),""))</f>
        <v>Taylor (2007)</v>
      </c>
      <c r="C171" s="58">
        <f>IF($A171="","",IFERROR(INDEX(Références!$G$2:$G$201,MATCH($A171,Références!$A$2:$A$201,0)),""))</f>
        <v>6</v>
      </c>
      <c r="D171" s="57" t="str">
        <f>IF($A171="","",IFERROR(INDEX('Lecture détaillée'!$J$5:$J$204,MATCH($A171,'Lecture détaillée'!$A$5:$A$204,0)),""))</f>
        <v>Aucun</v>
      </c>
      <c r="E171" s="59"/>
      <c r="F171" s="59"/>
      <c r="G171" s="59"/>
      <c r="H171" s="59"/>
      <c r="I171" s="59"/>
      <c r="J171" s="59"/>
      <c r="K171" s="59"/>
      <c r="L171" s="59"/>
      <c r="M171" s="59"/>
      <c r="N171" s="59"/>
      <c r="O171" s="59" t="s">
        <v>2905</v>
      </c>
      <c r="P171" s="59"/>
      <c r="Q171" s="59"/>
      <c r="R171" s="59"/>
      <c r="S171" s="59"/>
      <c r="T171" s="59"/>
      <c r="U171" s="59"/>
      <c r="V171" s="59"/>
      <c r="W171" s="59"/>
      <c r="X171" s="59" t="s">
        <v>2905</v>
      </c>
      <c r="Y171" s="59"/>
      <c r="Z171" s="59"/>
      <c r="AA171" s="59"/>
      <c r="AB171" s="59"/>
      <c r="AC171" s="59"/>
      <c r="AD171" s="59"/>
      <c r="AE171" s="59"/>
      <c r="AF171" s="59"/>
      <c r="AG171" s="59" t="s">
        <v>2905</v>
      </c>
      <c r="AH171" s="59"/>
      <c r="AI171" s="59"/>
      <c r="AJ171" s="59"/>
      <c r="AK171" s="59" t="s">
        <v>2905</v>
      </c>
      <c r="AL171" s="59"/>
      <c r="AM171" s="59"/>
      <c r="AN171" s="59"/>
    </row>
    <row r="172" spans="1:40" x14ac:dyDescent="0.25">
      <c r="A172" s="38" t="s">
        <v>3679</v>
      </c>
      <c r="B172" s="57" t="str">
        <f>IF($A172="","",IFERROR(INDEX(Références!$C$2:$C$201,MATCH($A172,Références!$A$2:$A$201,0)),""))</f>
        <v>Taylor (2008)</v>
      </c>
      <c r="C172" s="58">
        <f>IF($A172="","",IFERROR(INDEX(Références!$G$2:$G$201,MATCH($A172,Références!$A$2:$A$201,0)),""))</f>
        <v>6</v>
      </c>
      <c r="D172" s="57" t="str">
        <f>IF($A172="","",IFERROR(INDEX('Lecture détaillée'!$J$5:$J$204,MATCH($A172,'Lecture détaillée'!$A$5:$A$204,0)),""))</f>
        <v>Aucun</v>
      </c>
      <c r="E172" s="59"/>
      <c r="F172" s="59"/>
      <c r="G172" s="59"/>
      <c r="H172" s="59"/>
      <c r="I172" s="59"/>
      <c r="J172" s="59"/>
      <c r="K172" s="59"/>
      <c r="L172" s="59"/>
      <c r="M172" s="59"/>
      <c r="N172" s="59"/>
      <c r="O172" s="59" t="s">
        <v>2905</v>
      </c>
      <c r="P172" s="59"/>
      <c r="Q172" s="59"/>
      <c r="R172" s="59"/>
      <c r="S172" s="59"/>
      <c r="T172" s="59"/>
      <c r="U172" s="59"/>
      <c r="V172" s="59"/>
      <c r="W172" s="59"/>
      <c r="X172" s="59" t="s">
        <v>2905</v>
      </c>
      <c r="Y172" s="59"/>
      <c r="Z172" s="59"/>
      <c r="AA172" s="59"/>
      <c r="AB172" s="59"/>
      <c r="AC172" s="59"/>
      <c r="AD172" s="59"/>
      <c r="AE172" s="59"/>
      <c r="AF172" s="59"/>
      <c r="AG172" s="59" t="s">
        <v>2905</v>
      </c>
      <c r="AH172" s="59"/>
      <c r="AI172" s="59"/>
      <c r="AJ172" s="59"/>
      <c r="AK172" s="59"/>
      <c r="AL172" s="59"/>
      <c r="AM172" s="59"/>
      <c r="AN172" s="59"/>
    </row>
    <row r="173" spans="1:40" x14ac:dyDescent="0.25">
      <c r="A173" s="38" t="s">
        <v>3689</v>
      </c>
      <c r="B173" s="57" t="str">
        <f>IF($A173="","",IFERROR(INDEX(Références!$C$2:$C$201,MATCH($A173,Références!$A$2:$A$201,0)),""))</f>
        <v>Marsavina &amp; et al. (2023)</v>
      </c>
      <c r="C173" s="58">
        <f>IF($A173="","",IFERROR(INDEX(Références!$G$2:$G$201,MATCH($A173,Références!$A$2:$A$201,0)),""))</f>
        <v>6</v>
      </c>
      <c r="D173" s="57" t="str">
        <f>IF($A173="","",IFERROR(INDEX('Lecture détaillée'!$J$5:$J$204,MATCH($A173,'Lecture détaillée'!$A$5:$A$204,0)),""))</f>
        <v>Aucun</v>
      </c>
      <c r="E173" s="59"/>
      <c r="F173" s="59"/>
      <c r="G173" s="59"/>
      <c r="H173" s="59"/>
      <c r="I173" s="59"/>
      <c r="J173" s="59"/>
      <c r="K173" s="59"/>
      <c r="L173" s="59"/>
      <c r="M173" s="59"/>
      <c r="N173" s="59"/>
      <c r="O173" s="59" t="s">
        <v>2905</v>
      </c>
      <c r="P173" s="59"/>
      <c r="Q173" s="59"/>
      <c r="R173" s="59"/>
      <c r="S173" s="59"/>
      <c r="T173" s="59"/>
      <c r="U173" s="59"/>
      <c r="V173" s="59"/>
      <c r="W173" s="59"/>
      <c r="X173" s="59" t="s">
        <v>2905</v>
      </c>
      <c r="Y173" s="59"/>
      <c r="Z173" s="59"/>
      <c r="AA173" s="59"/>
      <c r="AB173" s="59"/>
      <c r="AC173" s="59"/>
      <c r="AD173" s="59"/>
      <c r="AE173" s="59"/>
      <c r="AF173" s="59"/>
      <c r="AG173" s="59" t="s">
        <v>2905</v>
      </c>
      <c r="AH173" s="59"/>
      <c r="AI173" s="59"/>
      <c r="AJ173" s="59"/>
      <c r="AK173" s="59"/>
      <c r="AL173" s="59"/>
      <c r="AM173" s="59"/>
      <c r="AN173" s="59"/>
    </row>
    <row r="174" spans="1:40" x14ac:dyDescent="0.25">
      <c r="A174" s="38" t="s">
        <v>3700</v>
      </c>
      <c r="B174" s="57" t="str">
        <f>IF($A174="","",IFERROR(INDEX(Références!$C$2:$C$201,MATCH($A174,Références!$A$2:$A$201,0)),""))</f>
        <v>Pilkey &amp; Pilkey (2008)</v>
      </c>
      <c r="C174" s="58">
        <f>IF($A174="","",IFERROR(INDEX(Références!$G$2:$G$201,MATCH($A174,Références!$A$2:$A$201,0)),""))</f>
        <v>6</v>
      </c>
      <c r="D174" s="57" t="str">
        <f>IF($A174="","",IFERROR(INDEX('Lecture détaillée'!$J$5:$J$204,MATCH($A174,'Lecture détaillée'!$A$5:$A$204,0)),""))</f>
        <v>Aucun</v>
      </c>
      <c r="E174" s="59"/>
      <c r="F174" s="59"/>
      <c r="G174" s="59"/>
      <c r="H174" s="59"/>
      <c r="I174" s="59"/>
      <c r="J174" s="59"/>
      <c r="K174" s="59"/>
      <c r="L174" s="59" t="s">
        <v>2905</v>
      </c>
      <c r="M174" s="59"/>
      <c r="N174" s="59"/>
      <c r="O174" s="59"/>
      <c r="P174" s="59"/>
      <c r="Q174" s="59"/>
      <c r="R174" s="59"/>
      <c r="S174" s="59"/>
      <c r="T174" s="59"/>
      <c r="U174" s="59"/>
      <c r="V174" s="59"/>
      <c r="W174" s="59"/>
      <c r="X174" s="59" t="s">
        <v>2905</v>
      </c>
      <c r="Y174" s="59" t="s">
        <v>2905</v>
      </c>
      <c r="Z174" s="59"/>
      <c r="AA174" s="59"/>
      <c r="AB174" s="59"/>
      <c r="AC174" s="59"/>
      <c r="AD174" s="59"/>
      <c r="AE174" s="59"/>
      <c r="AF174" s="59"/>
      <c r="AG174" s="59" t="s">
        <v>2905</v>
      </c>
      <c r="AH174" s="59"/>
      <c r="AI174" s="59"/>
      <c r="AJ174" s="59"/>
      <c r="AK174" s="59" t="s">
        <v>2905</v>
      </c>
      <c r="AL174" s="59"/>
      <c r="AM174" s="59"/>
      <c r="AN174" s="59"/>
    </row>
    <row r="175" spans="1:40" x14ac:dyDescent="0.25">
      <c r="A175" s="38" t="s">
        <v>3707</v>
      </c>
      <c r="B175" s="57" t="str">
        <f>IF($A175="","",IFERROR(INDEX(Références!$C$2:$C$201,MATCH($A175,Références!$A$2:$A$201,0)),""))</f>
        <v>Fuller &amp; Thompson (1907)</v>
      </c>
      <c r="C175" s="58">
        <f>IF($A175="","",IFERROR(INDEX(Références!$G$2:$G$201,MATCH($A175,Références!$A$2:$A$201,0)),""))</f>
        <v>6</v>
      </c>
      <c r="D175" s="57" t="str">
        <f>IF($A175="","",IFERROR(INDEX('Lecture détaillée'!$J$5:$J$204,MATCH($A175,'Lecture détaillée'!$A$5:$A$204,0)),""))</f>
        <v>Aucun</v>
      </c>
      <c r="E175" s="59"/>
      <c r="F175" s="59"/>
      <c r="G175" s="59"/>
      <c r="H175" s="59"/>
      <c r="I175" s="59"/>
      <c r="J175" s="59"/>
      <c r="K175" s="59"/>
      <c r="L175" s="59"/>
      <c r="M175" s="59"/>
      <c r="N175" s="59"/>
      <c r="O175" s="59"/>
      <c r="P175" s="59"/>
      <c r="Q175" s="59"/>
      <c r="R175" s="59" t="s">
        <v>2905</v>
      </c>
      <c r="S175" s="59"/>
      <c r="T175" s="59"/>
      <c r="U175" s="59"/>
      <c r="V175" s="59"/>
      <c r="W175" s="59"/>
      <c r="X175" s="59"/>
      <c r="Y175" s="59"/>
      <c r="Z175" s="59"/>
      <c r="AA175" s="59"/>
      <c r="AB175" s="59"/>
      <c r="AC175" s="59"/>
      <c r="AD175" s="59"/>
      <c r="AE175" s="59"/>
      <c r="AF175" s="59"/>
      <c r="AG175" s="59"/>
      <c r="AH175" s="59" t="s">
        <v>2905</v>
      </c>
      <c r="AI175" s="59"/>
      <c r="AJ175" s="59"/>
      <c r="AK175" s="59"/>
      <c r="AL175" s="59"/>
      <c r="AM175" s="59" t="s">
        <v>2905</v>
      </c>
      <c r="AN175" s="59"/>
    </row>
    <row r="176" spans="1:40" x14ac:dyDescent="0.25">
      <c r="A176" s="38" t="s">
        <v>3731</v>
      </c>
      <c r="B176" s="57" t="str">
        <f>IF($A176="","",IFERROR(INDEX(Références!$C$2:$C$201,MATCH($A176,Références!$A$2:$A$201,0)),""))</f>
        <v>Aragão et al. (2011)</v>
      </c>
      <c r="C176" s="58">
        <f>IF($A176="","",IFERROR(INDEX(Références!$G$2:$G$201,MATCH($A176,Références!$A$2:$A$201,0)),""))</f>
        <v>6</v>
      </c>
      <c r="D176" s="57" t="str">
        <f>IF($A176="","",IFERROR(INDEX('Lecture détaillée'!$J$5:$J$204,MATCH($A176,'Lecture détaillée'!$A$5:$A$204,0)),""))</f>
        <v>Aucun</v>
      </c>
      <c r="E176" s="59"/>
      <c r="F176" s="59"/>
      <c r="G176" s="59"/>
      <c r="H176" s="59"/>
      <c r="I176" s="59"/>
      <c r="J176" s="59"/>
      <c r="K176" s="59"/>
      <c r="L176" s="59"/>
      <c r="M176" s="59" t="s">
        <v>2905</v>
      </c>
      <c r="N176" s="59"/>
      <c r="O176" s="59" t="s">
        <v>2905</v>
      </c>
      <c r="P176" s="59"/>
      <c r="Q176" s="59"/>
      <c r="R176" s="59" t="s">
        <v>2905</v>
      </c>
      <c r="S176" s="59" t="s">
        <v>2905</v>
      </c>
      <c r="T176" s="59"/>
      <c r="U176" s="59"/>
      <c r="V176" s="59"/>
      <c r="W176" s="59"/>
      <c r="X176" s="59"/>
      <c r="Y176" s="59" t="s">
        <v>2905</v>
      </c>
      <c r="Z176" s="59"/>
      <c r="AA176" s="59"/>
      <c r="AB176" s="59"/>
      <c r="AC176" s="59"/>
      <c r="AD176" s="59"/>
      <c r="AE176" s="59"/>
      <c r="AF176" s="59"/>
      <c r="AG176" s="59" t="s">
        <v>2905</v>
      </c>
      <c r="AH176" s="59" t="s">
        <v>2905</v>
      </c>
      <c r="AI176" s="59"/>
      <c r="AJ176" s="59"/>
      <c r="AK176" s="59"/>
      <c r="AL176" s="59"/>
      <c r="AM176" s="59" t="s">
        <v>2905</v>
      </c>
      <c r="AN176" s="59" t="s">
        <v>2905</v>
      </c>
    </row>
    <row r="177" spans="1:40" x14ac:dyDescent="0.25">
      <c r="A177" s="38" t="s">
        <v>3751</v>
      </c>
      <c r="B177" s="57" t="str">
        <f>IF($A177="","",IFERROR(INDEX(Références!$C$2:$C$201,MATCH($A177,Références!$A$2:$A$201,0)),""))</f>
        <v>Vulcano-Greullet et al. (2010)</v>
      </c>
      <c r="C177" s="58">
        <f>IF($A177="","",IFERROR(INDEX(Références!$G$2:$G$201,MATCH($A177,Références!$A$2:$A$201,0)),""))</f>
        <v>6</v>
      </c>
      <c r="D177" s="57" t="str">
        <f>IF($A177="","",IFERROR(INDEX('Lecture détaillée'!$J$5:$J$204,MATCH($A177,'Lecture détaillée'!$A$5:$A$204,0)),""))</f>
        <v>Aucun</v>
      </c>
      <c r="E177" s="59"/>
      <c r="F177" s="59"/>
      <c r="G177" s="59"/>
      <c r="H177" s="59"/>
      <c r="I177" s="59"/>
      <c r="J177" s="59"/>
      <c r="K177" s="59"/>
      <c r="L177" s="59"/>
      <c r="M177" s="59"/>
      <c r="N177" s="59"/>
      <c r="O177" s="59" t="s">
        <v>2905</v>
      </c>
      <c r="P177" s="59"/>
      <c r="Q177" s="59"/>
      <c r="R177" s="59"/>
      <c r="S177" s="59"/>
      <c r="T177" s="59"/>
      <c r="U177" s="59"/>
      <c r="V177" s="59"/>
      <c r="W177" s="59"/>
      <c r="X177" s="59"/>
      <c r="Y177" s="59"/>
      <c r="Z177" s="59"/>
      <c r="AA177" s="59"/>
      <c r="AB177" s="59"/>
      <c r="AC177" s="59"/>
      <c r="AD177" s="59" t="s">
        <v>2905</v>
      </c>
      <c r="AE177" s="59"/>
      <c r="AF177" s="59"/>
      <c r="AG177" s="59"/>
      <c r="AH177" s="59"/>
      <c r="AI177" s="59"/>
      <c r="AJ177" s="59"/>
      <c r="AK177" s="59"/>
      <c r="AL177" s="59"/>
      <c r="AM177" s="59"/>
      <c r="AN177" s="59"/>
    </row>
    <row r="178" spans="1:40" x14ac:dyDescent="0.25">
      <c r="A178" s="38" t="s">
        <v>3761</v>
      </c>
      <c r="B178" s="57" t="str">
        <f>IF($A178="","",IFERROR(INDEX(Références!$C$2:$C$201,MATCH($A178,Références!$A$2:$A$201,0)),""))</f>
        <v>Grellet et al. (2016)</v>
      </c>
      <c r="C178" s="58">
        <f>IF($A178="","",IFERROR(INDEX(Références!$G$2:$G$201,MATCH($A178,Références!$A$2:$A$201,0)),""))</f>
        <v>6</v>
      </c>
      <c r="D178" s="57" t="str">
        <f>IF($A178="","",IFERROR(INDEX('Lecture détaillée'!$J$5:$J$204,MATCH($A178,'Lecture détaillée'!$A$5:$A$204,0)),""))</f>
        <v>Aucun</v>
      </c>
      <c r="E178" s="59" t="s">
        <v>2905</v>
      </c>
      <c r="F178" s="59"/>
      <c r="G178" s="59"/>
      <c r="H178" s="59"/>
      <c r="I178" s="59"/>
      <c r="J178" s="59"/>
      <c r="K178" s="59"/>
      <c r="L178" s="59"/>
      <c r="M178" s="59" t="s">
        <v>2905</v>
      </c>
      <c r="N178" s="59"/>
      <c r="O178" s="59" t="s">
        <v>2905</v>
      </c>
      <c r="P178" s="59"/>
      <c r="Q178" s="59" t="s">
        <v>2905</v>
      </c>
      <c r="R178" s="59"/>
      <c r="S178" s="59"/>
      <c r="T178" s="59"/>
      <c r="U178" s="59"/>
      <c r="V178" s="59"/>
      <c r="W178" s="59"/>
      <c r="X178" s="59"/>
      <c r="Y178" s="59"/>
      <c r="Z178" s="59" t="s">
        <v>2905</v>
      </c>
      <c r="AA178" s="59"/>
      <c r="AB178" s="59"/>
      <c r="AC178" s="59"/>
      <c r="AD178" s="59" t="s">
        <v>2905</v>
      </c>
      <c r="AE178" s="59"/>
      <c r="AF178" s="59"/>
      <c r="AG178" s="59"/>
      <c r="AH178" s="59"/>
      <c r="AI178" s="59" t="s">
        <v>2905</v>
      </c>
      <c r="AJ178" s="59"/>
      <c r="AK178" s="59"/>
      <c r="AL178" s="59" t="s">
        <v>2905</v>
      </c>
      <c r="AM178" s="59"/>
      <c r="AN178" s="59"/>
    </row>
    <row r="179" spans="1:40" x14ac:dyDescent="0.25">
      <c r="A179" s="38" t="s">
        <v>3636</v>
      </c>
      <c r="B179" s="57" t="str">
        <f>IF($A179="","",IFERROR(INDEX(Références!$C$2:$C$201,MATCH($A179,Références!$A$2:$A$201,0)),""))</f>
        <v>FAA (1997)</v>
      </c>
      <c r="C179" s="58">
        <f>IF($A179="","",IFERROR(INDEX(Références!$G$2:$G$201,MATCH($A179,Références!$A$2:$A$201,0)),""))</f>
        <v>7</v>
      </c>
      <c r="D179" s="57" t="str">
        <f>IF($A179="","",IFERROR(INDEX('Lecture détaillée'!$J$5:$J$204,MATCH($A179,'Lecture détaillée'!$A$5:$A$204,0)),""))</f>
        <v>Aucun</v>
      </c>
      <c r="E179" s="59"/>
      <c r="F179" s="59" t="s">
        <v>2905</v>
      </c>
      <c r="G179" s="59"/>
      <c r="H179" s="59"/>
      <c r="I179" s="59"/>
      <c r="J179" s="59"/>
      <c r="K179" s="59"/>
      <c r="L179" s="59"/>
      <c r="M179" s="59"/>
      <c r="N179" s="59"/>
      <c r="O179" s="59"/>
      <c r="P179" s="59"/>
      <c r="Q179" s="59"/>
      <c r="R179" s="59"/>
      <c r="S179" s="59"/>
      <c r="T179" s="59"/>
      <c r="U179" s="59"/>
      <c r="V179" s="59"/>
      <c r="W179" s="59"/>
      <c r="X179" s="59" t="s">
        <v>2905</v>
      </c>
      <c r="Y179" s="59"/>
      <c r="Z179" s="59"/>
      <c r="AA179" s="59"/>
      <c r="AB179" s="59"/>
      <c r="AC179" s="59"/>
      <c r="AD179" s="59" t="s">
        <v>2905</v>
      </c>
      <c r="AE179" s="59"/>
      <c r="AF179" s="59"/>
      <c r="AG179" s="59"/>
      <c r="AH179" s="59"/>
      <c r="AI179" s="59"/>
      <c r="AJ179" s="59"/>
      <c r="AK179" s="59" t="s">
        <v>2905</v>
      </c>
      <c r="AL179" s="59"/>
      <c r="AM179" s="59"/>
      <c r="AN179" s="59"/>
    </row>
    <row r="180" spans="1:40" x14ac:dyDescent="0.25">
      <c r="A180" s="38" t="s">
        <v>3647</v>
      </c>
      <c r="B180" s="57" t="str">
        <f>IF($A180="","",IFERROR(INDEX(Références!$C$2:$C$201,MATCH($A180,Références!$A$2:$A$201,0)),""))</f>
        <v>Fabre et al. (2009)</v>
      </c>
      <c r="C180" s="58">
        <f>IF($A180="","",IFERROR(INDEX(Références!$G$2:$G$201,MATCH($A180,Références!$A$2:$A$201,0)),""))</f>
        <v>7</v>
      </c>
      <c r="D180" s="57" t="str">
        <f>IF($A180="","",IFERROR(INDEX('Lecture détaillée'!$J$5:$J$204,MATCH($A180,'Lecture détaillée'!$A$5:$A$204,0)),""))</f>
        <v>Aucun</v>
      </c>
      <c r="E180" s="59"/>
      <c r="F180" s="59" t="s">
        <v>2905</v>
      </c>
      <c r="G180" s="59"/>
      <c r="H180" s="59" t="s">
        <v>2905</v>
      </c>
      <c r="I180" s="59"/>
      <c r="J180" s="59"/>
      <c r="K180" s="59"/>
      <c r="L180" s="59"/>
      <c r="M180" s="59"/>
      <c r="N180" s="59"/>
      <c r="O180" s="59"/>
      <c r="P180" s="59"/>
      <c r="Q180" s="59" t="s">
        <v>2905</v>
      </c>
      <c r="R180" s="59"/>
      <c r="S180" s="59"/>
      <c r="T180" s="59"/>
      <c r="U180" s="59"/>
      <c r="V180" s="59"/>
      <c r="W180" s="59"/>
      <c r="X180" s="59"/>
      <c r="Y180" s="59"/>
      <c r="Z180" s="59" t="s">
        <v>2905</v>
      </c>
      <c r="AA180" s="59"/>
      <c r="AB180" s="59"/>
      <c r="AC180" s="59"/>
      <c r="AD180" s="59" t="s">
        <v>2905</v>
      </c>
      <c r="AE180" s="59"/>
      <c r="AF180" s="59"/>
      <c r="AG180" s="59"/>
      <c r="AH180" s="59"/>
      <c r="AI180" s="59"/>
      <c r="AJ180" s="59" t="s">
        <v>2905</v>
      </c>
      <c r="AK180" s="59"/>
      <c r="AL180" s="59" t="s">
        <v>2905</v>
      </c>
      <c r="AM180" s="59"/>
      <c r="AN180" s="59"/>
    </row>
    <row r="181" spans="1:40" x14ac:dyDescent="0.25">
      <c r="A181" s="38" t="s">
        <v>3659</v>
      </c>
      <c r="B181" s="57" t="str">
        <f>IF($A181="","",IFERROR(INDEX(Références!$C$2:$C$201,MATCH($A181,Références!$A$2:$A$201,0)),""))</f>
        <v>Roussel et al. (2022)</v>
      </c>
      <c r="C181" s="58">
        <f>IF($A181="","",IFERROR(INDEX(Références!$G$2:$G$201,MATCH($A181,Références!$A$2:$A$201,0)),""))</f>
        <v>7</v>
      </c>
      <c r="D181" s="57" t="str">
        <f>IF($A181="","",IFERROR(INDEX('Lecture détaillée'!$J$5:$J$204,MATCH($A181,'Lecture détaillée'!$A$5:$A$204,0)),""))</f>
        <v>Aucun</v>
      </c>
      <c r="E181" s="59"/>
      <c r="F181" s="59" t="s">
        <v>2905</v>
      </c>
      <c r="G181" s="59"/>
      <c r="H181" s="59"/>
      <c r="I181" s="59"/>
      <c r="J181" s="59"/>
      <c r="K181" s="59"/>
      <c r="L181" s="59"/>
      <c r="M181" s="59"/>
      <c r="N181" s="59"/>
      <c r="O181" s="59" t="s">
        <v>2905</v>
      </c>
      <c r="P181" s="59"/>
      <c r="Q181" s="59"/>
      <c r="R181" s="59"/>
      <c r="S181" s="59"/>
      <c r="T181" s="59"/>
      <c r="U181" s="59"/>
      <c r="V181" s="59"/>
      <c r="W181" s="59"/>
      <c r="X181" s="59" t="s">
        <v>2905</v>
      </c>
      <c r="Y181" s="59"/>
      <c r="Z181" s="59" t="s">
        <v>2905</v>
      </c>
      <c r="AA181" s="59"/>
      <c r="AB181" s="59"/>
      <c r="AC181" s="59"/>
      <c r="AD181" s="59"/>
      <c r="AE181" s="59"/>
      <c r="AF181" s="59"/>
      <c r="AG181" s="59" t="s">
        <v>2905</v>
      </c>
      <c r="AH181" s="59"/>
      <c r="AI181" s="59"/>
      <c r="AJ181" s="59"/>
      <c r="AK181" s="59" t="s">
        <v>2905</v>
      </c>
      <c r="AL181" s="59"/>
      <c r="AM181" s="59"/>
      <c r="AN181" s="59"/>
    </row>
    <row r="182" spans="1:40" x14ac:dyDescent="0.25">
      <c r="A182" s="38" t="s">
        <v>3605</v>
      </c>
      <c r="B182" s="57" t="str">
        <f>IF($A182="","",IFERROR(INDEX(Références!$C$2:$C$201,MATCH($A182,Références!$A$2:$A$201,0)),""))</f>
        <v>ISO (2019)</v>
      </c>
      <c r="C182" s="58">
        <f>IF($A182="","",IFERROR(INDEX(Références!$G$2:$G$201,MATCH($A182,Références!$A$2:$A$201,0)),""))</f>
        <v>8</v>
      </c>
      <c r="D182" s="57" t="str">
        <f>IF($A182="","",IFERROR(INDEX('Lecture détaillée'!$J$5:$J$204,MATCH($A182,'Lecture détaillée'!$A$5:$A$204,0)),""))</f>
        <v>Aucun</v>
      </c>
      <c r="E182" s="59"/>
      <c r="F182" s="59"/>
      <c r="G182" s="59"/>
      <c r="H182" s="59"/>
      <c r="I182" s="59"/>
      <c r="J182" s="59"/>
      <c r="K182" s="59"/>
      <c r="L182" s="59"/>
      <c r="M182" s="59"/>
      <c r="N182" s="59"/>
      <c r="O182" s="59"/>
      <c r="P182" s="59"/>
      <c r="Q182" s="59"/>
      <c r="R182" s="59"/>
      <c r="S182" s="59"/>
      <c r="T182" s="59"/>
      <c r="U182" s="59"/>
      <c r="V182" s="59"/>
      <c r="W182" s="59"/>
      <c r="X182" s="59" t="s">
        <v>2905</v>
      </c>
      <c r="Y182" s="59"/>
      <c r="Z182" s="59"/>
      <c r="AA182" s="59"/>
      <c r="AB182" s="59"/>
      <c r="AC182" s="59"/>
      <c r="AD182" s="59" t="s">
        <v>2905</v>
      </c>
      <c r="AE182" s="59"/>
      <c r="AF182" s="59"/>
      <c r="AG182" s="59"/>
      <c r="AH182" s="59"/>
      <c r="AI182" s="59"/>
      <c r="AJ182" s="59"/>
      <c r="AK182" s="59" t="s">
        <v>2905</v>
      </c>
      <c r="AL182" s="59"/>
      <c r="AM182" s="59"/>
      <c r="AN182" s="59"/>
    </row>
    <row r="183" spans="1:40" x14ac:dyDescent="0.25">
      <c r="A183" s="38" t="s">
        <v>3614</v>
      </c>
      <c r="B183" s="57" t="str">
        <f>IF($A183="","",IFERROR(INDEX(Références!$C$2:$C$201,MATCH($A183,Références!$A$2:$A$201,0)),""))</f>
        <v>ISO (2008)</v>
      </c>
      <c r="C183" s="58">
        <f>IF($A183="","",IFERROR(INDEX(Références!$G$2:$G$201,MATCH($A183,Références!$A$2:$A$201,0)),""))</f>
        <v>8</v>
      </c>
      <c r="D183" s="57" t="str">
        <f>IF($A183="","",IFERROR(INDEX('Lecture détaillée'!$J$5:$J$204,MATCH($A183,'Lecture détaillée'!$A$5:$A$204,0)),""))</f>
        <v>Aucun</v>
      </c>
      <c r="E183" s="59"/>
      <c r="F183" s="59"/>
      <c r="G183" s="59"/>
      <c r="H183" s="59"/>
      <c r="I183" s="59"/>
      <c r="J183" s="59"/>
      <c r="K183" s="59"/>
      <c r="L183" s="59"/>
      <c r="M183" s="59"/>
      <c r="N183" s="59"/>
      <c r="O183" s="59"/>
      <c r="P183" s="59"/>
      <c r="Q183" s="59"/>
      <c r="R183" s="59"/>
      <c r="S183" s="59"/>
      <c r="T183" s="59"/>
      <c r="U183" s="59"/>
      <c r="V183" s="59"/>
      <c r="W183" s="59"/>
      <c r="X183" s="59" t="s">
        <v>2905</v>
      </c>
      <c r="Y183" s="59"/>
      <c r="Z183" s="59"/>
      <c r="AA183" s="59"/>
      <c r="AB183" s="59"/>
      <c r="AC183" s="59"/>
      <c r="AD183" s="59" t="s">
        <v>2905</v>
      </c>
      <c r="AE183" s="59"/>
      <c r="AF183" s="59"/>
      <c r="AG183" s="59"/>
      <c r="AH183" s="59"/>
      <c r="AI183" s="59"/>
      <c r="AJ183" s="59"/>
      <c r="AK183" s="59" t="s">
        <v>2905</v>
      </c>
      <c r="AL183" s="59"/>
      <c r="AM183" s="59"/>
      <c r="AN183" s="59"/>
    </row>
    <row r="184" spans="1:40" x14ac:dyDescent="0.25">
      <c r="A184" s="38" t="s">
        <v>3621</v>
      </c>
      <c r="B184" s="57" t="str">
        <f>IF($A184="","",IFERROR(INDEX(Références!$C$2:$C$201,MATCH($A184,Références!$A$2:$A$201,0)),""))</f>
        <v>ASTM International (2015)</v>
      </c>
      <c r="C184" s="58">
        <f>IF($A184="","",IFERROR(INDEX(Références!$G$2:$G$201,MATCH($A184,Références!$A$2:$A$201,0)),""))</f>
        <v>8</v>
      </c>
      <c r="D184" s="57" t="str">
        <f>IF($A184="","",IFERROR(INDEX('Lecture détaillée'!$J$5:$J$204,MATCH($A184,'Lecture détaillée'!$A$5:$A$204,0)),""))</f>
        <v>Aucun</v>
      </c>
      <c r="E184" s="59"/>
      <c r="F184" s="59"/>
      <c r="G184" s="59"/>
      <c r="H184" s="59"/>
      <c r="I184" s="59"/>
      <c r="J184" s="59"/>
      <c r="K184" s="59"/>
      <c r="L184" s="59"/>
      <c r="M184" s="59"/>
      <c r="N184" s="59"/>
      <c r="O184" s="59"/>
      <c r="P184" s="59"/>
      <c r="Q184" s="59"/>
      <c r="R184" s="59"/>
      <c r="S184" s="59"/>
      <c r="T184" s="59"/>
      <c r="U184" s="59"/>
      <c r="V184" s="59"/>
      <c r="W184" s="59"/>
      <c r="X184" s="59" t="s">
        <v>2905</v>
      </c>
      <c r="Y184" s="59"/>
      <c r="Z184" s="59"/>
      <c r="AA184" s="59"/>
      <c r="AB184" s="59"/>
      <c r="AC184" s="59"/>
      <c r="AD184" s="59" t="s">
        <v>2905</v>
      </c>
      <c r="AE184" s="59"/>
      <c r="AF184" s="59"/>
      <c r="AG184" s="59"/>
      <c r="AH184" s="59"/>
      <c r="AI184" s="59"/>
      <c r="AJ184" s="59"/>
      <c r="AK184" s="59" t="s">
        <v>2905</v>
      </c>
      <c r="AL184" s="59"/>
      <c r="AM184" s="59"/>
      <c r="AN184" s="59"/>
    </row>
    <row r="185" spans="1:40" x14ac:dyDescent="0.25">
      <c r="A185" s="38" t="s">
        <v>3630</v>
      </c>
      <c r="B185" s="57" t="str">
        <f>IF($A185="","",IFERROR(INDEX(Références!$C$2:$C$201,MATCH($A185,Références!$A$2:$A$201,0)),""))</f>
        <v>ASTM International (2015)</v>
      </c>
      <c r="C185" s="58">
        <f>IF($A185="","",IFERROR(INDEX(Références!$G$2:$G$201,MATCH($A185,Références!$A$2:$A$201,0)),""))</f>
        <v>8</v>
      </c>
      <c r="D185" s="57" t="str">
        <f>IF($A185="","",IFERROR(INDEX('Lecture détaillée'!$J$5:$J$204,MATCH($A185,'Lecture détaillée'!$A$5:$A$204,0)),""))</f>
        <v>Aucun</v>
      </c>
      <c r="E185" s="59"/>
      <c r="F185" s="59"/>
      <c r="G185" s="59"/>
      <c r="H185" s="59"/>
      <c r="I185" s="59"/>
      <c r="J185" s="59"/>
      <c r="K185" s="59"/>
      <c r="L185" s="59"/>
      <c r="M185" s="59"/>
      <c r="N185" s="59"/>
      <c r="O185" s="59"/>
      <c r="P185" s="59"/>
      <c r="Q185" s="59"/>
      <c r="R185" s="59"/>
      <c r="S185" s="59"/>
      <c r="T185" s="59"/>
      <c r="U185" s="59"/>
      <c r="V185" s="59"/>
      <c r="W185" s="59"/>
      <c r="X185" s="59" t="s">
        <v>2905</v>
      </c>
      <c r="Y185" s="59"/>
      <c r="Z185" s="59"/>
      <c r="AA185" s="59"/>
      <c r="AB185" s="59"/>
      <c r="AC185" s="59"/>
      <c r="AD185" s="59" t="s">
        <v>2905</v>
      </c>
      <c r="AE185" s="59"/>
      <c r="AF185" s="59"/>
      <c r="AG185" s="59"/>
      <c r="AH185" s="59"/>
      <c r="AI185" s="59"/>
      <c r="AJ185" s="59"/>
      <c r="AK185" s="59" t="s">
        <v>2905</v>
      </c>
      <c r="AL185" s="59" t="s">
        <v>2905</v>
      </c>
      <c r="AM185" s="59"/>
      <c r="AN185" s="59"/>
    </row>
  </sheetData>
  <autoFilter ref="A5:AN185" xr:uid="{00000000-0009-0000-0000-000005000000}"/>
  <mergeCells count="8">
    <mergeCell ref="Y4:AB4"/>
    <mergeCell ref="AC4:AK4"/>
    <mergeCell ref="AL4:AN4"/>
    <mergeCell ref="A4:D4"/>
    <mergeCell ref="E4:G4"/>
    <mergeCell ref="H4:K4"/>
    <mergeCell ref="L4:O4"/>
    <mergeCell ref="P4:X4"/>
  </mergeCells>
  <conditionalFormatting sqref="E7:AN330">
    <cfRule type="cellIs" dxfId="47" priority="2" operator="equal">
      <formula>"●"</formula>
    </cfRule>
  </conditionalFormatting>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tabColor rgb="FF548235"/>
    <pageSetUpPr fitToPage="1"/>
  </sheetPr>
  <dimension ref="B2:L236"/>
  <sheetViews>
    <sheetView showGridLines="0" tabSelected="1" topLeftCell="A79" zoomScaleNormal="100" workbookViewId="0">
      <selection activeCell="L90" sqref="L90"/>
    </sheetView>
  </sheetViews>
  <sheetFormatPr baseColWidth="10" defaultColWidth="8.7109375" defaultRowHeight="15" x14ac:dyDescent="0.25"/>
  <cols>
    <col min="1" max="1" width="2" customWidth="1"/>
    <col min="2" max="2" width="20" customWidth="1"/>
    <col min="3" max="3" width="10" customWidth="1"/>
    <col min="4" max="4" width="24" customWidth="1"/>
    <col min="5" max="5" width="62" customWidth="1"/>
    <col min="6" max="6" width="18" customWidth="1"/>
    <col min="7" max="7" width="6" customWidth="1"/>
    <col min="8" max="8" width="11" customWidth="1"/>
    <col min="9" max="9" width="13" customWidth="1"/>
    <col min="10" max="10" width="8" customWidth="1"/>
    <col min="11" max="12" width="10" customWidth="1"/>
  </cols>
  <sheetData>
    <row r="2" spans="2:12" ht="20.25" x14ac:dyDescent="0.3">
      <c r="B2" s="6" t="s">
        <v>2906</v>
      </c>
    </row>
    <row r="3" spans="2:12" x14ac:dyDescent="0.25">
      <c r="B3" s="9" t="s">
        <v>2907</v>
      </c>
    </row>
    <row r="5" spans="2:12" ht="21.75" customHeight="1" x14ac:dyDescent="0.25">
      <c r="B5" s="77" t="s">
        <v>2908</v>
      </c>
      <c r="C5" s="77"/>
      <c r="D5" s="77"/>
      <c r="E5" s="77"/>
      <c r="F5" s="77"/>
      <c r="G5" s="77"/>
      <c r="H5" s="77"/>
      <c r="I5" s="77"/>
      <c r="J5" s="77"/>
      <c r="K5" s="77"/>
    </row>
    <row r="6" spans="2:12" ht="57.95" customHeight="1" x14ac:dyDescent="0.25">
      <c r="B6" s="60" t="s">
        <v>2909</v>
      </c>
      <c r="C6" s="78" t="s">
        <v>4095</v>
      </c>
      <c r="D6" s="78"/>
      <c r="E6" s="78"/>
      <c r="F6" s="78"/>
      <c r="G6" s="78"/>
      <c r="H6" s="78"/>
      <c r="I6" s="78"/>
      <c r="J6" s="78"/>
      <c r="K6" s="78"/>
    </row>
    <row r="7" spans="2:12" ht="43.5" customHeight="1" x14ac:dyDescent="0.25">
      <c r="B7" s="60" t="s">
        <v>2910</v>
      </c>
      <c r="C7" s="78" t="s">
        <v>2911</v>
      </c>
      <c r="D7" s="78"/>
      <c r="E7" s="78"/>
      <c r="F7" s="78"/>
      <c r="G7" s="78"/>
      <c r="H7" s="78"/>
      <c r="I7" s="78"/>
      <c r="J7" s="78"/>
      <c r="K7" s="78"/>
    </row>
    <row r="8" spans="2:12" x14ac:dyDescent="0.25">
      <c r="B8" s="61" t="s">
        <v>2912</v>
      </c>
      <c r="C8" s="79" t="str">
        <f>COUNTIF(Références!$I$2:$I$201,1)&amp;" références, "&amp;COUNTIFS(Références!$I$2:$I$201,1,Références!$J$2:$J$201,"Lu")&amp;" lues"</f>
        <v>20 références, 0 lues</v>
      </c>
      <c r="D8" s="79"/>
      <c r="E8" s="1" t="str">
        <f>"Heures restantes : "&amp;(SUMIFS(Références!$AT$2:$AT$201,Références!$I$2:$I$201,1)-SUMIFS(Références!$AT$2:$AT$201,Références!$I$2:$I$201,1,Références!$J$2:$J$201,"Lu")-SUMIFS(Références!$AT$2:$AT$201,Références!$I$2:$I$201,1,Références!$J$2:$J$201,"Écarté"))&amp;" h sur "&amp;SUMIFS(Références!$AT$2:$AT$201,Références!$I$2:$I$201,1)&amp;" h prévues"</f>
        <v>Heures restantes : 72 h sur 72 h prévues</v>
      </c>
      <c r="F8" s="62" t="str">
        <f ca="1">IF(COUNTIF(Références!$I$2:$I$201,1)-COUNTIFS(Références!$I$2:$I$201,1,Références!$J$2:$J$201,"Lu")-COUNTIFS(Références!$I$2:$I$201,1,Références!$J$2:$J$201,"Écarté")=0,"Terminé",IF(1&lt;Paramètres!$C$8,"En retard",IF(1=Paramètres!$C$8,"En cours","À venir")))</f>
        <v>En cours</v>
      </c>
    </row>
    <row r="9" spans="2:12" ht="18" customHeight="1" x14ac:dyDescent="0.25">
      <c r="B9" s="63" t="s">
        <v>205</v>
      </c>
      <c r="C9" s="63" t="s">
        <v>51</v>
      </c>
      <c r="D9" s="63" t="s">
        <v>169</v>
      </c>
      <c r="E9" s="63" t="s">
        <v>173</v>
      </c>
      <c r="F9" s="63" t="s">
        <v>170</v>
      </c>
      <c r="G9" s="63" t="s">
        <v>119</v>
      </c>
      <c r="H9" s="63" t="s">
        <v>1662</v>
      </c>
      <c r="I9" s="63" t="s">
        <v>152</v>
      </c>
      <c r="J9" s="63" t="s">
        <v>2913</v>
      </c>
      <c r="K9" s="63" t="s">
        <v>172</v>
      </c>
      <c r="L9" s="63" t="s">
        <v>64</v>
      </c>
    </row>
    <row r="10" spans="2:12" ht="30" customHeight="1" x14ac:dyDescent="0.25">
      <c r="B10" s="64">
        <v>1</v>
      </c>
      <c r="C10" s="38" t="str">
        <f>IFERROR(INDEX(Références!$A$2:$A$201,MATCH("1-1",Références!$AY$2:$AY$201,0)),"")</f>
        <v>BIB-001</v>
      </c>
      <c r="D10" s="3" t="str">
        <f>IF($C10="","",INDEX(Références!$C$2:$C$201,MATCH($C10,Références!$A$2:$A$201,0)))</f>
        <v>De Beer et al. (2012)</v>
      </c>
      <c r="E10" s="3" t="str">
        <f>IF($C10="","",INDEX(Références!$D$2:$D$201,MATCH($C10,Références!$A$2:$A$201,0)))</f>
        <v>Toward using tire-road contact stresses in pavement design and analysis</v>
      </c>
      <c r="F10" s="38" t="str">
        <f>IF($C10="","",INDEX(Références!$H$2:$H$201,MATCH($C10,Références!$A$2:$A$201,0)))</f>
        <v>INCONTOURNABLE</v>
      </c>
      <c r="G10" s="64">
        <f>IF($C10="","",INDEX(Références!$G$2:$G$201,MATCH($C10,Références!$A$2:$A$201,0)))</f>
        <v>1</v>
      </c>
      <c r="H10" s="38" t="str">
        <f>IF($C10="","",INDEX(Références!$J$2:$J$201,MATCH($C10,Références!$A$2:$A$201,0)))</f>
        <v>À lire</v>
      </c>
      <c r="I10" s="38" t="str">
        <f ca="1">IF($C10="","",INDEX(Références!$K$2:$K$201,MATCH($C10,Références!$A$2:$A$201,0)))</f>
        <v>Ce mois-ci</v>
      </c>
      <c r="J10" s="64">
        <f>IF($C10="","",INDEX(Références!$AT$2:$AT$201,MATCH($C10,Références!$A$2:$A$201,0)))</f>
        <v>6</v>
      </c>
      <c r="K10" s="65" t="str">
        <f>IF($C10="","",HYPERLINK(INDEX(Références!$AF$2:$AF$201,MATCH($C10,Références!$A$2:$A$201,0)),"Ouvrir"))</f>
        <v>Ouvrir</v>
      </c>
      <c r="L10" s="65" t="str">
        <f ca="1">IF($C10="","",IF(INDEX(Références!$BB$2:$BB$201,MATCH($C10,Références!$A$2:$A$201,0))="","",HYPERLINK(DossierPDF&amp;INDEX(Références!$BB$2:$BB$201,MATCH($C10,Références!$A$2:$A$201,0)),"PDF")))</f>
        <v>PDF</v>
      </c>
    </row>
    <row r="11" spans="2:12" ht="30" customHeight="1" x14ac:dyDescent="0.25">
      <c r="B11" s="64">
        <v>2</v>
      </c>
      <c r="C11" s="38" t="str">
        <f>IFERROR(INDEX(Références!$A$2:$A$201,MATCH("1-2",Références!$AY$2:$AY$201,0)),"")</f>
        <v>BIB-002</v>
      </c>
      <c r="D11" s="3" t="str">
        <f>IF($C11="","",INDEX(Références!$C$2:$C$201,MATCH($C11,Références!$A$2:$A$201,0)))</f>
        <v>De Beer &amp; Fisher (2013)</v>
      </c>
      <c r="E11" s="3" t="str">
        <f>IF($C11="","",INDEX(Références!$D$2:$D$201,MATCH($C11,Références!$A$2:$A$201,0)))</f>
        <v>Stress-In-Motion (SIM) system for capturing tri-axial tyre–road interaction in the contact patch</v>
      </c>
      <c r="F11" s="38" t="str">
        <f>IF($C11="","",INDEX(Références!$H$2:$H$201,MATCH($C11,Références!$A$2:$A$201,0)))</f>
        <v>INCONTOURNABLE</v>
      </c>
      <c r="G11" s="64">
        <f>IF($C11="","",INDEX(Références!$G$2:$G$201,MATCH($C11,Références!$A$2:$A$201,0)))</f>
        <v>1</v>
      </c>
      <c r="H11" s="38" t="str">
        <f>IF($C11="","",INDEX(Références!$J$2:$J$201,MATCH($C11,Références!$A$2:$A$201,0)))</f>
        <v>À lire</v>
      </c>
      <c r="I11" s="38" t="str">
        <f ca="1">IF($C11="","",INDEX(Références!$K$2:$K$201,MATCH($C11,Références!$A$2:$A$201,0)))</f>
        <v>Ce mois-ci</v>
      </c>
      <c r="J11" s="64">
        <f>IF($C11="","",INDEX(Références!$AT$2:$AT$201,MATCH($C11,Références!$A$2:$A$201,0)))</f>
        <v>6</v>
      </c>
      <c r="K11" s="65" t="str">
        <f>IF($C11="","",HYPERLINK(INDEX(Références!$AF$2:$AF$201,MATCH($C11,Références!$A$2:$A$201,0)),"Ouvrir"))</f>
        <v>Ouvrir</v>
      </c>
      <c r="L11" s="65" t="str">
        <f ca="1">IF($C11="","",IF(INDEX(Références!$BB$2:$BB$201,MATCH($C11,Références!$A$2:$A$201,0))="","",HYPERLINK(DossierPDF&amp;INDEX(Références!$BB$2:$BB$201,MATCH($C11,Références!$A$2:$A$201,0)),"PDF")))</f>
        <v>PDF</v>
      </c>
    </row>
    <row r="12" spans="2:12" ht="30" customHeight="1" x14ac:dyDescent="0.25">
      <c r="B12" s="64">
        <v>3</v>
      </c>
      <c r="C12" s="38" t="str">
        <f>IFERROR(INDEX(Références!$A$2:$A$201,MATCH("1-3",Références!$AY$2:$AY$201,0)),"")</f>
        <v>BIB-003</v>
      </c>
      <c r="D12" s="3" t="str">
        <f>IF($C12="","",INDEX(Références!$C$2:$C$201,MATCH($C12,Références!$A$2:$A$201,0)))</f>
        <v>Tielking (1989)</v>
      </c>
      <c r="E12" s="3" t="str">
        <f>IF($C12="","",INDEX(Références!$D$2:$D$201,MATCH($C12,Références!$A$2:$A$201,0)))</f>
        <v>Aircraft tire/pavement pressure distribution</v>
      </c>
      <c r="F12" s="38" t="str">
        <f>IF($C12="","",INDEX(Références!$H$2:$H$201,MATCH($C12,Références!$A$2:$A$201,0)))</f>
        <v>INCONTOURNABLE</v>
      </c>
      <c r="G12" s="64">
        <f>IF($C12="","",INDEX(Références!$G$2:$G$201,MATCH($C12,Références!$A$2:$A$201,0)))</f>
        <v>1</v>
      </c>
      <c r="H12" s="38" t="str">
        <f>IF($C12="","",INDEX(Références!$J$2:$J$201,MATCH($C12,Références!$A$2:$A$201,0)))</f>
        <v>À lire</v>
      </c>
      <c r="I12" s="38" t="str">
        <f ca="1">IF($C12="","",INDEX(Références!$K$2:$K$201,MATCH($C12,Références!$A$2:$A$201,0)))</f>
        <v>Ce mois-ci</v>
      </c>
      <c r="J12" s="64">
        <f>IF($C12="","",INDEX(Références!$AT$2:$AT$201,MATCH($C12,Références!$A$2:$A$201,0)))</f>
        <v>6</v>
      </c>
      <c r="K12" s="65" t="str">
        <f>IF($C12="","",HYPERLINK(INDEX(Références!$AF$2:$AF$201,MATCH($C12,Références!$A$2:$A$201,0)),"Ouvrir"))</f>
        <v>Ouvrir</v>
      </c>
      <c r="L12" s="65" t="str">
        <f ca="1">IF($C12="","",IF(INDEX(Références!$BB$2:$BB$201,MATCH($C12,Références!$A$2:$A$201,0))="","",HYPERLINK(DossierPDF&amp;INDEX(Références!$BB$2:$BB$201,MATCH($C12,Références!$A$2:$A$201,0)),"PDF")))</f>
        <v>PDF</v>
      </c>
    </row>
    <row r="13" spans="2:12" ht="30" customHeight="1" x14ac:dyDescent="0.25">
      <c r="B13" s="64">
        <v>4</v>
      </c>
      <c r="C13" s="38" t="str">
        <f>IFERROR(INDEX(Références!$A$2:$A$201,MATCH("1-4",Références!$AY$2:$AY$201,0)),"")</f>
        <v>BIB-004</v>
      </c>
      <c r="D13" s="3" t="str">
        <f>IF($C13="","",INDEX(Références!$C$2:$C$201,MATCH($C13,Références!$A$2:$A$201,0)))</f>
        <v>Sadoun et al. (2022)</v>
      </c>
      <c r="E13" s="3" t="str">
        <f>IF($C13="","",INDEX(Références!$D$2:$D$201,MATCH($C13,Références!$A$2:$A$201,0)))</f>
        <v>Top-down cracking in airfield pavement structures—An in-situ test survey</v>
      </c>
      <c r="F13" s="38" t="str">
        <f>IF($C13="","",INDEX(Références!$H$2:$H$201,MATCH($C13,Références!$A$2:$A$201,0)))</f>
        <v>INCONTOURNABLE</v>
      </c>
      <c r="G13" s="64">
        <f>IF($C13="","",INDEX(Références!$G$2:$G$201,MATCH($C13,Références!$A$2:$A$201,0)))</f>
        <v>6</v>
      </c>
      <c r="H13" s="38" t="str">
        <f>IF($C13="","",INDEX(Références!$J$2:$J$201,MATCH($C13,Références!$A$2:$A$201,0)))</f>
        <v>À lire</v>
      </c>
      <c r="I13" s="38" t="str">
        <f ca="1">IF($C13="","",INDEX(Références!$K$2:$K$201,MATCH($C13,Références!$A$2:$A$201,0)))</f>
        <v>Ce mois-ci</v>
      </c>
      <c r="J13" s="64">
        <f>IF($C13="","",INDEX(Références!$AT$2:$AT$201,MATCH($C13,Références!$A$2:$A$201,0)))</f>
        <v>6</v>
      </c>
      <c r="K13" s="65" t="str">
        <f>IF($C13="","",HYPERLINK(INDEX(Références!$AF$2:$AF$201,MATCH($C13,Références!$A$2:$A$201,0)),"Ouvrir"))</f>
        <v>Ouvrir</v>
      </c>
      <c r="L13" s="65" t="str">
        <f ca="1">IF($C13="","",IF(INDEX(Références!$BB$2:$BB$201,MATCH($C13,Références!$A$2:$A$201,0))="","",HYPERLINK(DossierPDF&amp;INDEX(Références!$BB$2:$BB$201,MATCH($C13,Références!$A$2:$A$201,0)),"PDF")))</f>
        <v>PDF</v>
      </c>
    </row>
    <row r="14" spans="2:12" ht="30" customHeight="1" x14ac:dyDescent="0.25">
      <c r="B14" s="64">
        <v>5</v>
      </c>
      <c r="C14" s="38" t="str">
        <f>IFERROR(INDEX(Références!$A$2:$A$201,MATCH("1-5",Références!$AY$2:$AY$201,0)),"")</f>
        <v>BIB-005</v>
      </c>
      <c r="D14" s="3" t="str">
        <f>IF($C14="","",INDEX(Références!$C$2:$C$201,MATCH($C14,Références!$A$2:$A$201,0)))</f>
        <v>Airbus S.A.S. (2010)</v>
      </c>
      <c r="E14" s="3" t="str">
        <f>IF($C14="","",INDEX(Références!$D$2:$D$201,MATCH($C14,Références!$A$2:$A$201,0)))</f>
        <v>High Tire Pressure Test (HTPT) — Final report</v>
      </c>
      <c r="F14" s="38" t="str">
        <f>IF($C14="","",INDEX(Références!$H$2:$H$201,MATCH($C14,Références!$A$2:$A$201,0)))</f>
        <v>INCONTOURNABLE</v>
      </c>
      <c r="G14" s="64">
        <f>IF($C14="","",INDEX(Références!$G$2:$G$201,MATCH($C14,Références!$A$2:$A$201,0)))</f>
        <v>7</v>
      </c>
      <c r="H14" s="38" t="str">
        <f>IF($C14="","",INDEX(Références!$J$2:$J$201,MATCH($C14,Références!$A$2:$A$201,0)))</f>
        <v>À lire</v>
      </c>
      <c r="I14" s="38" t="str">
        <f ca="1">IF($C14="","",INDEX(Références!$K$2:$K$201,MATCH($C14,Références!$A$2:$A$201,0)))</f>
        <v>Ce mois-ci</v>
      </c>
      <c r="J14" s="64">
        <f>IF($C14="","",INDEX(Références!$AT$2:$AT$201,MATCH($C14,Références!$A$2:$A$201,0)))</f>
        <v>6</v>
      </c>
      <c r="K14" s="65" t="str">
        <f>IF($C14="","",HYPERLINK(INDEX(Références!$AF$2:$AF$201,MATCH($C14,Références!$A$2:$A$201,0)),"Ouvrir"))</f>
        <v>Ouvrir</v>
      </c>
      <c r="L14" s="65" t="str">
        <f ca="1">IF($C14="","",IF(INDEX(Références!$BB$2:$BB$201,MATCH($C14,Références!$A$2:$A$201,0))="","",HYPERLINK(DossierPDF&amp;INDEX(Références!$BB$2:$BB$201,MATCH($C14,Références!$A$2:$A$201,0)),"PDF")))</f>
        <v>PDF</v>
      </c>
    </row>
    <row r="15" spans="2:12" ht="30" customHeight="1" x14ac:dyDescent="0.25">
      <c r="B15" s="64">
        <v>6</v>
      </c>
      <c r="C15" s="38" t="str">
        <f>IFERROR(INDEX(Références!$A$2:$A$201,MATCH("1-6",Références!$AY$2:$AY$201,0)),"")</f>
        <v>BIB-006</v>
      </c>
      <c r="D15" s="3" t="str">
        <f>IF($C15="","",INDEX(Références!$C$2:$C$201,MATCH($C15,Références!$A$2:$A$201,0)))</f>
        <v>Petitjean et al. (2001)</v>
      </c>
      <c r="E15" s="3" t="str">
        <f>IF($C15="","",INDEX(Références!$D$2:$D$201,MATCH($C15,Références!$A$2:$A$201,0)))</f>
        <v>LCPC / Airbus / STBA A380 Pavement Experimental Programme</v>
      </c>
      <c r="F15" s="38" t="str">
        <f>IF($C15="","",INDEX(Références!$H$2:$H$201,MATCH($C15,Références!$A$2:$A$201,0)))</f>
        <v>INCONTOURNABLE</v>
      </c>
      <c r="G15" s="64">
        <f>IF($C15="","",INDEX(Références!$G$2:$G$201,MATCH($C15,Références!$A$2:$A$201,0)))</f>
        <v>7</v>
      </c>
      <c r="H15" s="38" t="str">
        <f>IF($C15="","",INDEX(Références!$J$2:$J$201,MATCH($C15,Références!$A$2:$A$201,0)))</f>
        <v>À lire</v>
      </c>
      <c r="I15" s="38" t="str">
        <f ca="1">IF($C15="","",INDEX(Références!$K$2:$K$201,MATCH($C15,Références!$A$2:$A$201,0)))</f>
        <v>Ce mois-ci</v>
      </c>
      <c r="J15" s="64">
        <f>IF($C15="","",INDEX(Références!$AT$2:$AT$201,MATCH($C15,Références!$A$2:$A$201,0)))</f>
        <v>6</v>
      </c>
      <c r="K15" s="65" t="str">
        <f>IF($C15="","",HYPERLINK(INDEX(Références!$AF$2:$AF$201,MATCH($C15,Références!$A$2:$A$201,0)),"Ouvrir"))</f>
        <v>Ouvrir</v>
      </c>
      <c r="L15" s="65" t="str">
        <f ca="1">IF($C15="","",IF(INDEX(Références!$BB$2:$BB$201,MATCH($C15,Références!$A$2:$A$201,0))="","",HYPERLINK(DossierPDF&amp;INDEX(Références!$BB$2:$BB$201,MATCH($C15,Références!$A$2:$A$201,0)),"PDF")))</f>
        <v>PDF</v>
      </c>
    </row>
    <row r="16" spans="2:12" ht="30" customHeight="1" x14ac:dyDescent="0.25">
      <c r="B16" s="64">
        <v>7</v>
      </c>
      <c r="C16" s="38" t="str">
        <f>IFERROR(INDEX(Références!$A$2:$A$201,MATCH("1-7",Références!$AY$2:$AY$201,0)),"")</f>
        <v>BIB-007</v>
      </c>
      <c r="D16" s="3" t="str">
        <f>IF($C16="","",INDEX(Références!$C$2:$C$201,MATCH($C16,Références!$A$2:$A$201,0)))</f>
        <v>STAC (2011)</v>
      </c>
      <c r="E16" s="3" t="str">
        <f>IF($C16="","",INDEX(Références!$D$2:$D$201,MATCH($C16,Références!$A$2:$A$201,0)))</f>
        <v>High tire pressure test — Rapport d'étude (version 1)</v>
      </c>
      <c r="F16" s="38" t="str">
        <f>IF($C16="","",INDEX(Références!$H$2:$H$201,MATCH($C16,Références!$A$2:$A$201,0)))</f>
        <v>INCONTOURNABLE</v>
      </c>
      <c r="G16" s="64">
        <f>IF($C16="","",INDEX(Références!$G$2:$G$201,MATCH($C16,Références!$A$2:$A$201,0)))</f>
        <v>7</v>
      </c>
      <c r="H16" s="38" t="str">
        <f>IF($C16="","",INDEX(Références!$J$2:$J$201,MATCH($C16,Références!$A$2:$A$201,0)))</f>
        <v>À lire</v>
      </c>
      <c r="I16" s="38" t="str">
        <f ca="1">IF($C16="","",INDEX(Références!$K$2:$K$201,MATCH($C16,Références!$A$2:$A$201,0)))</f>
        <v>Ce mois-ci</v>
      </c>
      <c r="J16" s="64">
        <f>IF($C16="","",INDEX(Références!$AT$2:$AT$201,MATCH($C16,Références!$A$2:$A$201,0)))</f>
        <v>6</v>
      </c>
      <c r="K16" s="65" t="str">
        <f>IF($C16="","",HYPERLINK(INDEX(Références!$AF$2:$AF$201,MATCH($C16,Références!$A$2:$A$201,0)),"Ouvrir"))</f>
        <v>Ouvrir</v>
      </c>
      <c r="L16" s="65" t="str">
        <f ca="1">IF($C16="","",IF(INDEX(Références!$BB$2:$BB$201,MATCH($C16,Références!$A$2:$A$201,0))="","",HYPERLINK(DossierPDF&amp;INDEX(Références!$BB$2:$BB$201,MATCH($C16,Références!$A$2:$A$201,0)),"PDF")))</f>
        <v>PDF</v>
      </c>
    </row>
    <row r="17" spans="2:12" ht="30" customHeight="1" x14ac:dyDescent="0.25">
      <c r="B17" s="64">
        <v>8</v>
      </c>
      <c r="C17" s="38" t="str">
        <f>IFERROR(INDEX(Références!$A$2:$A$201,MATCH("1-8",Références!$AY$2:$AY$201,0)),"")</f>
        <v>BIB-008</v>
      </c>
      <c r="D17" s="3" t="str">
        <f>IF($C17="","",INDEX(Références!$C$2:$C$201,MATCH($C17,Références!$A$2:$A$201,0)))</f>
        <v>De Beer &amp; Fisher (2000)</v>
      </c>
      <c r="E17" s="3" t="str">
        <f>IF($C17="","",INDEX(Références!$D$2:$D$201,MATCH($C17,Références!$A$2:$A$201,0)))</f>
        <v>Contact stresses of the 11.00-R22.5 pneumatic radial tyres on the Gautrans Heavy Vehicle Simulator (HVS) measured with the Vehicle-Road Pressure Transducer Array (VRSPTA) system</v>
      </c>
      <c r="F17" s="38" t="str">
        <f>IF($C17="","",INDEX(Références!$H$2:$H$201,MATCH($C17,Références!$A$2:$A$201,0)))</f>
        <v>Important</v>
      </c>
      <c r="G17" s="64">
        <f>IF($C17="","",INDEX(Références!$G$2:$G$201,MATCH($C17,Références!$A$2:$A$201,0)))</f>
        <v>1</v>
      </c>
      <c r="H17" s="38" t="str">
        <f>IF($C17="","",INDEX(Références!$J$2:$J$201,MATCH($C17,Références!$A$2:$A$201,0)))</f>
        <v>À lire</v>
      </c>
      <c r="I17" s="38" t="str">
        <f ca="1">IF($C17="","",INDEX(Références!$K$2:$K$201,MATCH($C17,Références!$A$2:$A$201,0)))</f>
        <v>Ce mois-ci</v>
      </c>
      <c r="J17" s="64">
        <f>IF($C17="","",INDEX(Références!$AT$2:$AT$201,MATCH($C17,Références!$A$2:$A$201,0)))</f>
        <v>3</v>
      </c>
      <c r="K17" s="65" t="str">
        <f>IF($C17="","",HYPERLINK(INDEX(Références!$AF$2:$AF$201,MATCH($C17,Références!$A$2:$A$201,0)),"Ouvrir"))</f>
        <v>Ouvrir</v>
      </c>
      <c r="L17" s="65" t="str">
        <f>IF($C17="","",IF(INDEX(Références!$BB$2:$BB$201,MATCH($C17,Références!$A$2:$A$201,0))="","",HYPERLINK(DossierPDF&amp;INDEX(Références!$BB$2:$BB$201,MATCH($C17,Références!$A$2:$A$201,0)),"PDF")))</f>
        <v/>
      </c>
    </row>
    <row r="18" spans="2:12" ht="30" customHeight="1" x14ac:dyDescent="0.25">
      <c r="B18" s="64">
        <v>9</v>
      </c>
      <c r="C18" s="38" t="str">
        <f>IFERROR(INDEX(Références!$A$2:$A$201,MATCH("1-9",Références!$AY$2:$AY$201,0)),"")</f>
        <v>BIB-009</v>
      </c>
      <c r="D18" s="3" t="str">
        <f>IF($C18="","",INDEX(Références!$C$2:$C$201,MATCH($C18,Références!$A$2:$A$201,0)))</f>
        <v>De Beer et al. (2004)</v>
      </c>
      <c r="E18" s="3" t="str">
        <f>IF($C18="","",INDEX(Références!$D$2:$D$201,MATCH($C18,Références!$A$2:$A$201,0)))</f>
        <v>Towards the application of Stress-In-Motion (SIM) results in pavement design and infrastructure protection</v>
      </c>
      <c r="F18" s="38" t="str">
        <f>IF($C18="","",INDEX(Références!$H$2:$H$201,MATCH($C18,Références!$A$2:$A$201,0)))</f>
        <v>Important</v>
      </c>
      <c r="G18" s="64">
        <f>IF($C18="","",INDEX(Références!$G$2:$G$201,MATCH($C18,Références!$A$2:$A$201,0)))</f>
        <v>1</v>
      </c>
      <c r="H18" s="38" t="str">
        <f>IF($C18="","",INDEX(Références!$J$2:$J$201,MATCH($C18,Références!$A$2:$A$201,0)))</f>
        <v>À lire</v>
      </c>
      <c r="I18" s="38" t="str">
        <f ca="1">IF($C18="","",INDEX(Références!$K$2:$K$201,MATCH($C18,Références!$A$2:$A$201,0)))</f>
        <v>Ce mois-ci</v>
      </c>
      <c r="J18" s="64">
        <f>IF($C18="","",INDEX(Références!$AT$2:$AT$201,MATCH($C18,Références!$A$2:$A$201,0)))</f>
        <v>3</v>
      </c>
      <c r="K18" s="65" t="str">
        <f>IF($C18="","",HYPERLINK(INDEX(Références!$AF$2:$AF$201,MATCH($C18,Références!$A$2:$A$201,0)),"Ouvrir"))</f>
        <v>Ouvrir</v>
      </c>
      <c r="L18" s="65" t="str">
        <f ca="1">IF($C18="","",IF(INDEX(Références!$BB$2:$BB$201,MATCH($C18,Références!$A$2:$A$201,0))="","",HYPERLINK(DossierPDF&amp;INDEX(Références!$BB$2:$BB$201,MATCH($C18,Références!$A$2:$A$201,0)),"PDF")))</f>
        <v>PDF</v>
      </c>
    </row>
    <row r="19" spans="2:12" ht="30" customHeight="1" x14ac:dyDescent="0.25">
      <c r="B19" s="64">
        <v>10</v>
      </c>
      <c r="C19" s="38" t="str">
        <f>IFERROR(INDEX(Références!$A$2:$A$201,MATCH("1-10",Références!$AY$2:$AY$201,0)),"")</f>
        <v>BIB-010</v>
      </c>
      <c r="D19" s="3" t="str">
        <f>IF($C19="","",INDEX(Références!$C$2:$C$201,MATCH($C19,Références!$A$2:$A$201,0)))</f>
        <v>Gong et al. (2024)</v>
      </c>
      <c r="E19" s="3" t="str">
        <f>IF($C19="","",INDEX(Références!$D$2:$D$201,MATCH($C19,Références!$A$2:$A$201,0)))</f>
        <v>Review of research on tire–pavement contact behavior</v>
      </c>
      <c r="F19" s="38" t="str">
        <f>IF($C19="","",INDEX(Références!$H$2:$H$201,MATCH($C19,Références!$A$2:$A$201,0)))</f>
        <v>Important</v>
      </c>
      <c r="G19" s="64">
        <f>IF($C19="","",INDEX(Références!$G$2:$G$201,MATCH($C19,Références!$A$2:$A$201,0)))</f>
        <v>1</v>
      </c>
      <c r="H19" s="38" t="str">
        <f>IF($C19="","",INDEX(Références!$J$2:$J$201,MATCH($C19,Références!$A$2:$A$201,0)))</f>
        <v>À lire</v>
      </c>
      <c r="I19" s="38" t="str">
        <f ca="1">IF($C19="","",INDEX(Références!$K$2:$K$201,MATCH($C19,Références!$A$2:$A$201,0)))</f>
        <v>Ce mois-ci</v>
      </c>
      <c r="J19" s="64">
        <f>IF($C19="","",INDEX(Références!$AT$2:$AT$201,MATCH($C19,Références!$A$2:$A$201,0)))</f>
        <v>3</v>
      </c>
      <c r="K19" s="65" t="str">
        <f>IF($C19="","",HYPERLINK(INDEX(Références!$AF$2:$AF$201,MATCH($C19,Références!$A$2:$A$201,0)),"Ouvrir"))</f>
        <v>Ouvrir</v>
      </c>
      <c r="L19" s="65" t="str">
        <f ca="1">IF($C19="","",IF(INDEX(Références!$BB$2:$BB$201,MATCH($C19,Références!$A$2:$A$201,0))="","",HYPERLINK(DossierPDF&amp;INDEX(Références!$BB$2:$BB$201,MATCH($C19,Références!$A$2:$A$201,0)),"PDF")))</f>
        <v>PDF</v>
      </c>
    </row>
    <row r="20" spans="2:12" ht="30" customHeight="1" x14ac:dyDescent="0.25">
      <c r="B20" s="64">
        <v>11</v>
      </c>
      <c r="C20" s="38" t="str">
        <f>IFERROR(INDEX(Références!$A$2:$A$201,MATCH("1-11",Références!$AY$2:$AY$201,0)),"")</f>
        <v>BIB-011</v>
      </c>
      <c r="D20" s="3" t="str">
        <f>IF($C20="","",INDEX(Références!$C$2:$C$201,MATCH($C20,Références!$A$2:$A$201,0)))</f>
        <v>Hansen et al. (1989)</v>
      </c>
      <c r="E20" s="3" t="str">
        <f>IF($C20="","",INDEX(Références!$D$2:$D$201,MATCH($C20,Références!$A$2:$A$201,0)))</f>
        <v>Truck tire pavement contact pressure distribution characteristics for super single 18-22.5 and smooth 11R24.5 tires</v>
      </c>
      <c r="F20" s="38" t="str">
        <f>IF($C20="","",INDEX(Références!$H$2:$H$201,MATCH($C20,Références!$A$2:$A$201,0)))</f>
        <v>Important</v>
      </c>
      <c r="G20" s="64">
        <f>IF($C20="","",INDEX(Références!$G$2:$G$201,MATCH($C20,Références!$A$2:$A$201,0)))</f>
        <v>1</v>
      </c>
      <c r="H20" s="38" t="str">
        <f>IF($C20="","",INDEX(Références!$J$2:$J$201,MATCH($C20,Références!$A$2:$A$201,0)))</f>
        <v>À lire</v>
      </c>
      <c r="I20" s="38" t="str">
        <f ca="1">IF($C20="","",INDEX(Références!$K$2:$K$201,MATCH($C20,Références!$A$2:$A$201,0)))</f>
        <v>Ce mois-ci</v>
      </c>
      <c r="J20" s="64">
        <f>IF($C20="","",INDEX(Références!$AT$2:$AT$201,MATCH($C20,Références!$A$2:$A$201,0)))</f>
        <v>3</v>
      </c>
      <c r="K20" s="65" t="str">
        <f>IF($C20="","",HYPERLINK(INDEX(Références!$AF$2:$AF$201,MATCH($C20,Références!$A$2:$A$201,0)),"Ouvrir"))</f>
        <v>Ouvrir</v>
      </c>
      <c r="L20" s="65" t="str">
        <f ca="1">IF($C20="","",IF(INDEX(Références!$BB$2:$BB$201,MATCH($C20,Références!$A$2:$A$201,0))="","",HYPERLINK(DossierPDF&amp;INDEX(Références!$BB$2:$BB$201,MATCH($C20,Références!$A$2:$A$201,0)),"PDF")))</f>
        <v>PDF</v>
      </c>
    </row>
    <row r="21" spans="2:12" ht="30" customHeight="1" x14ac:dyDescent="0.25">
      <c r="B21" s="64">
        <v>12</v>
      </c>
      <c r="C21" s="38" t="str">
        <f>IFERROR(INDEX(Références!$A$2:$A$201,MATCH("1-12",Références!$AY$2:$AY$201,0)),"")</f>
        <v>BIB-012</v>
      </c>
      <c r="D21" s="3" t="str">
        <f>IF($C21="","",INDEX(Références!$C$2:$C$201,MATCH($C21,Références!$A$2:$A$201,0)))</f>
        <v>Tielking &amp; Roberts (1987)</v>
      </c>
      <c r="E21" s="3" t="str">
        <f>IF($C21="","",INDEX(Références!$D$2:$D$201,MATCH($C21,Références!$A$2:$A$201,0)))</f>
        <v>Tire contact pressure and its effect on pavement strain</v>
      </c>
      <c r="F21" s="38" t="str">
        <f>IF($C21="","",INDEX(Références!$H$2:$H$201,MATCH($C21,Références!$A$2:$A$201,0)))</f>
        <v>Important</v>
      </c>
      <c r="G21" s="64">
        <f>IF($C21="","",INDEX(Références!$G$2:$G$201,MATCH($C21,Références!$A$2:$A$201,0)))</f>
        <v>1</v>
      </c>
      <c r="H21" s="38" t="str">
        <f>IF($C21="","",INDEX(Références!$J$2:$J$201,MATCH($C21,Références!$A$2:$A$201,0)))</f>
        <v>À lire</v>
      </c>
      <c r="I21" s="38" t="str">
        <f ca="1">IF($C21="","",INDEX(Références!$K$2:$K$201,MATCH($C21,Références!$A$2:$A$201,0)))</f>
        <v>Ce mois-ci</v>
      </c>
      <c r="J21" s="64">
        <f>IF($C21="","",INDEX(Références!$AT$2:$AT$201,MATCH($C21,Références!$A$2:$A$201,0)))</f>
        <v>3</v>
      </c>
      <c r="K21" s="65" t="str">
        <f>IF($C21="","",HYPERLINK(INDEX(Références!$AF$2:$AF$201,MATCH($C21,Références!$A$2:$A$201,0)),"Ouvrir"))</f>
        <v>Ouvrir</v>
      </c>
      <c r="L21" s="65" t="str">
        <f ca="1">IF($C21="","",IF(INDEX(Références!$BB$2:$BB$201,MATCH($C21,Références!$A$2:$A$201,0))="","",HYPERLINK(DossierPDF&amp;INDEX(Références!$BB$2:$BB$201,MATCH($C21,Références!$A$2:$A$201,0)),"PDF")))</f>
        <v>PDF</v>
      </c>
    </row>
    <row r="22" spans="2:12" ht="30" customHeight="1" x14ac:dyDescent="0.25">
      <c r="B22" s="64">
        <v>13</v>
      </c>
      <c r="C22" s="38" t="str">
        <f>IFERROR(INDEX(Références!$A$2:$A$201,MATCH("1-13",Références!$AY$2:$AY$201,0)),"")</f>
        <v>BIB-013</v>
      </c>
      <c r="D22" s="3" t="str">
        <f>IF($C22="","",INDEX(Références!$C$2:$C$201,MATCH($C22,Références!$A$2:$A$201,0)))</f>
        <v>Guan et al. (2023)</v>
      </c>
      <c r="E22" s="3" t="str">
        <f>IF($C22="","",INDEX(Références!$D$2:$D$201,MATCH($C22,Références!$A$2:$A$201,0)))</f>
        <v>Measurement of tire-pavement contact tri-axial stress distribution based on sensor array</v>
      </c>
      <c r="F22" s="38" t="str">
        <f>IF($C22="","",INDEX(Références!$H$2:$H$201,MATCH($C22,Références!$A$2:$A$201,0)))</f>
        <v>A consulter</v>
      </c>
      <c r="G22" s="64">
        <f>IF($C22="","",INDEX(Références!$G$2:$G$201,MATCH($C22,Références!$A$2:$A$201,0)))</f>
        <v>1</v>
      </c>
      <c r="H22" s="38" t="str">
        <f>IF($C22="","",INDEX(Références!$J$2:$J$201,MATCH($C22,Références!$A$2:$A$201,0)))</f>
        <v>À lire</v>
      </c>
      <c r="I22" s="38" t="str">
        <f ca="1">IF($C22="","",INDEX(Références!$K$2:$K$201,MATCH($C22,Références!$A$2:$A$201,0)))</f>
        <v>Ce mois-ci</v>
      </c>
      <c r="J22" s="64">
        <f>IF($C22="","",INDEX(Références!$AT$2:$AT$201,MATCH($C22,Références!$A$2:$A$201,0)))</f>
        <v>1</v>
      </c>
      <c r="K22" s="65" t="str">
        <f>IF($C22="","",HYPERLINK(INDEX(Références!$AF$2:$AF$201,MATCH($C22,Références!$A$2:$A$201,0)),"Ouvrir"))</f>
        <v>Ouvrir</v>
      </c>
      <c r="L22" s="65" t="str">
        <f ca="1">IF($C22="","",IF(INDEX(Références!$BB$2:$BB$201,MATCH($C22,Références!$A$2:$A$201,0))="","",HYPERLINK(DossierPDF&amp;INDEX(Références!$BB$2:$BB$201,MATCH($C22,Références!$A$2:$A$201,0)),"PDF")))</f>
        <v>PDF</v>
      </c>
    </row>
    <row r="23" spans="2:12" ht="30" customHeight="1" x14ac:dyDescent="0.25">
      <c r="B23" s="64">
        <v>14</v>
      </c>
      <c r="C23" s="38" t="str">
        <f>IFERROR(INDEX(Références!$A$2:$A$201,MATCH("1-14",Références!$AY$2:$AY$201,0)),"")</f>
        <v>BIB-014</v>
      </c>
      <c r="D23" s="3" t="str">
        <f>IF($C23="","",INDEX(Références!$C$2:$C$201,MATCH($C23,Références!$A$2:$A$201,0)))</f>
        <v>Luo et al. (2025)</v>
      </c>
      <c r="E23" s="3" t="str">
        <f>IF($C23="","",INDEX(Références!$D$2:$D$201,MATCH($C23,Références!$A$2:$A$201,0)))</f>
        <v>Tire-pavement contact behavior: A simplified model for predictive surface contact analysis</v>
      </c>
      <c r="F23" s="38" t="str">
        <f>IF($C23="","",INDEX(Références!$H$2:$H$201,MATCH($C23,Références!$A$2:$A$201,0)))</f>
        <v>A consulter</v>
      </c>
      <c r="G23" s="64">
        <f>IF($C23="","",INDEX(Références!$G$2:$G$201,MATCH($C23,Références!$A$2:$A$201,0)))</f>
        <v>1</v>
      </c>
      <c r="H23" s="38" t="str">
        <f>IF($C23="","",INDEX(Références!$J$2:$J$201,MATCH($C23,Références!$A$2:$A$201,0)))</f>
        <v>À lire</v>
      </c>
      <c r="I23" s="38" t="str">
        <f ca="1">IF($C23="","",INDEX(Références!$K$2:$K$201,MATCH($C23,Références!$A$2:$A$201,0)))</f>
        <v>Ce mois-ci</v>
      </c>
      <c r="J23" s="64">
        <f>IF($C23="","",INDEX(Références!$AT$2:$AT$201,MATCH($C23,Références!$A$2:$A$201,0)))</f>
        <v>1</v>
      </c>
      <c r="K23" s="65" t="str">
        <f>IF($C23="","",HYPERLINK(INDEX(Références!$AF$2:$AF$201,MATCH($C23,Références!$A$2:$A$201,0)),"Ouvrir"))</f>
        <v>Ouvrir</v>
      </c>
      <c r="L23" s="65" t="str">
        <f ca="1">IF($C23="","",IF(INDEX(Références!$BB$2:$BB$201,MATCH($C23,Références!$A$2:$A$201,0))="","",HYPERLINK(DossierPDF&amp;INDEX(Références!$BB$2:$BB$201,MATCH($C23,Références!$A$2:$A$201,0)),"PDF")))</f>
        <v>PDF</v>
      </c>
    </row>
    <row r="24" spans="2:12" ht="30" customHeight="1" x14ac:dyDescent="0.25">
      <c r="B24" s="64">
        <v>15</v>
      </c>
      <c r="C24" s="38" t="str">
        <f>IFERROR(INDEX(Références!$A$2:$A$201,MATCH("1-15",Références!$AY$2:$AY$201,0)),"")</f>
        <v>BIB-015</v>
      </c>
      <c r="D24" s="3" t="str">
        <f>IF($C24="","",INDEX(Références!$C$2:$C$201,MATCH($C24,Références!$A$2:$A$201,0)))</f>
        <v>Song et al. (2025)</v>
      </c>
      <c r="E24" s="3" t="str">
        <f>IF($C24="","",INDEX(Références!$D$2:$D$201,MATCH($C24,Références!$A$2:$A$201,0)))</f>
        <v>High-precision normal stress measurement methods for tire–road contact and its spatial and frequency domain distribution characteristics</v>
      </c>
      <c r="F24" s="38" t="str">
        <f>IF($C24="","",INDEX(Références!$H$2:$H$201,MATCH($C24,Références!$A$2:$A$201,0)))</f>
        <v>A consulter</v>
      </c>
      <c r="G24" s="64">
        <f>IF($C24="","",INDEX(Références!$G$2:$G$201,MATCH($C24,Références!$A$2:$A$201,0)))</f>
        <v>1</v>
      </c>
      <c r="H24" s="38" t="str">
        <f>IF($C24="","",INDEX(Références!$J$2:$J$201,MATCH($C24,Références!$A$2:$A$201,0)))</f>
        <v>À lire</v>
      </c>
      <c r="I24" s="38" t="str">
        <f ca="1">IF($C24="","",INDEX(Références!$K$2:$K$201,MATCH($C24,Références!$A$2:$A$201,0)))</f>
        <v>Ce mois-ci</v>
      </c>
      <c r="J24" s="64">
        <f>IF($C24="","",INDEX(Références!$AT$2:$AT$201,MATCH($C24,Références!$A$2:$A$201,0)))</f>
        <v>1</v>
      </c>
      <c r="K24" s="65" t="str">
        <f>IF($C24="","",HYPERLINK(INDEX(Références!$AF$2:$AF$201,MATCH($C24,Références!$A$2:$A$201,0)),"Ouvrir"))</f>
        <v>Ouvrir</v>
      </c>
      <c r="L24" s="65" t="str">
        <f ca="1">IF($C24="","",IF(INDEX(Références!$BB$2:$BB$201,MATCH($C24,Références!$A$2:$A$201,0))="","",HYPERLINK(DossierPDF&amp;INDEX(Références!$BB$2:$BB$201,MATCH($C24,Références!$A$2:$A$201,0)),"PDF")))</f>
        <v>PDF</v>
      </c>
    </row>
    <row r="25" spans="2:12" ht="30" customHeight="1" x14ac:dyDescent="0.25">
      <c r="B25" s="64">
        <v>16</v>
      </c>
      <c r="C25" s="38" t="str">
        <f>IFERROR(INDEX(Références!$A$2:$A$201,MATCH("1-16",Références!$AY$2:$AY$201,0)),"")</f>
        <v>BIB-016</v>
      </c>
      <c r="D25" s="3" t="str">
        <f>IF($C25="","",INDEX(Références!$C$2:$C$201,MATCH($C25,Références!$A$2:$A$201,0)))</f>
        <v>Tielking (1989)</v>
      </c>
      <c r="E25" s="3" t="str">
        <f>IF($C25="","",INDEX(Références!$D$2:$D$201,MATCH($C25,Références!$A$2:$A$201,0)))</f>
        <v>Aircraft tire/pavement pressure distributions</v>
      </c>
      <c r="F25" s="38" t="str">
        <f>IF($C25="","",INDEX(Références!$H$2:$H$201,MATCH($C25,Références!$A$2:$A$201,0)))</f>
        <v>A consulter</v>
      </c>
      <c r="G25" s="64">
        <f>IF($C25="","",INDEX(Références!$G$2:$G$201,MATCH($C25,Références!$A$2:$A$201,0)))</f>
        <v>1</v>
      </c>
      <c r="H25" s="38" t="str">
        <f>IF($C25="","",INDEX(Références!$J$2:$J$201,MATCH($C25,Références!$A$2:$A$201,0)))</f>
        <v>À lire</v>
      </c>
      <c r="I25" s="38" t="str">
        <f ca="1">IF($C25="","",INDEX(Références!$K$2:$K$201,MATCH($C25,Références!$A$2:$A$201,0)))</f>
        <v>Ce mois-ci</v>
      </c>
      <c r="J25" s="64">
        <f>IF($C25="","",INDEX(Références!$AT$2:$AT$201,MATCH($C25,Références!$A$2:$A$201,0)))</f>
        <v>1</v>
      </c>
      <c r="K25" s="65" t="str">
        <f>IF($C25="","",HYPERLINK(INDEX(Références!$AF$2:$AF$201,MATCH($C25,Références!$A$2:$A$201,0)),"Ouvrir"))</f>
        <v>Ouvrir</v>
      </c>
      <c r="L25" s="65" t="str">
        <f ca="1">IF($C25="","",IF(INDEX(Références!$BB$2:$BB$201,MATCH($C25,Références!$A$2:$A$201,0))="","",HYPERLINK(DossierPDF&amp;INDEX(Références!$BB$2:$BB$201,MATCH($C25,Références!$A$2:$A$201,0)),"PDF")))</f>
        <v>PDF</v>
      </c>
    </row>
    <row r="26" spans="2:12" ht="30" customHeight="1" x14ac:dyDescent="0.25">
      <c r="B26" s="64">
        <v>17</v>
      </c>
      <c r="C26" s="38" t="str">
        <f>IFERROR(INDEX(Références!$A$2:$A$201,MATCH("1-17",Références!$AY$2:$AY$201,0)),"")</f>
        <v>BIB-017</v>
      </c>
      <c r="D26" s="3" t="str">
        <f>IF($C26="","",INDEX(Références!$C$2:$C$201,MATCH($C26,Références!$A$2:$A$201,0)))</f>
        <v>Wang et al. (2021)</v>
      </c>
      <c r="E26" s="3" t="str">
        <f>IF($C26="","",INDEX(Références!$D$2:$D$201,MATCH($C26,Références!$A$2:$A$201,0)))</f>
        <v>Characterization of dynamic response of asphalt pavement in dry and saturated conditions using the full-scale accelerated loading test</v>
      </c>
      <c r="F26" s="38" t="str">
        <f>IF($C26="","",INDEX(Références!$H$2:$H$201,MATCH($C26,Références!$A$2:$A$201,0)))</f>
        <v>A consulter</v>
      </c>
      <c r="G26" s="64">
        <f>IF($C26="","",INDEX(Références!$G$2:$G$201,MATCH($C26,Références!$A$2:$A$201,0)))</f>
        <v>1</v>
      </c>
      <c r="H26" s="38" t="str">
        <f>IF($C26="","",INDEX(Références!$J$2:$J$201,MATCH($C26,Références!$A$2:$A$201,0)))</f>
        <v>À lire</v>
      </c>
      <c r="I26" s="38" t="str">
        <f ca="1">IF($C26="","",INDEX(Références!$K$2:$K$201,MATCH($C26,Références!$A$2:$A$201,0)))</f>
        <v>Ce mois-ci</v>
      </c>
      <c r="J26" s="64">
        <f>IF($C26="","",INDEX(Références!$AT$2:$AT$201,MATCH($C26,Références!$A$2:$A$201,0)))</f>
        <v>1</v>
      </c>
      <c r="K26" s="65" t="str">
        <f>IF($C26="","",HYPERLINK(INDEX(Références!$AF$2:$AF$201,MATCH($C26,Références!$A$2:$A$201,0)),"Ouvrir"))</f>
        <v>Ouvrir</v>
      </c>
      <c r="L26" s="65" t="str">
        <f ca="1">IF($C26="","",IF(INDEX(Références!$BB$2:$BB$201,MATCH($C26,Références!$A$2:$A$201,0))="","",HYPERLINK(DossierPDF&amp;INDEX(Références!$BB$2:$BB$201,MATCH($C26,Références!$A$2:$A$201,0)),"PDF")))</f>
        <v>PDF</v>
      </c>
    </row>
    <row r="27" spans="2:12" ht="30" customHeight="1" x14ac:dyDescent="0.25">
      <c r="B27" s="64">
        <v>18</v>
      </c>
      <c r="C27" s="38" t="str">
        <f>IFERROR(INDEX(Références!$A$2:$A$201,MATCH("1-18",Références!$AY$2:$AY$201,0)),"")</f>
        <v>BIB-018</v>
      </c>
      <c r="D27" s="3" t="str">
        <f>IF($C27="","",INDEX(Références!$C$2:$C$201,MATCH($C27,Références!$A$2:$A$201,0)))</f>
        <v>Wesołowski et al. (2020)</v>
      </c>
      <c r="E27" s="3" t="str">
        <f>IF($C27="","",INDEX(Références!$D$2:$D$201,MATCH($C27,Références!$A$2:$A$201,0)))</f>
        <v>Analysis of the actual contact surface of selected aircraft tires with the airport pavement as a function of pressure and vertical load</v>
      </c>
      <c r="F27" s="38" t="str">
        <f>IF($C27="","",INDEX(Références!$H$2:$H$201,MATCH($C27,Références!$A$2:$A$201,0)))</f>
        <v>A consulter</v>
      </c>
      <c r="G27" s="64">
        <f>IF($C27="","",INDEX(Références!$G$2:$G$201,MATCH($C27,Références!$A$2:$A$201,0)))</f>
        <v>1</v>
      </c>
      <c r="H27" s="38" t="str">
        <f>IF($C27="","",INDEX(Références!$J$2:$J$201,MATCH($C27,Références!$A$2:$A$201,0)))</f>
        <v>À lire</v>
      </c>
      <c r="I27" s="38" t="str">
        <f ca="1">IF($C27="","",INDEX(Références!$K$2:$K$201,MATCH($C27,Références!$A$2:$A$201,0)))</f>
        <v>Ce mois-ci</v>
      </c>
      <c r="J27" s="64">
        <f>IF($C27="","",INDEX(Références!$AT$2:$AT$201,MATCH($C27,Références!$A$2:$A$201,0)))</f>
        <v>1</v>
      </c>
      <c r="K27" s="65" t="str">
        <f>IF($C27="","",HYPERLINK(INDEX(Références!$AF$2:$AF$201,MATCH($C27,Références!$A$2:$A$201,0)),"Ouvrir"))</f>
        <v>Ouvrir</v>
      </c>
      <c r="L27" s="65" t="str">
        <f ca="1">IF($C27="","",IF(INDEX(Références!$BB$2:$BB$201,MATCH($C27,Références!$A$2:$A$201,0))="","",HYPERLINK(DossierPDF&amp;INDEX(Références!$BB$2:$BB$201,MATCH($C27,Références!$A$2:$A$201,0)),"PDF")))</f>
        <v>PDF</v>
      </c>
    </row>
    <row r="28" spans="2:12" ht="30" customHeight="1" x14ac:dyDescent="0.25">
      <c r="B28" s="64">
        <v>19</v>
      </c>
      <c r="C28" s="38" t="str">
        <f>IFERROR(INDEX(Références!$A$2:$A$201,MATCH("1-19",Références!$AY$2:$AY$201,0)),"")</f>
        <v>BIB-167</v>
      </c>
      <c r="D28" s="3" t="str">
        <f>IF($C28="","",INDEX(Références!$C$2:$C$201,MATCH($C28,Références!$A$2:$A$201,0)))</f>
        <v>FAA (1997)</v>
      </c>
      <c r="E28" s="3" t="str">
        <f>IF($C28="","",INDEX(Références!$D$2:$D$201,MATCH($C28,Références!$A$2:$A$201,0)))</f>
        <v>Measurement, construction, and maintenance of skid-resistant airport pavement surfaces (AC 150/5320-12C)</v>
      </c>
      <c r="F28" s="38" t="str">
        <f>IF($C28="","",INDEX(Références!$H$2:$H$201,MATCH($C28,Références!$A$2:$A$201,0)))</f>
        <v>INCONTOURNABLE</v>
      </c>
      <c r="G28" s="64">
        <f>IF($C28="","",INDEX(Références!$G$2:$G$201,MATCH($C28,Références!$A$2:$A$201,0)))</f>
        <v>7</v>
      </c>
      <c r="H28" s="38" t="str">
        <f>IF($C28="","",INDEX(Références!$J$2:$J$201,MATCH($C28,Références!$A$2:$A$201,0)))</f>
        <v>À lire</v>
      </c>
      <c r="I28" s="38" t="str">
        <f ca="1">IF($C28="","",INDEX(Références!$K$2:$K$201,MATCH($C28,Références!$A$2:$A$201,0)))</f>
        <v>Ce mois-ci</v>
      </c>
      <c r="J28" s="64">
        <f>IF($C28="","",INDEX(Références!$AT$2:$AT$201,MATCH($C28,Références!$A$2:$A$201,0)))</f>
        <v>6</v>
      </c>
      <c r="K28" s="65" t="str">
        <f>IF($C28="","",HYPERLINK(INDEX(Références!$AF$2:$AF$201,MATCH($C28,Références!$A$2:$A$201,0)),"Ouvrir"))</f>
        <v>Ouvrir</v>
      </c>
      <c r="L28" s="65" t="str">
        <f ca="1">IF($C28="","",IF(INDEX(Références!$BB$2:$BB$201,MATCH($C28,Références!$A$2:$A$201,0))="","",HYPERLINK(DossierPDF&amp;INDEX(Références!$BB$2:$BB$201,MATCH($C28,Références!$A$2:$A$201,0)),"PDF")))</f>
        <v>PDF</v>
      </c>
    </row>
    <row r="29" spans="2:12" ht="30" customHeight="1" x14ac:dyDescent="0.25">
      <c r="B29" s="64">
        <v>20</v>
      </c>
      <c r="C29" s="38" t="str">
        <f>IFERROR(INDEX(Références!$A$2:$A$201,MATCH("1-20",Références!$AY$2:$AY$201,0)),"")</f>
        <v>BIB-168</v>
      </c>
      <c r="D29" s="3" t="str">
        <f>IF($C29="","",INDEX(Références!$C$2:$C$201,MATCH($C29,Références!$A$2:$A$201,0)))</f>
        <v>Fabre et al. (2009)</v>
      </c>
      <c r="E29" s="3" t="str">
        <f>IF($C29="","",INDEX(Références!$D$2:$D$201,MATCH($C29,Références!$A$2:$A$201,0)))</f>
        <v>Full-scale aircraft tire pressure tests</v>
      </c>
      <c r="F29" s="38" t="str">
        <f>IF($C29="","",INDEX(Références!$H$2:$H$201,MATCH($C29,Références!$A$2:$A$201,0)))</f>
        <v>Important</v>
      </c>
      <c r="G29" s="64">
        <f>IF($C29="","",INDEX(Références!$G$2:$G$201,MATCH($C29,Références!$A$2:$A$201,0)))</f>
        <v>7</v>
      </c>
      <c r="H29" s="38" t="str">
        <f>IF($C29="","",INDEX(Références!$J$2:$J$201,MATCH($C29,Références!$A$2:$A$201,0)))</f>
        <v>À lire</v>
      </c>
      <c r="I29" s="38" t="str">
        <f ca="1">IF($C29="","",INDEX(Références!$K$2:$K$201,MATCH($C29,Références!$A$2:$A$201,0)))</f>
        <v>Ce mois-ci</v>
      </c>
      <c r="J29" s="64">
        <f>IF($C29="","",INDEX(Références!$AT$2:$AT$201,MATCH($C29,Références!$A$2:$A$201,0)))</f>
        <v>3</v>
      </c>
      <c r="K29" s="65" t="str">
        <f>IF($C29="","",HYPERLINK(INDEX(Références!$AF$2:$AF$201,MATCH($C29,Références!$A$2:$A$201,0)),"Ouvrir"))</f>
        <v>Ouvrir</v>
      </c>
      <c r="L29" s="65" t="str">
        <f>IF($C29="","",IF(INDEX(Références!$BB$2:$BB$201,MATCH($C29,Références!$A$2:$A$201,0))="","",HYPERLINK(DossierPDF&amp;INDEX(Références!$BB$2:$BB$201,MATCH($C29,Références!$A$2:$A$201,0)),"PDF")))</f>
        <v/>
      </c>
    </row>
    <row r="30" spans="2:12" ht="30" customHeight="1" x14ac:dyDescent="0.25">
      <c r="B30" s="64">
        <v>21</v>
      </c>
      <c r="C30" s="38" t="str">
        <f>IFERROR(INDEX(Références!$A$2:$A$201,MATCH("1-21",Références!$AY$2:$AY$201,0)),"")</f>
        <v/>
      </c>
      <c r="D30" s="3" t="str">
        <f>IF($C30="","",INDEX(Références!$C$2:$C$201,MATCH($C30,Références!$A$2:$A$201,0)))</f>
        <v/>
      </c>
      <c r="E30" s="3" t="str">
        <f>IF($C30="","",INDEX(Références!$D$2:$D$201,MATCH($C30,Références!$A$2:$A$201,0)))</f>
        <v/>
      </c>
      <c r="F30" s="38" t="str">
        <f>IF($C30="","",INDEX(Références!$H$2:$H$201,MATCH($C30,Références!$A$2:$A$201,0)))</f>
        <v/>
      </c>
      <c r="G30" s="64" t="str">
        <f>IF($C30="","",INDEX(Références!$G$2:$G$201,MATCH($C30,Références!$A$2:$A$201,0)))</f>
        <v/>
      </c>
      <c r="H30" s="38" t="str">
        <f>IF($C30="","",INDEX(Références!$J$2:$J$201,MATCH($C30,Références!$A$2:$A$201,0)))</f>
        <v/>
      </c>
      <c r="I30" s="38" t="str">
        <f>IF($C30="","",INDEX(Références!$K$2:$K$201,MATCH($C30,Références!$A$2:$A$201,0)))</f>
        <v/>
      </c>
      <c r="J30" s="64" t="str">
        <f>IF($C30="","",INDEX(Références!$AT$2:$AT$201,MATCH($C30,Références!$A$2:$A$201,0)))</f>
        <v/>
      </c>
      <c r="K30" s="65" t="str">
        <f>IF($C30="","",HYPERLINK(INDEX(Références!$AF$2:$AF$201,MATCH($C30,Références!$A$2:$A$201,0)),"Ouvrir"))</f>
        <v/>
      </c>
      <c r="L30" s="65" t="str">
        <f>IF($C30="","",IF(INDEX(Références!$BB$2:$BB$201,MATCH($C30,Références!$A$2:$A$201,0))="","",HYPERLINK(DossierPDF&amp;INDEX(Références!$BB$2:$BB$201,MATCH($C30,Références!$A$2:$A$201,0)),"PDF")))</f>
        <v/>
      </c>
    </row>
    <row r="31" spans="2:12" ht="30" customHeight="1" x14ac:dyDescent="0.25">
      <c r="B31" s="64">
        <v>22</v>
      </c>
      <c r="C31" s="38" t="str">
        <f>IFERROR(INDEX(Références!$A$2:$A$201,MATCH("1-22",Références!$AY$2:$AY$201,0)),"")</f>
        <v/>
      </c>
      <c r="D31" s="3" t="str">
        <f>IF($C31="","",INDEX(Références!$C$2:$C$201,MATCH($C31,Références!$A$2:$A$201,0)))</f>
        <v/>
      </c>
      <c r="E31" s="3" t="str">
        <f>IF($C31="","",INDEX(Références!$D$2:$D$201,MATCH($C31,Références!$A$2:$A$201,0)))</f>
        <v/>
      </c>
      <c r="F31" s="38" t="str">
        <f>IF($C31="","",INDEX(Références!$H$2:$H$201,MATCH($C31,Références!$A$2:$A$201,0)))</f>
        <v/>
      </c>
      <c r="G31" s="64" t="str">
        <f>IF($C31="","",INDEX(Références!$G$2:$G$201,MATCH($C31,Références!$A$2:$A$201,0)))</f>
        <v/>
      </c>
      <c r="H31" s="38" t="str">
        <f>IF($C31="","",INDEX(Références!$J$2:$J$201,MATCH($C31,Références!$A$2:$A$201,0)))</f>
        <v/>
      </c>
      <c r="I31" s="38" t="str">
        <f>IF($C31="","",INDEX(Références!$K$2:$K$201,MATCH($C31,Références!$A$2:$A$201,0)))</f>
        <v/>
      </c>
      <c r="J31" s="64" t="str">
        <f>IF($C31="","",INDEX(Références!$AT$2:$AT$201,MATCH($C31,Références!$A$2:$A$201,0)))</f>
        <v/>
      </c>
      <c r="K31" s="65" t="str">
        <f>IF($C31="","",HYPERLINK(INDEX(Références!$AF$2:$AF$201,MATCH($C31,Références!$A$2:$A$201,0)),"Ouvrir"))</f>
        <v/>
      </c>
      <c r="L31" s="65" t="str">
        <f>IF($C31="","",IF(INDEX(Références!$BB$2:$BB$201,MATCH($C31,Références!$A$2:$A$201,0))="","",HYPERLINK(DossierPDF&amp;INDEX(Références!$BB$2:$BB$201,MATCH($C31,Références!$A$2:$A$201,0)),"PDF")))</f>
        <v/>
      </c>
    </row>
    <row r="32" spans="2:12" ht="30" customHeight="1" x14ac:dyDescent="0.25">
      <c r="B32" s="64">
        <v>23</v>
      </c>
      <c r="C32" s="38" t="str">
        <f>IFERROR(INDEX(Références!$A$2:$A$201,MATCH("1-23",Références!$AY$2:$AY$201,0)),"")</f>
        <v/>
      </c>
      <c r="D32" s="3" t="str">
        <f>IF($C32="","",INDEX(Références!$C$2:$C$201,MATCH($C32,Références!$A$2:$A$201,0)))</f>
        <v/>
      </c>
      <c r="E32" s="3" t="str">
        <f>IF($C32="","",INDEX(Références!$D$2:$D$201,MATCH($C32,Références!$A$2:$A$201,0)))</f>
        <v/>
      </c>
      <c r="F32" s="38" t="str">
        <f>IF($C32="","",INDEX(Références!$H$2:$H$201,MATCH($C32,Références!$A$2:$A$201,0)))</f>
        <v/>
      </c>
      <c r="G32" s="64" t="str">
        <f>IF($C32="","",INDEX(Références!$G$2:$G$201,MATCH($C32,Références!$A$2:$A$201,0)))</f>
        <v/>
      </c>
      <c r="H32" s="38" t="str">
        <f>IF($C32="","",INDEX(Références!$J$2:$J$201,MATCH($C32,Références!$A$2:$A$201,0)))</f>
        <v/>
      </c>
      <c r="I32" s="38" t="str">
        <f>IF($C32="","",INDEX(Références!$K$2:$K$201,MATCH($C32,Références!$A$2:$A$201,0)))</f>
        <v/>
      </c>
      <c r="J32" s="64" t="str">
        <f>IF($C32="","",INDEX(Références!$AT$2:$AT$201,MATCH($C32,Références!$A$2:$A$201,0)))</f>
        <v/>
      </c>
      <c r="K32" s="65" t="str">
        <f>IF($C32="","",HYPERLINK(INDEX(Références!$AF$2:$AF$201,MATCH($C32,Références!$A$2:$A$201,0)),"Ouvrir"))</f>
        <v/>
      </c>
      <c r="L32" s="65" t="str">
        <f>IF($C32="","",IF(INDEX(Références!$BB$2:$BB$201,MATCH($C32,Références!$A$2:$A$201,0))="","",HYPERLINK(DossierPDF&amp;INDEX(Références!$BB$2:$BB$201,MATCH($C32,Références!$A$2:$A$201,0)),"PDF")))</f>
        <v/>
      </c>
    </row>
    <row r="34" spans="2:12" ht="21.75" customHeight="1" x14ac:dyDescent="0.25">
      <c r="B34" s="77" t="s">
        <v>2914</v>
      </c>
      <c r="C34" s="77"/>
      <c r="D34" s="77"/>
      <c r="E34" s="77"/>
      <c r="F34" s="77"/>
      <c r="G34" s="77"/>
      <c r="H34" s="77"/>
      <c r="I34" s="77"/>
      <c r="J34" s="77"/>
      <c r="K34" s="77"/>
    </row>
    <row r="35" spans="2:12" ht="57.95" customHeight="1" x14ac:dyDescent="0.25">
      <c r="B35" s="60" t="s">
        <v>2909</v>
      </c>
      <c r="C35" s="78" t="s">
        <v>4096</v>
      </c>
      <c r="D35" s="78"/>
      <c r="E35" s="78"/>
      <c r="F35" s="78"/>
      <c r="G35" s="78"/>
      <c r="H35" s="78"/>
      <c r="I35" s="78"/>
      <c r="J35" s="78"/>
      <c r="K35" s="78"/>
    </row>
    <row r="36" spans="2:12" ht="43.5" customHeight="1" x14ac:dyDescent="0.25">
      <c r="B36" s="60" t="s">
        <v>2910</v>
      </c>
      <c r="C36" s="78" t="s">
        <v>2915</v>
      </c>
      <c r="D36" s="78"/>
      <c r="E36" s="78"/>
      <c r="F36" s="78"/>
      <c r="G36" s="78"/>
      <c r="H36" s="78"/>
      <c r="I36" s="78"/>
      <c r="J36" s="78"/>
      <c r="K36" s="78"/>
    </row>
    <row r="37" spans="2:12" x14ac:dyDescent="0.25">
      <c r="B37" s="61" t="s">
        <v>2912</v>
      </c>
      <c r="C37" s="79" t="str">
        <f>COUNTIF(Références!$I$2:$I$201,2)&amp;" références, "&amp;COUNTIFS(Références!$I$2:$I$201,2,Références!$J$2:$J$201,"Lu")&amp;" lues"</f>
        <v>29 références, 0 lues</v>
      </c>
      <c r="D37" s="79"/>
      <c r="E37" s="1" t="str">
        <f>"Heures restantes : "&amp;(SUMIFS(Références!$AT$2:$AT$201,Références!$I$2:$I$201,2)-SUMIFS(Références!$AT$2:$AT$201,Références!$I$2:$I$201,2,Références!$J$2:$J$201,"Lu")-SUMIFS(Références!$AT$2:$AT$201,Références!$I$2:$I$201,2,Références!$J$2:$J$201,"Écarté"))&amp;" h sur "&amp;SUMIFS(Références!$AT$2:$AT$201,Références!$I$2:$I$201,2)&amp;" h prévues"</f>
        <v>Heures restantes : 70 h sur 70 h prévues</v>
      </c>
      <c r="F37" s="62" t="str">
        <f ca="1">IF(COUNTIF(Références!$I$2:$I$201,2)-COUNTIFS(Références!$I$2:$I$201,2,Références!$J$2:$J$201,"Lu")-COUNTIFS(Références!$I$2:$I$201,2,Références!$J$2:$J$201,"Écarté")=0,"Terminé",IF(2&lt;Paramètres!$C$8,"En retard",IF(2=Paramètres!$C$8,"En cours","À venir")))</f>
        <v>À venir</v>
      </c>
    </row>
    <row r="38" spans="2:12" ht="18" customHeight="1" x14ac:dyDescent="0.25">
      <c r="B38" s="63" t="s">
        <v>205</v>
      </c>
      <c r="C38" s="63" t="s">
        <v>51</v>
      </c>
      <c r="D38" s="63" t="s">
        <v>169</v>
      </c>
      <c r="E38" s="63" t="s">
        <v>173</v>
      </c>
      <c r="F38" s="63" t="s">
        <v>170</v>
      </c>
      <c r="G38" s="63" t="s">
        <v>119</v>
      </c>
      <c r="H38" s="63" t="s">
        <v>1662</v>
      </c>
      <c r="I38" s="63" t="s">
        <v>152</v>
      </c>
      <c r="J38" s="63" t="s">
        <v>2913</v>
      </c>
      <c r="K38" s="63" t="s">
        <v>172</v>
      </c>
      <c r="L38" s="63" t="s">
        <v>64</v>
      </c>
    </row>
    <row r="39" spans="2:12" ht="30" customHeight="1" x14ac:dyDescent="0.25">
      <c r="B39" s="64">
        <v>1</v>
      </c>
      <c r="C39" s="38" t="str">
        <f>IFERROR(INDEX(Références!$A$2:$A$201,MATCH("2-1",Références!$AY$2:$AY$201,0)),"")</f>
        <v>BIB-019</v>
      </c>
      <c r="D39" s="3" t="str">
        <f>IF($C39="","",INDEX(Références!$C$2:$C$201,MATCH($C39,Références!$A$2:$A$201,0)))</f>
        <v>Di Benedetto et al. (2004)</v>
      </c>
      <c r="E39" s="3" t="str">
        <f>IF($C39="","",INDEX(Références!$D$2:$D$201,MATCH($C39,Références!$A$2:$A$201,0)))</f>
        <v>Linear viscoelastic behaviour of bituminous materials: From binders to mixes</v>
      </c>
      <c r="F39" s="38" t="str">
        <f>IF($C39="","",INDEX(Références!$H$2:$H$201,MATCH($C39,Références!$A$2:$A$201,0)))</f>
        <v>INCONTOURNABLE</v>
      </c>
      <c r="G39" s="64">
        <f>IF($C39="","",INDEX(Références!$G$2:$G$201,MATCH($C39,Références!$A$2:$A$201,0)))</f>
        <v>3</v>
      </c>
      <c r="H39" s="38" t="str">
        <f>IF($C39="","",INDEX(Références!$J$2:$J$201,MATCH($C39,Références!$A$2:$A$201,0)))</f>
        <v>À lire</v>
      </c>
      <c r="I39" s="38" t="str">
        <f ca="1">IF($C39="","",INDEX(Références!$K$2:$K$201,MATCH($C39,Références!$A$2:$A$201,0)))</f>
        <v>Mois prochain</v>
      </c>
      <c r="J39" s="64">
        <f>IF($C39="","",INDEX(Références!$AT$2:$AT$201,MATCH($C39,Références!$A$2:$A$201,0)))</f>
        <v>6</v>
      </c>
      <c r="K39" s="65" t="str">
        <f>IF($C39="","",HYPERLINK(INDEX(Références!$AF$2:$AF$201,MATCH($C39,Références!$A$2:$A$201,0)),"Ouvrir"))</f>
        <v>Ouvrir</v>
      </c>
      <c r="L39" s="65" t="str">
        <f ca="1">IF($C39="","",IF(INDEX(Références!$BB$2:$BB$201,MATCH($C39,Références!$A$2:$A$201,0))="","",HYPERLINK(DossierPDF&amp;INDEX(Références!$BB$2:$BB$201,MATCH($C39,Références!$A$2:$A$201,0)),"PDF")))</f>
        <v>PDF</v>
      </c>
    </row>
    <row r="40" spans="2:12" ht="30" customHeight="1" x14ac:dyDescent="0.25">
      <c r="B40" s="64">
        <v>2</v>
      </c>
      <c r="C40" s="38" t="str">
        <f>IFERROR(INDEX(Références!$A$2:$A$201,MATCH("2-2",Références!$AY$2:$AY$201,0)),"")</f>
        <v>BIB-020</v>
      </c>
      <c r="D40" s="3" t="str">
        <f>IF($C40="","",INDEX(Références!$C$2:$C$201,MATCH($C40,Références!$A$2:$A$201,0)))</f>
        <v>Olard &amp; Di Benedetto (2003)</v>
      </c>
      <c r="E40" s="3" t="str">
        <f>IF($C40="","",INDEX(Références!$D$2:$D$201,MATCH($C40,Références!$A$2:$A$201,0)))</f>
        <v>General "2S2P1D" model and relation between the linear viscoelastic behaviours of bituminous binders and mixes</v>
      </c>
      <c r="F40" s="38" t="str">
        <f>IF($C40="","",INDEX(Références!$H$2:$H$201,MATCH($C40,Références!$A$2:$A$201,0)))</f>
        <v>INCONTOURNABLE</v>
      </c>
      <c r="G40" s="64">
        <f>IF($C40="","",INDEX(Références!$G$2:$G$201,MATCH($C40,Références!$A$2:$A$201,0)))</f>
        <v>3</v>
      </c>
      <c r="H40" s="38" t="str">
        <f>IF($C40="","",INDEX(Références!$J$2:$J$201,MATCH($C40,Références!$A$2:$A$201,0)))</f>
        <v>À lire</v>
      </c>
      <c r="I40" s="38" t="str">
        <f ca="1">IF($C40="","",INDEX(Références!$K$2:$K$201,MATCH($C40,Références!$A$2:$A$201,0)))</f>
        <v>Mois prochain</v>
      </c>
      <c r="J40" s="64">
        <f>IF($C40="","",INDEX(Références!$AT$2:$AT$201,MATCH($C40,Références!$A$2:$A$201,0)))</f>
        <v>6</v>
      </c>
      <c r="K40" s="65" t="str">
        <f>IF($C40="","",HYPERLINK(INDEX(Références!$AF$2:$AF$201,MATCH($C40,Références!$A$2:$A$201,0)),"Ouvrir"))</f>
        <v>Ouvrir</v>
      </c>
      <c r="L40" s="65" t="str">
        <f ca="1">IF($C40="","",IF(INDEX(Références!$BB$2:$BB$201,MATCH($C40,Références!$A$2:$A$201,0))="","",HYPERLINK(DossierPDF&amp;INDEX(Références!$BB$2:$BB$201,MATCH($C40,Références!$A$2:$A$201,0)),"PDF")))</f>
        <v>PDF</v>
      </c>
    </row>
    <row r="41" spans="2:12" ht="30" customHeight="1" x14ac:dyDescent="0.25">
      <c r="B41" s="64">
        <v>3</v>
      </c>
      <c r="C41" s="38" t="str">
        <f>IFERROR(INDEX(Références!$A$2:$A$201,MATCH("2-3",Références!$AY$2:$AY$201,0)),"")</f>
        <v>BIB-021</v>
      </c>
      <c r="D41" s="3" t="str">
        <f>IF($C41="","",INDEX(Références!$C$2:$C$201,MATCH($C41,Références!$A$2:$A$201,0)))</f>
        <v>Tiouajni et al. (2011)</v>
      </c>
      <c r="E41" s="3" t="str">
        <f>IF($C41="","",INDEX(Références!$D$2:$D$201,MATCH($C41,Références!$A$2:$A$201,0)))</f>
        <v>Approximation of linear viscoelastic model in the 3 dimensional case with mechanical analogues of finite size: Application to bituminous materials</v>
      </c>
      <c r="F41" s="38" t="str">
        <f>IF($C41="","",INDEX(Références!$H$2:$H$201,MATCH($C41,Références!$A$2:$A$201,0)))</f>
        <v>INCONTOURNABLE</v>
      </c>
      <c r="G41" s="64">
        <f>IF($C41="","",INDEX(Références!$G$2:$G$201,MATCH($C41,Références!$A$2:$A$201,0)))</f>
        <v>3</v>
      </c>
      <c r="H41" s="38" t="str">
        <f>IF($C41="","",INDEX(Références!$J$2:$J$201,MATCH($C41,Références!$A$2:$A$201,0)))</f>
        <v>À lire</v>
      </c>
      <c r="I41" s="38" t="str">
        <f ca="1">IF($C41="","",INDEX(Références!$K$2:$K$201,MATCH($C41,Références!$A$2:$A$201,0)))</f>
        <v>Mois prochain</v>
      </c>
      <c r="J41" s="64">
        <f>IF($C41="","",INDEX(Références!$AT$2:$AT$201,MATCH($C41,Références!$A$2:$A$201,0)))</f>
        <v>6</v>
      </c>
      <c r="K41" s="65" t="str">
        <f>IF($C41="","",HYPERLINK(INDEX(Références!$AF$2:$AF$201,MATCH($C41,Références!$A$2:$A$201,0)),"Ouvrir"))</f>
        <v>Ouvrir</v>
      </c>
      <c r="L41" s="65" t="str">
        <f ca="1">IF($C41="","",IF(INDEX(Références!$BB$2:$BB$201,MATCH($C41,Références!$A$2:$A$201,0))="","",HYPERLINK(DossierPDF&amp;INDEX(Références!$BB$2:$BB$201,MATCH($C41,Références!$A$2:$A$201,0)),"PDF")))</f>
        <v>PDF</v>
      </c>
    </row>
    <row r="42" spans="2:12" ht="30" customHeight="1" x14ac:dyDescent="0.25">
      <c r="B42" s="64">
        <v>4</v>
      </c>
      <c r="C42" s="38" t="str">
        <f>IFERROR(INDEX(Références!$A$2:$A$201,MATCH("2-4",Références!$AY$2:$AY$201,0)),"")</f>
        <v>BIB-022</v>
      </c>
      <c r="D42" s="3" t="str">
        <f>IF($C42="","",INDEX(Références!$C$2:$C$201,MATCH($C42,Références!$A$2:$A$201,0)))</f>
        <v>De Beer et al. (1997)</v>
      </c>
      <c r="E42" s="3" t="str">
        <f>IF($C42="","",INDEX(Références!$D$2:$D$201,MATCH($C42,Références!$A$2:$A$201,0)))</f>
        <v>Determination of pneumatic tyre/pavement interface contact stresses under moving loads and some effects on pavements with thin asphalt surfacing layers</v>
      </c>
      <c r="F42" s="38" t="str">
        <f>IF($C42="","",INDEX(Références!$H$2:$H$201,MATCH($C42,Références!$A$2:$A$201,0)))</f>
        <v>Important</v>
      </c>
      <c r="G42" s="64">
        <f>IF($C42="","",INDEX(Références!$G$2:$G$201,MATCH($C42,Références!$A$2:$A$201,0)))</f>
        <v>1</v>
      </c>
      <c r="H42" s="38" t="str">
        <f>IF($C42="","",INDEX(Références!$J$2:$J$201,MATCH($C42,Références!$A$2:$A$201,0)))</f>
        <v>À lire</v>
      </c>
      <c r="I42" s="38" t="str">
        <f ca="1">IF($C42="","",INDEX(Références!$K$2:$K$201,MATCH($C42,Références!$A$2:$A$201,0)))</f>
        <v>Mois prochain</v>
      </c>
      <c r="J42" s="64">
        <f>IF($C42="","",INDEX(Références!$AT$2:$AT$201,MATCH($C42,Références!$A$2:$A$201,0)))</f>
        <v>3</v>
      </c>
      <c r="K42" s="65" t="str">
        <f>IF($C42="","",HYPERLINK(INDEX(Références!$AF$2:$AF$201,MATCH($C42,Références!$A$2:$A$201,0)),"Ouvrir"))</f>
        <v>Ouvrir</v>
      </c>
      <c r="L42" s="65" t="str">
        <f ca="1">IF($C42="","",IF(INDEX(Références!$BB$2:$BB$201,MATCH($C42,Références!$A$2:$A$201,0))="","",HYPERLINK(DossierPDF&amp;INDEX(Références!$BB$2:$BB$201,MATCH($C42,Références!$A$2:$A$201,0)),"PDF")))</f>
        <v>PDF</v>
      </c>
    </row>
    <row r="43" spans="2:12" ht="30" customHeight="1" x14ac:dyDescent="0.25">
      <c r="B43" s="64">
        <v>5</v>
      </c>
      <c r="C43" s="38" t="str">
        <f>IFERROR(INDEX(Références!$A$2:$A$201,MATCH("2-5",Références!$AY$2:$AY$201,0)),"")</f>
        <v>BIB-023</v>
      </c>
      <c r="D43" s="3" t="str">
        <f>IF($C43="","",INDEX(Références!$C$2:$C$201,MATCH($C43,Références!$A$2:$A$201,0)))</f>
        <v>De Beer et al. (2002)</v>
      </c>
      <c r="E43" s="3" t="str">
        <f>IF($C43="","",INDEX(Références!$D$2:$D$201,MATCH($C43,Références!$A$2:$A$201,0)))</f>
        <v>Evaluation of non-uniform tyre contact stresses on thin asphalt pavements</v>
      </c>
      <c r="F43" s="38" t="str">
        <f>IF($C43="","",INDEX(Références!$H$2:$H$201,MATCH($C43,Références!$A$2:$A$201,0)))</f>
        <v>Important</v>
      </c>
      <c r="G43" s="64">
        <f>IF($C43="","",INDEX(Références!$G$2:$G$201,MATCH($C43,Références!$A$2:$A$201,0)))</f>
        <v>1</v>
      </c>
      <c r="H43" s="38" t="str">
        <f>IF($C43="","",INDEX(Références!$J$2:$J$201,MATCH($C43,Références!$A$2:$A$201,0)))</f>
        <v>À lire</v>
      </c>
      <c r="I43" s="38" t="str">
        <f ca="1">IF($C43="","",INDEX(Références!$K$2:$K$201,MATCH($C43,Références!$A$2:$A$201,0)))</f>
        <v>Mois prochain</v>
      </c>
      <c r="J43" s="64">
        <f>IF($C43="","",INDEX(Références!$AT$2:$AT$201,MATCH($C43,Références!$A$2:$A$201,0)))</f>
        <v>3</v>
      </c>
      <c r="K43" s="65" t="str">
        <f>IF($C43="","",HYPERLINK(INDEX(Références!$AF$2:$AF$201,MATCH($C43,Références!$A$2:$A$201,0)),"Ouvrir"))</f>
        <v>Ouvrir</v>
      </c>
      <c r="L43" s="65" t="str">
        <f ca="1">IF($C43="","",IF(INDEX(Références!$BB$2:$BB$201,MATCH($C43,Références!$A$2:$A$201,0))="","",HYPERLINK(DossierPDF&amp;INDEX(Références!$BB$2:$BB$201,MATCH($C43,Références!$A$2:$A$201,0)),"PDF")))</f>
        <v>PDF</v>
      </c>
    </row>
    <row r="44" spans="2:12" ht="30" customHeight="1" x14ac:dyDescent="0.25">
      <c r="B44" s="64">
        <v>6</v>
      </c>
      <c r="C44" s="38" t="str">
        <f>IFERROR(INDEX(Références!$A$2:$A$201,MATCH("2-6",Références!$AY$2:$AY$201,0)),"")</f>
        <v>BIB-024</v>
      </c>
      <c r="D44" s="3" t="str">
        <f>IF($C44="","",INDEX(Références!$C$2:$C$201,MATCH($C44,Références!$A$2:$A$201,0)))</f>
        <v>Daugherty (2003)</v>
      </c>
      <c r="E44" s="3" t="str">
        <f>IF($C44="","",INDEX(Références!$D$2:$D$201,MATCH($C44,Références!$A$2:$A$201,0)))</f>
        <v>A study of the mechanical properties of modern radial aircraft tires</v>
      </c>
      <c r="F44" s="38" t="str">
        <f>IF($C44="","",INDEX(Références!$H$2:$H$201,MATCH($C44,Références!$A$2:$A$201,0)))</f>
        <v>Important</v>
      </c>
      <c r="G44" s="64">
        <f>IF($C44="","",INDEX(Références!$G$2:$G$201,MATCH($C44,Références!$A$2:$A$201,0)))</f>
        <v>2</v>
      </c>
      <c r="H44" s="38" t="str">
        <f>IF($C44="","",INDEX(Références!$J$2:$J$201,MATCH($C44,Références!$A$2:$A$201,0)))</f>
        <v>À lire</v>
      </c>
      <c r="I44" s="38" t="str">
        <f ca="1">IF($C44="","",INDEX(Références!$K$2:$K$201,MATCH($C44,Références!$A$2:$A$201,0)))</f>
        <v>Mois prochain</v>
      </c>
      <c r="J44" s="64">
        <f>IF($C44="","",INDEX(Références!$AT$2:$AT$201,MATCH($C44,Références!$A$2:$A$201,0)))</f>
        <v>3</v>
      </c>
      <c r="K44" s="65" t="str">
        <f>IF($C44="","",HYPERLINK(INDEX(Références!$AF$2:$AF$201,MATCH($C44,Références!$A$2:$A$201,0)),"Ouvrir"))</f>
        <v>Ouvrir</v>
      </c>
      <c r="L44" s="65" t="str">
        <f ca="1">IF($C44="","",IF(INDEX(Références!$BB$2:$BB$201,MATCH($C44,Références!$A$2:$A$201,0))="","",HYPERLINK(DossierPDF&amp;INDEX(Références!$BB$2:$BB$201,MATCH($C44,Références!$A$2:$A$201,0)),"PDF")))</f>
        <v>PDF</v>
      </c>
    </row>
    <row r="45" spans="2:12" ht="30" customHeight="1" x14ac:dyDescent="0.25">
      <c r="B45" s="64">
        <v>7</v>
      </c>
      <c r="C45" s="38" t="str">
        <f>IFERROR(INDEX(Références!$A$2:$A$201,MATCH("2-7",Références!$AY$2:$AY$201,0)),"")</f>
        <v>BIB-025</v>
      </c>
      <c r="D45" s="3" t="str">
        <f>IF($C45="","",INDEX(Références!$C$2:$C$201,MATCH($C45,Références!$A$2:$A$201,0)))</f>
        <v>He et al. (2021)</v>
      </c>
      <c r="E45" s="3" t="str">
        <f>IF($C45="","",INDEX(Références!$D$2:$D$201,MATCH($C45,Références!$A$2:$A$201,0)))</f>
        <v>Analysis of the tire-pavement contact stress characteristics during vehicle maneuvering</v>
      </c>
      <c r="F45" s="38" t="str">
        <f>IF($C45="","",INDEX(Références!$H$2:$H$201,MATCH($C45,Références!$A$2:$A$201,0)))</f>
        <v>Important</v>
      </c>
      <c r="G45" s="64">
        <f>IF($C45="","",INDEX(Références!$G$2:$G$201,MATCH($C45,Références!$A$2:$A$201,0)))</f>
        <v>2</v>
      </c>
      <c r="H45" s="38" t="str">
        <f>IF($C45="","",INDEX(Références!$J$2:$J$201,MATCH($C45,Références!$A$2:$A$201,0)))</f>
        <v>À lire</v>
      </c>
      <c r="I45" s="38" t="str">
        <f ca="1">IF($C45="","",INDEX(Références!$K$2:$K$201,MATCH($C45,Références!$A$2:$A$201,0)))</f>
        <v>Mois prochain</v>
      </c>
      <c r="J45" s="64">
        <f>IF($C45="","",INDEX(Références!$AT$2:$AT$201,MATCH($C45,Références!$A$2:$A$201,0)))</f>
        <v>3</v>
      </c>
      <c r="K45" s="65" t="str">
        <f>IF($C45="","",HYPERLINK(INDEX(Références!$AF$2:$AF$201,MATCH($C45,Références!$A$2:$A$201,0)),"Ouvrir"))</f>
        <v>Ouvrir</v>
      </c>
      <c r="L45" s="65" t="str">
        <f ca="1">IF($C45="","",IF(INDEX(Références!$BB$2:$BB$201,MATCH($C45,Références!$A$2:$A$201,0))="","",HYPERLINK(DossierPDF&amp;INDEX(Références!$BB$2:$BB$201,MATCH($C45,Références!$A$2:$A$201,0)),"PDF")))</f>
        <v>PDF</v>
      </c>
    </row>
    <row r="46" spans="2:12" ht="30" customHeight="1" x14ac:dyDescent="0.25">
      <c r="B46" s="64">
        <v>8</v>
      </c>
      <c r="C46" s="38" t="str">
        <f>IFERROR(INDEX(Références!$A$2:$A$201,MATCH("2-8",Références!$AY$2:$AY$201,0)),"")</f>
        <v>BIB-026</v>
      </c>
      <c r="D46" s="3" t="str">
        <f>IF($C46="","",INDEX(Références!$C$2:$C$201,MATCH($C46,Références!$A$2:$A$201,0)))</f>
        <v>Kongo Kondé et al. (2013)</v>
      </c>
      <c r="E46" s="3" t="str">
        <f>IF($C46="","",INDEX(Références!$D$2:$D$201,MATCH($C46,Références!$A$2:$A$201,0)))</f>
        <v>On the modeling of aircraft tire</v>
      </c>
      <c r="F46" s="38" t="str">
        <f>IF($C46="","",INDEX(Références!$H$2:$H$201,MATCH($C46,Références!$A$2:$A$201,0)))</f>
        <v>Important</v>
      </c>
      <c r="G46" s="64">
        <f>IF($C46="","",INDEX(Références!$G$2:$G$201,MATCH($C46,Références!$A$2:$A$201,0)))</f>
        <v>2</v>
      </c>
      <c r="H46" s="38" t="str">
        <f>IF($C46="","",INDEX(Références!$J$2:$J$201,MATCH($C46,Références!$A$2:$A$201,0)))</f>
        <v>À lire</v>
      </c>
      <c r="I46" s="38" t="str">
        <f ca="1">IF($C46="","",INDEX(Références!$K$2:$K$201,MATCH($C46,Références!$A$2:$A$201,0)))</f>
        <v>Mois prochain</v>
      </c>
      <c r="J46" s="64">
        <f>IF($C46="","",INDEX(Références!$AT$2:$AT$201,MATCH($C46,Références!$A$2:$A$201,0)))</f>
        <v>3</v>
      </c>
      <c r="K46" s="65" t="str">
        <f>IF($C46="","",HYPERLINK(INDEX(Références!$AF$2:$AF$201,MATCH($C46,Références!$A$2:$A$201,0)),"Ouvrir"))</f>
        <v>Ouvrir</v>
      </c>
      <c r="L46" s="65" t="str">
        <f ca="1">IF($C46="","",IF(INDEX(Références!$BB$2:$BB$201,MATCH($C46,Références!$A$2:$A$201,0))="","",HYPERLINK(DossierPDF&amp;INDEX(Références!$BB$2:$BB$201,MATCH($C46,Références!$A$2:$A$201,0)),"PDF")))</f>
        <v>PDF</v>
      </c>
    </row>
    <row r="47" spans="2:12" ht="30" customHeight="1" x14ac:dyDescent="0.25">
      <c r="B47" s="64">
        <v>9</v>
      </c>
      <c r="C47" s="38" t="str">
        <f>IFERROR(INDEX(Références!$A$2:$A$201,MATCH("2-9",Références!$AY$2:$AY$201,0)),"")</f>
        <v>BIB-027</v>
      </c>
      <c r="D47" s="3" t="str">
        <f>IF($C47="","",INDEX(Références!$C$2:$C$201,MATCH($C47,Références!$A$2:$A$201,0)))</f>
        <v>Wang et al. (2012)</v>
      </c>
      <c r="E47" s="3" t="str">
        <f>IF($C47="","",INDEX(Références!$D$2:$D$201,MATCH($C47,Références!$A$2:$A$201,0)))</f>
        <v>Simulation of tyre–pavement interaction for predicting contact stresses at static and various rolling conditions</v>
      </c>
      <c r="F47" s="38" t="str">
        <f>IF($C47="","",INDEX(Références!$H$2:$H$201,MATCH($C47,Références!$A$2:$A$201,0)))</f>
        <v>Important</v>
      </c>
      <c r="G47" s="64">
        <f>IF($C47="","",INDEX(Références!$G$2:$G$201,MATCH($C47,Références!$A$2:$A$201,0)))</f>
        <v>2</v>
      </c>
      <c r="H47" s="38" t="str">
        <f>IF($C47="","",INDEX(Références!$J$2:$J$201,MATCH($C47,Références!$A$2:$A$201,0)))</f>
        <v>À lire</v>
      </c>
      <c r="I47" s="38" t="str">
        <f ca="1">IF($C47="","",INDEX(Références!$K$2:$K$201,MATCH($C47,Références!$A$2:$A$201,0)))</f>
        <v>Mois prochain</v>
      </c>
      <c r="J47" s="64">
        <f>IF($C47="","",INDEX(Références!$AT$2:$AT$201,MATCH($C47,Références!$A$2:$A$201,0)))</f>
        <v>3</v>
      </c>
      <c r="K47" s="65" t="str">
        <f>IF($C47="","",HYPERLINK(INDEX(Références!$AF$2:$AF$201,MATCH($C47,Références!$A$2:$A$201,0)),"Ouvrir"))</f>
        <v>Ouvrir</v>
      </c>
      <c r="L47" s="65" t="str">
        <f ca="1">IF($C47="","",IF(INDEX(Références!$BB$2:$BB$201,MATCH($C47,Références!$A$2:$A$201,0))="","",HYPERLINK(DossierPDF&amp;INDEX(Références!$BB$2:$BB$201,MATCH($C47,Références!$A$2:$A$201,0)),"PDF")))</f>
        <v>PDF</v>
      </c>
    </row>
    <row r="48" spans="2:12" ht="30" customHeight="1" x14ac:dyDescent="0.25">
      <c r="B48" s="64">
        <v>10</v>
      </c>
      <c r="C48" s="38" t="str">
        <f>IFERROR(INDEX(Références!$A$2:$A$201,MATCH("2-10",Références!$AY$2:$AY$201,0)),"")</f>
        <v>BIB-028</v>
      </c>
      <c r="D48" s="3" t="str">
        <f>IF($C48="","",INDEX(Références!$C$2:$C$201,MATCH($C48,Références!$A$2:$A$201,0)))</f>
        <v>Xie &amp; Yang (2019)</v>
      </c>
      <c r="E48" s="3" t="str">
        <f>IF($C48="","",INDEX(Références!$D$2:$D$201,MATCH($C48,Références!$A$2:$A$201,0)))</f>
        <v>Tyre–pavement contact stress distribution considering tyre types</v>
      </c>
      <c r="F48" s="38" t="str">
        <f>IF($C48="","",INDEX(Références!$H$2:$H$201,MATCH($C48,Références!$A$2:$A$201,0)))</f>
        <v>Important</v>
      </c>
      <c r="G48" s="64">
        <f>IF($C48="","",INDEX(Références!$G$2:$G$201,MATCH($C48,Références!$A$2:$A$201,0)))</f>
        <v>2</v>
      </c>
      <c r="H48" s="38" t="str">
        <f>IF($C48="","",INDEX(Références!$J$2:$J$201,MATCH($C48,Références!$A$2:$A$201,0)))</f>
        <v>À lire</v>
      </c>
      <c r="I48" s="38" t="str">
        <f ca="1">IF($C48="","",INDEX(Références!$K$2:$K$201,MATCH($C48,Références!$A$2:$A$201,0)))</f>
        <v>Mois prochain</v>
      </c>
      <c r="J48" s="64">
        <f>IF($C48="","",INDEX(Références!$AT$2:$AT$201,MATCH($C48,Références!$A$2:$A$201,0)))</f>
        <v>3</v>
      </c>
      <c r="K48" s="65" t="str">
        <f>IF($C48="","",HYPERLINK(INDEX(Références!$AF$2:$AF$201,MATCH($C48,Références!$A$2:$A$201,0)),"Ouvrir"))</f>
        <v>Ouvrir</v>
      </c>
      <c r="L48" s="65" t="str">
        <f ca="1">IF($C48="","",IF(INDEX(Références!$BB$2:$BB$201,MATCH($C48,Références!$A$2:$A$201,0))="","",HYPERLINK(DossierPDF&amp;INDEX(Références!$BB$2:$BB$201,MATCH($C48,Références!$A$2:$A$201,0)),"PDF")))</f>
        <v>PDF</v>
      </c>
    </row>
    <row r="49" spans="2:12" ht="30" customHeight="1" x14ac:dyDescent="0.25">
      <c r="B49" s="64">
        <v>11</v>
      </c>
      <c r="C49" s="38" t="str">
        <f>IFERROR(INDEX(Références!$A$2:$A$201,MATCH("2-11",Références!$AY$2:$AY$201,0)),"")</f>
        <v>BIB-029</v>
      </c>
      <c r="D49" s="3" t="str">
        <f>IF($C49="","",INDEX(Références!$C$2:$C$201,MATCH($C49,Références!$A$2:$A$201,0)))</f>
        <v>Huet (1963)</v>
      </c>
      <c r="E49" s="3" t="str">
        <f>IF($C49="","",INDEX(Références!$D$2:$D$201,MATCH($C49,Références!$A$2:$A$201,0)))</f>
        <v>Étude par une méthode d'impédance du comportement viscoélastique des matériaux hydrocarbonés</v>
      </c>
      <c r="F49" s="38" t="str">
        <f>IF($C49="","",INDEX(Références!$H$2:$H$201,MATCH($C49,Références!$A$2:$A$201,0)))</f>
        <v>Important</v>
      </c>
      <c r="G49" s="64">
        <f>IF($C49="","",INDEX(Références!$G$2:$G$201,MATCH($C49,Références!$A$2:$A$201,0)))</f>
        <v>3</v>
      </c>
      <c r="H49" s="38" t="str">
        <f>IF($C49="","",INDEX(Références!$J$2:$J$201,MATCH($C49,Références!$A$2:$A$201,0)))</f>
        <v>À lire</v>
      </c>
      <c r="I49" s="38" t="str">
        <f ca="1">IF($C49="","",INDEX(Références!$K$2:$K$201,MATCH($C49,Références!$A$2:$A$201,0)))</f>
        <v>Mois prochain</v>
      </c>
      <c r="J49" s="64">
        <f>IF($C49="","",INDEX(Références!$AT$2:$AT$201,MATCH($C49,Références!$A$2:$A$201,0)))</f>
        <v>3</v>
      </c>
      <c r="K49" s="65" t="str">
        <f>IF($C49="","",HYPERLINK(INDEX(Références!$AF$2:$AF$201,MATCH($C49,Références!$A$2:$A$201,0)),"Ouvrir"))</f>
        <v>Ouvrir</v>
      </c>
      <c r="L49" s="65" t="str">
        <f ca="1">IF($C49="","",IF(INDEX(Références!$BB$2:$BB$201,MATCH($C49,Références!$A$2:$A$201,0))="","",HYPERLINK(DossierPDF&amp;INDEX(Références!$BB$2:$BB$201,MATCH($C49,Références!$A$2:$A$201,0)),"PDF")))</f>
        <v>PDF</v>
      </c>
    </row>
    <row r="50" spans="2:12" ht="30" customHeight="1" x14ac:dyDescent="0.25">
      <c r="B50" s="64">
        <v>12</v>
      </c>
      <c r="C50" s="38" t="str">
        <f>IFERROR(INDEX(Références!$A$2:$A$201,MATCH("2-12",Références!$AY$2:$AY$201,0)),"")</f>
        <v>BIB-030</v>
      </c>
      <c r="D50" s="3" t="str">
        <f>IF($C50="","",INDEX(Références!$C$2:$C$201,MATCH($C50,Références!$A$2:$A$201,0)))</f>
        <v>Park &amp; Schapery (1999)</v>
      </c>
      <c r="E50" s="3" t="str">
        <f>IF($C50="","",INDEX(Références!$D$2:$D$201,MATCH($C50,Références!$A$2:$A$201,0)))</f>
        <v>Methods of interconversion between linear viscoelastic material functions. Part I—A numerical method based on Prony series</v>
      </c>
      <c r="F50" s="38" t="str">
        <f>IF($C50="","",INDEX(Références!$H$2:$H$201,MATCH($C50,Références!$A$2:$A$201,0)))</f>
        <v>Important</v>
      </c>
      <c r="G50" s="64">
        <f>IF($C50="","",INDEX(Références!$G$2:$G$201,MATCH($C50,Références!$A$2:$A$201,0)))</f>
        <v>3</v>
      </c>
      <c r="H50" s="38" t="str">
        <f>IF($C50="","",INDEX(Références!$J$2:$J$201,MATCH($C50,Références!$A$2:$A$201,0)))</f>
        <v>À lire</v>
      </c>
      <c r="I50" s="38" t="str">
        <f ca="1">IF($C50="","",INDEX(Références!$K$2:$K$201,MATCH($C50,Références!$A$2:$A$201,0)))</f>
        <v>Mois prochain</v>
      </c>
      <c r="J50" s="64">
        <f>IF($C50="","",INDEX(Références!$AT$2:$AT$201,MATCH($C50,Références!$A$2:$A$201,0)))</f>
        <v>3</v>
      </c>
      <c r="K50" s="65" t="str">
        <f>IF($C50="","",HYPERLINK(INDEX(Références!$AF$2:$AF$201,MATCH($C50,Références!$A$2:$A$201,0)),"Ouvrir"))</f>
        <v>Ouvrir</v>
      </c>
      <c r="L50" s="65" t="str">
        <f ca="1">IF($C50="","",IF(INDEX(Références!$BB$2:$BB$201,MATCH($C50,Références!$A$2:$A$201,0))="","",HYPERLINK(DossierPDF&amp;INDEX(Références!$BB$2:$BB$201,MATCH($C50,Références!$A$2:$A$201,0)),"PDF")))</f>
        <v>PDF</v>
      </c>
    </row>
    <row r="51" spans="2:12" ht="30" customHeight="1" x14ac:dyDescent="0.25">
      <c r="B51" s="64">
        <v>13</v>
      </c>
      <c r="C51" s="38" t="str">
        <f>IFERROR(INDEX(Références!$A$2:$A$201,MATCH("2-13",Références!$AY$2:$AY$201,0)),"")</f>
        <v>BIB-031</v>
      </c>
      <c r="D51" s="3" t="str">
        <f>IF($C51="","",INDEX(Références!$C$2:$C$201,MATCH($C51,Références!$A$2:$A$201,0)))</f>
        <v>Sayegh (1965)</v>
      </c>
      <c r="E51" s="3" t="str">
        <f>IF($C51="","",INDEX(Références!$D$2:$D$201,MATCH($C51,Références!$A$2:$A$201,0)))</f>
        <v>Contribution à l'étude des propriétés viscoélastiques des bitumes purs et des bétons bitumineux</v>
      </c>
      <c r="F51" s="38" t="str">
        <f>IF($C51="","",INDEX(Références!$H$2:$H$201,MATCH($C51,Références!$A$2:$A$201,0)))</f>
        <v>Important</v>
      </c>
      <c r="G51" s="64">
        <f>IF($C51="","",INDEX(Références!$G$2:$G$201,MATCH($C51,Références!$A$2:$A$201,0)))</f>
        <v>3</v>
      </c>
      <c r="H51" s="38" t="str">
        <f>IF($C51="","",INDEX(Références!$J$2:$J$201,MATCH($C51,Références!$A$2:$A$201,0)))</f>
        <v>À lire</v>
      </c>
      <c r="I51" s="38" t="str">
        <f ca="1">IF($C51="","",INDEX(Références!$K$2:$K$201,MATCH($C51,Références!$A$2:$A$201,0)))</f>
        <v>Mois prochain</v>
      </c>
      <c r="J51" s="64">
        <f>IF($C51="","",INDEX(Références!$AT$2:$AT$201,MATCH($C51,Références!$A$2:$A$201,0)))</f>
        <v>3</v>
      </c>
      <c r="K51" s="65" t="str">
        <f>IF($C51="","",HYPERLINK(INDEX(Références!$AF$2:$AF$201,MATCH($C51,Références!$A$2:$A$201,0)),"Ouvrir"))</f>
        <v>Ouvrir</v>
      </c>
      <c r="L51" s="65" t="s">
        <v>4103</v>
      </c>
    </row>
    <row r="52" spans="2:12" ht="30" customHeight="1" x14ac:dyDescent="0.25">
      <c r="B52" s="64">
        <v>14</v>
      </c>
      <c r="C52" s="38" t="str">
        <f>IFERROR(INDEX(Références!$A$2:$A$201,MATCH("2-14",Références!$AY$2:$AY$201,0)),"")</f>
        <v>BIB-032</v>
      </c>
      <c r="D52" s="3" t="str">
        <f>IF($C52="","",INDEX(Références!$C$2:$C$201,MATCH($C52,Références!$A$2:$A$201,0)))</f>
        <v>Behroozi et al. (2012)</v>
      </c>
      <c r="E52" s="3" t="str">
        <f>IF($C52="","",INDEX(Références!$D$2:$D$201,MATCH($C52,Références!$A$2:$A$201,0)))</f>
        <v>Finite element analysis of aircraft tyre – Effect of model complexity on tyre performance characteristics</v>
      </c>
      <c r="F52" s="38" t="str">
        <f>IF($C52="","",INDEX(Références!$H$2:$H$201,MATCH($C52,Références!$A$2:$A$201,0)))</f>
        <v>A consulter</v>
      </c>
      <c r="G52" s="64">
        <f>IF($C52="","",INDEX(Références!$G$2:$G$201,MATCH($C52,Références!$A$2:$A$201,0)))</f>
        <v>2</v>
      </c>
      <c r="H52" s="38" t="str">
        <f>IF($C52="","",INDEX(Références!$J$2:$J$201,MATCH($C52,Références!$A$2:$A$201,0)))</f>
        <v>À lire</v>
      </c>
      <c r="I52" s="38" t="str">
        <f ca="1">IF($C52="","",INDEX(Références!$K$2:$K$201,MATCH($C52,Références!$A$2:$A$201,0)))</f>
        <v>Mois prochain</v>
      </c>
      <c r="J52" s="64">
        <f>IF($C52="","",INDEX(Références!$AT$2:$AT$201,MATCH($C52,Références!$A$2:$A$201,0)))</f>
        <v>1</v>
      </c>
      <c r="K52" s="65" t="str">
        <f>IF($C52="","",HYPERLINK(INDEX(Références!$AF$2:$AF$201,MATCH($C52,Références!$A$2:$A$201,0)),"Ouvrir"))</f>
        <v>Ouvrir</v>
      </c>
      <c r="L52" s="65" t="str">
        <f ca="1">IF($C52="","",IF(INDEX(Références!$BB$2:$BB$201,MATCH($C52,Références!$A$2:$A$201,0))="","",HYPERLINK(DossierPDF&amp;INDEX(Références!$BB$2:$BB$201,MATCH($C52,Références!$A$2:$A$201,0)),"PDF")))</f>
        <v>PDF</v>
      </c>
    </row>
    <row r="53" spans="2:12" ht="30" customHeight="1" x14ac:dyDescent="0.25">
      <c r="B53" s="64">
        <v>15</v>
      </c>
      <c r="C53" s="38" t="str">
        <f>IFERROR(INDEX(Références!$A$2:$A$201,MATCH("2-15",Références!$AY$2:$AY$201,0)),"")</f>
        <v>BIB-033</v>
      </c>
      <c r="D53" s="3" t="str">
        <f>IF($C53="","",INDEX(Références!$C$2:$C$201,MATCH($C53,Références!$A$2:$A$201,0)))</f>
        <v>El Fahham et al. (2023)</v>
      </c>
      <c r="E53" s="3" t="str">
        <f>IF($C53="","",INDEX(Références!$D$2:$D$201,MATCH($C53,Références!$A$2:$A$201,0)))</f>
        <v>Analysis of vehicle tire strength test</v>
      </c>
      <c r="F53" s="38" t="str">
        <f>IF($C53="","",INDEX(Références!$H$2:$H$201,MATCH($C53,Références!$A$2:$A$201,0)))</f>
        <v>A consulter</v>
      </c>
      <c r="G53" s="64">
        <f>IF($C53="","",INDEX(Références!$G$2:$G$201,MATCH($C53,Références!$A$2:$A$201,0)))</f>
        <v>2</v>
      </c>
      <c r="H53" s="38" t="str">
        <f>IF($C53="","",INDEX(Références!$J$2:$J$201,MATCH($C53,Références!$A$2:$A$201,0)))</f>
        <v>À lire</v>
      </c>
      <c r="I53" s="38" t="str">
        <f ca="1">IF($C53="","",INDEX(Références!$K$2:$K$201,MATCH($C53,Références!$A$2:$A$201,0)))</f>
        <v>Mois prochain</v>
      </c>
      <c r="J53" s="64">
        <f>IF($C53="","",INDEX(Références!$AT$2:$AT$201,MATCH($C53,Références!$A$2:$A$201,0)))</f>
        <v>1</v>
      </c>
      <c r="K53" s="65" t="str">
        <f>IF($C53="","",HYPERLINK(INDEX(Références!$AF$2:$AF$201,MATCH($C53,Références!$A$2:$A$201,0)),"Ouvrir"))</f>
        <v>Ouvrir</v>
      </c>
      <c r="L53" s="65" t="str">
        <f ca="1">IF($C53="","",IF(INDEX(Références!$BB$2:$BB$201,MATCH($C53,Références!$A$2:$A$201,0))="","",HYPERLINK(DossierPDF&amp;INDEX(Références!$BB$2:$BB$201,MATCH($C53,Références!$A$2:$A$201,0)),"PDF")))</f>
        <v>PDF</v>
      </c>
    </row>
    <row r="54" spans="2:12" ht="30" customHeight="1" x14ac:dyDescent="0.25">
      <c r="B54" s="64">
        <v>16</v>
      </c>
      <c r="C54" s="38" t="str">
        <f>IFERROR(INDEX(Références!$A$2:$A$201,MATCH("2-16",Références!$AY$2:$AY$201,0)),"")</f>
        <v>BIB-034</v>
      </c>
      <c r="D54" s="3" t="str">
        <f>IF($C54="","",INDEX(Références!$C$2:$C$201,MATCH($C54,Références!$A$2:$A$201,0)))</f>
        <v>Ford &amp; Charles (1988)</v>
      </c>
      <c r="E54" s="3" t="str">
        <f>IF($C54="","",INDEX(Références!$D$2:$D$201,MATCH($C54,Références!$A$2:$A$201,0)))</f>
        <v>Heavy duty truck tire engineering</v>
      </c>
      <c r="F54" s="38" t="str">
        <f>IF($C54="","",INDEX(Références!$H$2:$H$201,MATCH($C54,Références!$A$2:$A$201,0)))</f>
        <v>A consulter</v>
      </c>
      <c r="G54" s="64">
        <f>IF($C54="","",INDEX(Références!$G$2:$G$201,MATCH($C54,Références!$A$2:$A$201,0)))</f>
        <v>2</v>
      </c>
      <c r="H54" s="38" t="str">
        <f>IF($C54="","",INDEX(Références!$J$2:$J$201,MATCH($C54,Références!$A$2:$A$201,0)))</f>
        <v>À lire</v>
      </c>
      <c r="I54" s="38" t="str">
        <f ca="1">IF($C54="","",INDEX(Références!$K$2:$K$201,MATCH($C54,Références!$A$2:$A$201,0)))</f>
        <v>Mois prochain</v>
      </c>
      <c r="J54" s="64">
        <f>IF($C54="","",INDEX(Références!$AT$2:$AT$201,MATCH($C54,Références!$A$2:$A$201,0)))</f>
        <v>1</v>
      </c>
      <c r="K54" s="65" t="str">
        <f>IF($C54="","",HYPERLINK(INDEX(Références!$AF$2:$AF$201,MATCH($C54,Références!$A$2:$A$201,0)),"Ouvrir"))</f>
        <v>Ouvrir</v>
      </c>
      <c r="L54" s="65" t="str">
        <f>IF($C54="","",IF(INDEX(Références!$BB$2:$BB$201,MATCH($C54,Références!$A$2:$A$201,0))="","",HYPERLINK(DossierPDF&amp;INDEX(Références!$BB$2:$BB$201,MATCH($C54,Références!$A$2:$A$201,0)),"PDF")))</f>
        <v/>
      </c>
    </row>
    <row r="55" spans="2:12" ht="30" customHeight="1" x14ac:dyDescent="0.25">
      <c r="B55" s="64">
        <v>17</v>
      </c>
      <c r="C55" s="38" t="str">
        <f>IFERROR(INDEX(Références!$A$2:$A$201,MATCH("2-17",Références!$AY$2:$AY$201,0)),"")</f>
        <v>BIB-035</v>
      </c>
      <c r="D55" s="3" t="str">
        <f>IF($C55="","",INDEX(Références!$C$2:$C$201,MATCH($C55,Références!$A$2:$A$201,0)))</f>
        <v>Gent &amp; Walter (2006)</v>
      </c>
      <c r="E55" s="3" t="str">
        <f>IF($C55="","",INDEX(Références!$D$2:$D$201,MATCH($C55,Références!$A$2:$A$201,0)))</f>
        <v>The pneumatic tire</v>
      </c>
      <c r="F55" s="38" t="str">
        <f>IF($C55="","",INDEX(Références!$H$2:$H$201,MATCH($C55,Références!$A$2:$A$201,0)))</f>
        <v>A consulter</v>
      </c>
      <c r="G55" s="64">
        <f>IF($C55="","",INDEX(Références!$G$2:$G$201,MATCH($C55,Références!$A$2:$A$201,0)))</f>
        <v>2</v>
      </c>
      <c r="H55" s="38" t="str">
        <f>IF($C55="","",INDEX(Références!$J$2:$J$201,MATCH($C55,Références!$A$2:$A$201,0)))</f>
        <v>À lire</v>
      </c>
      <c r="I55" s="38" t="str">
        <f ca="1">IF($C55="","",INDEX(Références!$K$2:$K$201,MATCH($C55,Références!$A$2:$A$201,0)))</f>
        <v>Mois prochain</v>
      </c>
      <c r="J55" s="64">
        <f>IF($C55="","",INDEX(Références!$AT$2:$AT$201,MATCH($C55,Références!$A$2:$A$201,0)))</f>
        <v>1</v>
      </c>
      <c r="K55" s="65" t="str">
        <f>IF($C55="","",HYPERLINK(INDEX(Références!$AF$2:$AF$201,MATCH($C55,Références!$A$2:$A$201,0)),"Ouvrir"))</f>
        <v>Ouvrir</v>
      </c>
      <c r="L55" s="65" t="str">
        <f ca="1">IF($C55="","",IF(INDEX(Références!$BB$2:$BB$201,MATCH($C55,Références!$A$2:$A$201,0))="","",HYPERLINK(DossierPDF&amp;INDEX(Références!$BB$2:$BB$201,MATCH($C55,Références!$A$2:$A$201,0)),"PDF")))</f>
        <v>PDF</v>
      </c>
    </row>
    <row r="56" spans="2:12" ht="30" customHeight="1" x14ac:dyDescent="0.25">
      <c r="B56" s="64">
        <v>18</v>
      </c>
      <c r="C56" s="38" t="str">
        <f>IFERROR(INDEX(Références!$A$2:$A$201,MATCH("2-18",Références!$AY$2:$AY$201,0)),"")</f>
        <v>BIB-036</v>
      </c>
      <c r="D56" s="3" t="str">
        <f>IF($C56="","",INDEX(Références!$C$2:$C$201,MATCH($C56,Références!$A$2:$A$201,0)))</f>
        <v>Hernandez &amp; Al-Qadi (2016)</v>
      </c>
      <c r="E56" s="3" t="str">
        <f>IF($C56="","",INDEX(Références!$D$2:$D$201,MATCH($C56,Références!$A$2:$A$201,0)))</f>
        <v>Contact phenomenon of free-rolling wide-base tires: Effect of speed and temperature</v>
      </c>
      <c r="F56" s="38" t="str">
        <f>IF($C56="","",INDEX(Références!$H$2:$H$201,MATCH($C56,Références!$A$2:$A$201,0)))</f>
        <v>A consulter</v>
      </c>
      <c r="G56" s="64">
        <f>IF($C56="","",INDEX(Références!$G$2:$G$201,MATCH($C56,Références!$A$2:$A$201,0)))</f>
        <v>2</v>
      </c>
      <c r="H56" s="38" t="str">
        <f>IF($C56="","",INDEX(Références!$J$2:$J$201,MATCH($C56,Références!$A$2:$A$201,0)))</f>
        <v>À lire</v>
      </c>
      <c r="I56" s="38" t="str">
        <f ca="1">IF($C56="","",INDEX(Références!$K$2:$K$201,MATCH($C56,Références!$A$2:$A$201,0)))</f>
        <v>Mois prochain</v>
      </c>
      <c r="J56" s="64">
        <f>IF($C56="","",INDEX(Références!$AT$2:$AT$201,MATCH($C56,Références!$A$2:$A$201,0)))</f>
        <v>1</v>
      </c>
      <c r="K56" s="65" t="str">
        <f>IF($C56="","",HYPERLINK(INDEX(Références!$AF$2:$AF$201,MATCH($C56,Références!$A$2:$A$201,0)),"Ouvrir"))</f>
        <v>Ouvrir</v>
      </c>
      <c r="L56" s="65" t="str">
        <f>IF($C56="","",IF(INDEX(Références!$BB$2:$BB$201,MATCH($C56,Références!$A$2:$A$201,0))="","",HYPERLINK(DossierPDF&amp;INDEX(Références!$BB$2:$BB$201,MATCH($C56,Références!$A$2:$A$201,0)),"PDF")))</f>
        <v/>
      </c>
    </row>
    <row r="57" spans="2:12" ht="30" customHeight="1" x14ac:dyDescent="0.25">
      <c r="B57" s="64">
        <v>19</v>
      </c>
      <c r="C57" s="38" t="str">
        <f>IFERROR(INDEX(Références!$A$2:$A$201,MATCH("2-19",Références!$AY$2:$AY$201,0)),"")</f>
        <v>BIB-037</v>
      </c>
      <c r="D57" s="3" t="str">
        <f>IF($C57="","",INDEX(Références!$C$2:$C$201,MATCH($C57,Références!$A$2:$A$201,0)))</f>
        <v>Kongo Kondé (2011)</v>
      </c>
      <c r="E57" s="3" t="str">
        <f>IF($C57="","",INDEX(Références!$D$2:$D$201,MATCH($C57,Références!$A$2:$A$201,0)))</f>
        <v>Modélisation du roulement d'un pneumatique d'avion</v>
      </c>
      <c r="F57" s="38" t="str">
        <f>IF($C57="","",INDEX(Références!$H$2:$H$201,MATCH($C57,Références!$A$2:$A$201,0)))</f>
        <v>A consulter</v>
      </c>
      <c r="G57" s="64">
        <f>IF($C57="","",INDEX(Références!$G$2:$G$201,MATCH($C57,Références!$A$2:$A$201,0)))</f>
        <v>2</v>
      </c>
      <c r="H57" s="38" t="str">
        <f>IF($C57="","",INDEX(Références!$J$2:$J$201,MATCH($C57,Références!$A$2:$A$201,0)))</f>
        <v>À lire</v>
      </c>
      <c r="I57" s="38" t="str">
        <f ca="1">IF($C57="","",INDEX(Références!$K$2:$K$201,MATCH($C57,Références!$A$2:$A$201,0)))</f>
        <v>Mois prochain</v>
      </c>
      <c r="J57" s="64">
        <f>IF($C57="","",INDEX(Références!$AT$2:$AT$201,MATCH($C57,Références!$A$2:$A$201,0)))</f>
        <v>1</v>
      </c>
      <c r="K57" s="65" t="str">
        <f>IF($C57="","",HYPERLINK(INDEX(Références!$AF$2:$AF$201,MATCH($C57,Références!$A$2:$A$201,0)),"Ouvrir"))</f>
        <v>Ouvrir</v>
      </c>
      <c r="L57" s="65" t="s">
        <v>4103</v>
      </c>
    </row>
    <row r="58" spans="2:12" ht="30" customHeight="1" x14ac:dyDescent="0.25">
      <c r="B58" s="64">
        <v>20</v>
      </c>
      <c r="C58" s="38" t="str">
        <f>IFERROR(INDEX(Références!$A$2:$A$201,MATCH("2-20",Références!$AY$2:$AY$201,0)),"")</f>
        <v>BIB-038</v>
      </c>
      <c r="D58" s="3" t="str">
        <f>IF($C58="","",INDEX(Références!$C$2:$C$201,MATCH($C58,Références!$A$2:$A$201,0)))</f>
        <v>Liu et al. (2022)</v>
      </c>
      <c r="E58" s="3" t="str">
        <f>IF($C58="","",INDEX(Références!$D$2:$D$201,MATCH($C58,Références!$A$2:$A$201,0)))</f>
        <v>In-plane flexible ring modeling and a nonlinear stiffness solution for heavy-load radial tires</v>
      </c>
      <c r="F58" s="38" t="str">
        <f>IF($C58="","",INDEX(Références!$H$2:$H$201,MATCH($C58,Références!$A$2:$A$201,0)))</f>
        <v>A consulter</v>
      </c>
      <c r="G58" s="64">
        <f>IF($C58="","",INDEX(Références!$G$2:$G$201,MATCH($C58,Références!$A$2:$A$201,0)))</f>
        <v>2</v>
      </c>
      <c r="H58" s="38" t="str">
        <f>IF($C58="","",INDEX(Références!$J$2:$J$201,MATCH($C58,Références!$A$2:$A$201,0)))</f>
        <v>À lire</v>
      </c>
      <c r="I58" s="38" t="str">
        <f ca="1">IF($C58="","",INDEX(Références!$K$2:$K$201,MATCH($C58,Références!$A$2:$A$201,0)))</f>
        <v>Mois prochain</v>
      </c>
      <c r="J58" s="64">
        <f>IF($C58="","",INDEX(Références!$AT$2:$AT$201,MATCH($C58,Références!$A$2:$A$201,0)))</f>
        <v>1</v>
      </c>
      <c r="K58" s="65" t="str">
        <f>IF($C58="","",HYPERLINK(INDEX(Références!$AF$2:$AF$201,MATCH($C58,Références!$A$2:$A$201,0)),"Ouvrir"))</f>
        <v>Ouvrir</v>
      </c>
      <c r="L58" s="65" t="str">
        <f ca="1">IF($C58="","",IF(INDEX(Références!$BB$2:$BB$201,MATCH($C58,Références!$A$2:$A$201,0))="","",HYPERLINK(DossierPDF&amp;INDEX(Références!$BB$2:$BB$201,MATCH($C58,Références!$A$2:$A$201,0)),"PDF")))</f>
        <v>PDF</v>
      </c>
    </row>
    <row r="59" spans="2:12" ht="30" customHeight="1" x14ac:dyDescent="0.25">
      <c r="B59" s="64">
        <v>21</v>
      </c>
      <c r="C59" s="38" t="str">
        <f>IFERROR(INDEX(Références!$A$2:$A$201,MATCH("2-21",Références!$AY$2:$AY$201,0)),"")</f>
        <v>BIB-039</v>
      </c>
      <c r="D59" s="3" t="str">
        <f>IF($C59="","",INDEX(Références!$C$2:$C$201,MATCH($C59,Références!$A$2:$A$201,0)))</f>
        <v>Liu &amp; Al-Qadi (2022)</v>
      </c>
      <c r="E59" s="3" t="str">
        <f>IF($C59="","",INDEX(Références!$D$2:$D$201,MATCH($C59,Références!$A$2:$A$201,0)))</f>
        <v>Three-dimensional tire-pavement contact stresses prediction by deep learning approach</v>
      </c>
      <c r="F59" s="38" t="str">
        <f>IF($C59="","",INDEX(Références!$H$2:$H$201,MATCH($C59,Références!$A$2:$A$201,0)))</f>
        <v>A consulter</v>
      </c>
      <c r="G59" s="64">
        <f>IF($C59="","",INDEX(Références!$G$2:$G$201,MATCH($C59,Références!$A$2:$A$201,0)))</f>
        <v>2</v>
      </c>
      <c r="H59" s="38" t="str">
        <f>IF($C59="","",INDEX(Références!$J$2:$J$201,MATCH($C59,Références!$A$2:$A$201,0)))</f>
        <v>À lire</v>
      </c>
      <c r="I59" s="38" t="str">
        <f ca="1">IF($C59="","",INDEX(Références!$K$2:$K$201,MATCH($C59,Références!$A$2:$A$201,0)))</f>
        <v>Mois prochain</v>
      </c>
      <c r="J59" s="64">
        <f>IF($C59="","",INDEX(Références!$AT$2:$AT$201,MATCH($C59,Références!$A$2:$A$201,0)))</f>
        <v>1</v>
      </c>
      <c r="K59" s="65" t="str">
        <f>IF($C59="","",HYPERLINK(INDEX(Références!$AF$2:$AF$201,MATCH($C59,Références!$A$2:$A$201,0)),"Ouvrir"))</f>
        <v>Ouvrir</v>
      </c>
      <c r="L59" s="65" t="str">
        <f ca="1">IF($C59="","",IF(INDEX(Références!$BB$2:$BB$201,MATCH($C59,Références!$A$2:$A$201,0))="","",HYPERLINK(DossierPDF&amp;INDEX(Références!$BB$2:$BB$201,MATCH($C59,Références!$A$2:$A$201,0)),"PDF")))</f>
        <v>PDF</v>
      </c>
    </row>
    <row r="60" spans="2:12" ht="30" customHeight="1" x14ac:dyDescent="0.25">
      <c r="B60" s="64">
        <v>22</v>
      </c>
      <c r="C60" s="38" t="str">
        <f>IFERROR(INDEX(Références!$A$2:$A$201,MATCH("2-22",Références!$AY$2:$AY$201,0)),"")</f>
        <v>BIB-040</v>
      </c>
      <c r="D60" s="3" t="str">
        <f>IF($C60="","",INDEX(Références!$C$2:$C$201,MATCH($C60,Références!$A$2:$A$201,0)))</f>
        <v>Rosu et al. (2018)</v>
      </c>
      <c r="E60" s="3" t="str">
        <f>IF($C60="","",INDEX(Références!$D$2:$D$201,MATCH($C60,Références!$A$2:$A$201,0)))</f>
        <v>Finite element modeling of an aircraft tire rolling on a steel drum: Experimental investigations and numerical simulations</v>
      </c>
      <c r="F60" s="38" t="str">
        <f>IF($C60="","",INDEX(Références!$H$2:$H$201,MATCH($C60,Références!$A$2:$A$201,0)))</f>
        <v>A consulter</v>
      </c>
      <c r="G60" s="64">
        <f>IF($C60="","",INDEX(Références!$G$2:$G$201,MATCH($C60,Références!$A$2:$A$201,0)))</f>
        <v>2</v>
      </c>
      <c r="H60" s="38" t="str">
        <f>IF($C60="","",INDEX(Références!$J$2:$J$201,MATCH($C60,Références!$A$2:$A$201,0)))</f>
        <v>À lire</v>
      </c>
      <c r="I60" s="38" t="str">
        <f ca="1">IF($C60="","",INDEX(Références!$K$2:$K$201,MATCH($C60,Références!$A$2:$A$201,0)))</f>
        <v>Mois prochain</v>
      </c>
      <c r="J60" s="64">
        <f>IF($C60="","",INDEX(Références!$AT$2:$AT$201,MATCH($C60,Références!$A$2:$A$201,0)))</f>
        <v>1</v>
      </c>
      <c r="K60" s="65" t="str">
        <f>IF($C60="","",HYPERLINK(INDEX(Références!$AF$2:$AF$201,MATCH($C60,Références!$A$2:$A$201,0)),"Ouvrir"))</f>
        <v>Ouvrir</v>
      </c>
      <c r="L60" s="65" t="str">
        <f ca="1">IF($C60="","",IF(INDEX(Références!$BB$2:$BB$201,MATCH($C60,Références!$A$2:$A$201,0))="","",HYPERLINK(DossierPDF&amp;INDEX(Références!$BB$2:$BB$201,MATCH($C60,Références!$A$2:$A$201,0)),"PDF")))</f>
        <v>PDF</v>
      </c>
    </row>
    <row r="61" spans="2:12" ht="30" customHeight="1" x14ac:dyDescent="0.25">
      <c r="B61" s="64">
        <v>23</v>
      </c>
      <c r="C61" s="38" t="str">
        <f>IFERROR(INDEX(Références!$A$2:$A$201,MATCH("2-23",Références!$AY$2:$AY$201,0)),"")</f>
        <v>BIB-041</v>
      </c>
      <c r="D61" s="3" t="str">
        <f>IF($C61="","",INDEX(Références!$C$2:$C$201,MATCH($C61,Références!$A$2:$A$201,0)))</f>
        <v>Tang et al. (2022)</v>
      </c>
      <c r="E61" s="3" t="str">
        <f>IF($C61="","",INDEX(Références!$D$2:$D$201,MATCH($C61,Références!$A$2:$A$201,0)))</f>
        <v>Predictions of three-dimensional contact stresses of a radial truck tire under different driving modes</v>
      </c>
      <c r="F61" s="38" t="str">
        <f>IF($C61="","",INDEX(Références!$H$2:$H$201,MATCH($C61,Références!$A$2:$A$201,0)))</f>
        <v>A consulter</v>
      </c>
      <c r="G61" s="64">
        <f>IF($C61="","",INDEX(Références!$G$2:$G$201,MATCH($C61,Références!$A$2:$A$201,0)))</f>
        <v>2</v>
      </c>
      <c r="H61" s="38" t="str">
        <f>IF($C61="","",INDEX(Références!$J$2:$J$201,MATCH($C61,Références!$A$2:$A$201,0)))</f>
        <v>À lire</v>
      </c>
      <c r="I61" s="38" t="str">
        <f ca="1">IF($C61="","",INDEX(Références!$K$2:$K$201,MATCH($C61,Références!$A$2:$A$201,0)))</f>
        <v>Mois prochain</v>
      </c>
      <c r="J61" s="64">
        <f>IF($C61="","",INDEX(Références!$AT$2:$AT$201,MATCH($C61,Références!$A$2:$A$201,0)))</f>
        <v>1</v>
      </c>
      <c r="K61" s="65" t="str">
        <f>IF($C61="","",HYPERLINK(INDEX(Références!$AF$2:$AF$201,MATCH($C61,Références!$A$2:$A$201,0)),"Ouvrir"))</f>
        <v>Ouvrir</v>
      </c>
      <c r="L61" s="65" t="str">
        <f ca="1">IF($C61="","",IF(INDEX(Références!$BB$2:$BB$201,MATCH($C61,Références!$A$2:$A$201,0))="","",HYPERLINK(DossierPDF&amp;INDEX(Références!$BB$2:$BB$201,MATCH($C61,Références!$A$2:$A$201,0)),"PDF")))</f>
        <v>PDF</v>
      </c>
    </row>
    <row r="62" spans="2:12" ht="30" customHeight="1" x14ac:dyDescent="0.25">
      <c r="B62" s="64">
        <v>24</v>
      </c>
      <c r="C62" s="38" t="str">
        <f>IFERROR(INDEX(Références!$A$2:$A$201,MATCH("2-24",Références!$AY$2:$AY$201,0)),"")</f>
        <v>BIB-042</v>
      </c>
      <c r="D62" s="3" t="str">
        <f>IF($C62="","",INDEX(Références!$C$2:$C$201,MATCH($C62,Références!$A$2:$A$201,0)))</f>
        <v>Di Benedetto &amp; Corté (2005)</v>
      </c>
      <c r="E62" s="3" t="str">
        <f>IF($C62="","",INDEX(Références!$D$2:$D$201,MATCH($C62,Références!$A$2:$A$201,0)))</f>
        <v>Matériaux routiers bitumineux 2 : constitution et propriétés thermomécaniques des mélanges</v>
      </c>
      <c r="F62" s="38" t="str">
        <f>IF($C62="","",INDEX(Références!$H$2:$H$201,MATCH($C62,Références!$A$2:$A$201,0)))</f>
        <v>A consulter</v>
      </c>
      <c r="G62" s="64">
        <f>IF($C62="","",INDEX(Références!$G$2:$G$201,MATCH($C62,Références!$A$2:$A$201,0)))</f>
        <v>3</v>
      </c>
      <c r="H62" s="38" t="str">
        <f>IF($C62="","",INDEX(Références!$J$2:$J$201,MATCH($C62,Références!$A$2:$A$201,0)))</f>
        <v>À lire</v>
      </c>
      <c r="I62" s="38" t="str">
        <f ca="1">IF($C62="","",INDEX(Références!$K$2:$K$201,MATCH($C62,Références!$A$2:$A$201,0)))</f>
        <v>Mois prochain</v>
      </c>
      <c r="J62" s="64">
        <f>IF($C62="","",INDEX(Références!$AT$2:$AT$201,MATCH($C62,Références!$A$2:$A$201,0)))</f>
        <v>1</v>
      </c>
      <c r="K62" s="65" t="str">
        <f>IF($C62="","",HYPERLINK(INDEX(Références!$AF$2:$AF$201,MATCH($C62,Références!$A$2:$A$201,0)),"Ouvrir"))</f>
        <v>Ouvrir</v>
      </c>
      <c r="L62" s="65" t="str">
        <f>IF($C62="","",IF(INDEX(Références!$BB$2:$BB$201,MATCH($C62,Références!$A$2:$A$201,0))="","",HYPERLINK(DossierPDF&amp;INDEX(Références!$BB$2:$BB$201,MATCH($C62,Références!$A$2:$A$201,0)),"PDF")))</f>
        <v/>
      </c>
    </row>
    <row r="63" spans="2:12" ht="30" customHeight="1" x14ac:dyDescent="0.25">
      <c r="B63" s="64">
        <v>25</v>
      </c>
      <c r="C63" s="38" t="str">
        <f>IFERROR(INDEX(Références!$A$2:$A$201,MATCH("2-25",Références!$AY$2:$AY$201,0)),"")</f>
        <v>BIB-043</v>
      </c>
      <c r="D63" s="3" t="str">
        <f>IF($C63="","",INDEX(Références!$C$2:$C$201,MATCH($C63,Références!$A$2:$A$201,0)))</f>
        <v>Olard (2003)</v>
      </c>
      <c r="E63" s="3" t="str">
        <f>IF($C63="","",INDEX(Références!$D$2:$D$201,MATCH($C63,Références!$A$2:$A$201,0)))</f>
        <v>Comportement thermomécanique des enrobés bitumineux à basses températures. Relations entre les propriétés du liant et de l'enrobé</v>
      </c>
      <c r="F63" s="38" t="str">
        <f>IF($C63="","",INDEX(Références!$H$2:$H$201,MATCH($C63,Références!$A$2:$A$201,0)))</f>
        <v>A consulter</v>
      </c>
      <c r="G63" s="64">
        <f>IF($C63="","",INDEX(Références!$G$2:$G$201,MATCH($C63,Références!$A$2:$A$201,0)))</f>
        <v>3</v>
      </c>
      <c r="H63" s="38" t="str">
        <f>IF($C63="","",INDEX(Références!$J$2:$J$201,MATCH($C63,Références!$A$2:$A$201,0)))</f>
        <v>À lire</v>
      </c>
      <c r="I63" s="38" t="str">
        <f ca="1">IF($C63="","",INDEX(Références!$K$2:$K$201,MATCH($C63,Références!$A$2:$A$201,0)))</f>
        <v>Mois prochain</v>
      </c>
      <c r="J63" s="64">
        <f>IF($C63="","",INDEX(Références!$AT$2:$AT$201,MATCH($C63,Références!$A$2:$A$201,0)))</f>
        <v>1</v>
      </c>
      <c r="K63" s="65" t="str">
        <f>IF($C63="","",HYPERLINK(INDEX(Références!$AF$2:$AF$201,MATCH($C63,Références!$A$2:$A$201,0)),"Ouvrir"))</f>
        <v>Ouvrir</v>
      </c>
      <c r="L63" s="65" t="str">
        <f ca="1">IF($C63="","",IF(INDEX(Références!$BB$2:$BB$201,MATCH($C63,Références!$A$2:$A$201,0))="","",HYPERLINK(DossierPDF&amp;INDEX(Références!$BB$2:$BB$201,MATCH($C63,Références!$A$2:$A$201,0)),"PDF")))</f>
        <v>PDF</v>
      </c>
    </row>
    <row r="64" spans="2:12" ht="30" customHeight="1" x14ac:dyDescent="0.25">
      <c r="B64" s="64">
        <v>26</v>
      </c>
      <c r="C64" s="38" t="str">
        <f>IFERROR(INDEX(Références!$A$2:$A$201,MATCH("2-26",Références!$AY$2:$AY$201,0)),"")</f>
        <v>BIB-044</v>
      </c>
      <c r="D64" s="3" t="str">
        <f>IF($C64="","",INDEX(Références!$C$2:$C$201,MATCH($C64,Références!$A$2:$A$201,0)))</f>
        <v>Tschoegl (1989)</v>
      </c>
      <c r="E64" s="3" t="str">
        <f>IF($C64="","",INDEX(Références!$D$2:$D$201,MATCH($C64,Références!$A$2:$A$201,0)))</f>
        <v>The phenomenological theory of linear viscoelastic behavior: An introduction</v>
      </c>
      <c r="F64" s="38" t="str">
        <f>IF($C64="","",INDEX(Références!$H$2:$H$201,MATCH($C64,Références!$A$2:$A$201,0)))</f>
        <v>A consulter</v>
      </c>
      <c r="G64" s="64">
        <f>IF($C64="","",INDEX(Références!$G$2:$G$201,MATCH($C64,Références!$A$2:$A$201,0)))</f>
        <v>3</v>
      </c>
      <c r="H64" s="38" t="str">
        <f>IF($C64="","",INDEX(Références!$J$2:$J$201,MATCH($C64,Références!$A$2:$A$201,0)))</f>
        <v>À lire</v>
      </c>
      <c r="I64" s="38" t="str">
        <f ca="1">IF($C64="","",INDEX(Références!$K$2:$K$201,MATCH($C64,Références!$A$2:$A$201,0)))</f>
        <v>Mois prochain</v>
      </c>
      <c r="J64" s="64">
        <f>IF($C64="","",INDEX(Références!$AT$2:$AT$201,MATCH($C64,Références!$A$2:$A$201,0)))</f>
        <v>1</v>
      </c>
      <c r="K64" s="65" t="str">
        <f>IF($C64="","",HYPERLINK(INDEX(Références!$AF$2:$AF$201,MATCH($C64,Références!$A$2:$A$201,0)),"Ouvrir"))</f>
        <v>Ouvrir</v>
      </c>
      <c r="L64" s="65" t="str">
        <f ca="1">IF($C64="","",IF(INDEX(Références!$BB$2:$BB$201,MATCH($C64,Références!$A$2:$A$201,0))="","",HYPERLINK(DossierPDF&amp;INDEX(Références!$BB$2:$BB$201,MATCH($C64,Références!$A$2:$A$201,0)),"PDF")))</f>
        <v>PDF</v>
      </c>
    </row>
    <row r="65" spans="2:12" ht="30" customHeight="1" x14ac:dyDescent="0.25">
      <c r="B65" s="64">
        <v>27</v>
      </c>
      <c r="C65" s="38" t="str">
        <f>IFERROR(INDEX(Références!$A$2:$A$201,MATCH("2-27",Références!$AY$2:$AY$201,0)),"")</f>
        <v>BIB-139</v>
      </c>
      <c r="D65" s="3" t="str">
        <f>IF($C65="","",INDEX(Références!$C$2:$C$201,MATCH($C65,Références!$A$2:$A$201,0)))</f>
        <v>Lee (1955)</v>
      </c>
      <c r="E65" s="3" t="str">
        <f>IF($C65="","",INDEX(Références!$D$2:$D$201,MATCH($C65,Références!$A$2:$A$201,0)))</f>
        <v>Stress analysis in visco-elastic bodies</v>
      </c>
      <c r="F65" s="38" t="str">
        <f>IF($C65="","",INDEX(Références!$H$2:$H$201,MATCH($C65,Références!$A$2:$A$201,0)))</f>
        <v>Important</v>
      </c>
      <c r="G65" s="64">
        <f>IF($C65="","",INDEX(Références!$G$2:$G$201,MATCH($C65,Références!$A$2:$A$201,0)))</f>
        <v>3</v>
      </c>
      <c r="H65" s="38" t="str">
        <f>IF($C65="","",INDEX(Références!$J$2:$J$201,MATCH($C65,Références!$A$2:$A$201,0)))</f>
        <v>À lire</v>
      </c>
      <c r="I65" s="38" t="str">
        <f ca="1">IF($C65="","",INDEX(Références!$K$2:$K$201,MATCH($C65,Références!$A$2:$A$201,0)))</f>
        <v>Mois prochain</v>
      </c>
      <c r="J65" s="64">
        <f>IF($C65="","",INDEX(Références!$AT$2:$AT$201,MATCH($C65,Références!$A$2:$A$201,0)))</f>
        <v>3</v>
      </c>
      <c r="K65" s="65" t="str">
        <f>IF($C65="","",HYPERLINK(INDEX(Références!$AF$2:$AF$201,MATCH($C65,Références!$A$2:$A$201,0)),"Ouvrir"))</f>
        <v>Ouvrir</v>
      </c>
      <c r="L65" s="65" t="str">
        <f ca="1">IF($C65="","",IF(INDEX(Références!$BB$2:$BB$201,MATCH($C65,Références!$A$2:$A$201,0))="","",HYPERLINK(DossierPDF&amp;INDEX(Références!$BB$2:$BB$201,MATCH($C65,Références!$A$2:$A$201,0)),"PDF")))</f>
        <v>PDF</v>
      </c>
    </row>
    <row r="66" spans="2:12" ht="30" customHeight="1" x14ac:dyDescent="0.25">
      <c r="B66" s="64">
        <v>28</v>
      </c>
      <c r="C66" s="38" t="str">
        <f>IFERROR(INDEX(Références!$A$2:$A$201,MATCH("2-28",Références!$AY$2:$AY$201,0)),"")</f>
        <v>BIB-140</v>
      </c>
      <c r="D66" s="3" t="str">
        <f>IF($C66="","",INDEX(Références!$C$2:$C$201,MATCH($C66,Références!$A$2:$A$201,0)))</f>
        <v>Christensen (1982)</v>
      </c>
      <c r="E66" s="3" t="str">
        <f>IF($C66="","",INDEX(Références!$D$2:$D$201,MATCH($C66,Références!$A$2:$A$201,0)))</f>
        <v>Theory of viscoelasticity: an introduction (2nd edition)</v>
      </c>
      <c r="F66" s="38" t="str">
        <f>IF($C66="","",INDEX(Références!$H$2:$H$201,MATCH($C66,Références!$A$2:$A$201,0)))</f>
        <v>Important</v>
      </c>
      <c r="G66" s="64">
        <f>IF($C66="","",INDEX(Références!$G$2:$G$201,MATCH($C66,Références!$A$2:$A$201,0)))</f>
        <v>3</v>
      </c>
      <c r="H66" s="38" t="str">
        <f>IF($C66="","",INDEX(Références!$J$2:$J$201,MATCH($C66,Références!$A$2:$A$201,0)))</f>
        <v>À lire</v>
      </c>
      <c r="I66" s="38" t="str">
        <f ca="1">IF($C66="","",INDEX(Références!$K$2:$K$201,MATCH($C66,Références!$A$2:$A$201,0)))</f>
        <v>Mois prochain</v>
      </c>
      <c r="J66" s="64">
        <f>IF($C66="","",INDEX(Références!$AT$2:$AT$201,MATCH($C66,Références!$A$2:$A$201,0)))</f>
        <v>3</v>
      </c>
      <c r="K66" s="65" t="str">
        <f>IF($C66="","",HYPERLINK(INDEX(Références!$AF$2:$AF$201,MATCH($C66,Références!$A$2:$A$201,0)),"Ouvrir"))</f>
        <v>Ouvrir</v>
      </c>
      <c r="L66" s="65" t="str">
        <f>IF($C66="","",IF(INDEX(Références!$BB$2:$BB$201,MATCH($C66,Références!$A$2:$A$201,0))="","",HYPERLINK(DossierPDF&amp;INDEX(Références!$BB$2:$BB$201,MATCH($C66,Références!$A$2:$A$201,0)),"PDF")))</f>
        <v/>
      </c>
    </row>
    <row r="67" spans="2:12" ht="30" customHeight="1" x14ac:dyDescent="0.25">
      <c r="B67" s="64">
        <v>29</v>
      </c>
      <c r="C67" s="38" t="str">
        <f>IFERROR(INDEX(Références!$A$2:$A$201,MATCH("2-29",Références!$AY$2:$AY$201,0)),"")</f>
        <v>BIB-141</v>
      </c>
      <c r="D67" s="3" t="str">
        <f>IF($C67="","",INDEX(Références!$C$2:$C$201,MATCH($C67,Références!$A$2:$A$201,0)))</f>
        <v>Salençon (2009)</v>
      </c>
      <c r="E67" s="3" t="str">
        <f>IF($C67="","",INDEX(Références!$D$2:$D$201,MATCH($C67,Références!$A$2:$A$201,0)))</f>
        <v>Viscoélasticité pour le calcul des structures</v>
      </c>
      <c r="F67" s="38" t="str">
        <f>IF($C67="","",INDEX(Références!$H$2:$H$201,MATCH($C67,Références!$A$2:$A$201,0)))</f>
        <v>Important</v>
      </c>
      <c r="G67" s="64">
        <f>IF($C67="","",INDEX(Références!$G$2:$G$201,MATCH($C67,Références!$A$2:$A$201,0)))</f>
        <v>3</v>
      </c>
      <c r="H67" s="38" t="str">
        <f>IF($C67="","",INDEX(Références!$J$2:$J$201,MATCH($C67,Références!$A$2:$A$201,0)))</f>
        <v>À lire</v>
      </c>
      <c r="I67" s="38" t="str">
        <f ca="1">IF($C67="","",INDEX(Références!$K$2:$K$201,MATCH($C67,Références!$A$2:$A$201,0)))</f>
        <v>Mois prochain</v>
      </c>
      <c r="J67" s="64">
        <f>IF($C67="","",INDEX(Références!$AT$2:$AT$201,MATCH($C67,Références!$A$2:$A$201,0)))</f>
        <v>3</v>
      </c>
      <c r="K67" s="65" t="str">
        <f>IF($C67="","",HYPERLINK(INDEX(Références!$AF$2:$AF$201,MATCH($C67,Références!$A$2:$A$201,0)),"Ouvrir"))</f>
        <v>Ouvrir</v>
      </c>
      <c r="L67" s="65" t="str">
        <f ca="1">IF($C67="","",IF(INDEX(Références!$BB$2:$BB$201,MATCH($C67,Références!$A$2:$A$201,0))="","",HYPERLINK(DossierPDF&amp;INDEX(Références!$BB$2:$BB$201,MATCH($C67,Références!$A$2:$A$201,0)),"PDF")))</f>
        <v>PDF</v>
      </c>
    </row>
    <row r="68" spans="2:12" ht="30" customHeight="1" x14ac:dyDescent="0.25">
      <c r="B68" s="64">
        <v>30</v>
      </c>
      <c r="C68" s="38" t="str">
        <f>IFERROR(INDEX(Références!$A$2:$A$201,MATCH("2-30",Références!$AY$2:$AY$201,0)),"")</f>
        <v/>
      </c>
      <c r="D68" s="3" t="str">
        <f>IF($C68="","",INDEX(Références!$C$2:$C$201,MATCH($C68,Références!$A$2:$A$201,0)))</f>
        <v/>
      </c>
      <c r="E68" s="3" t="str">
        <f>IF($C68="","",INDEX(Références!$D$2:$D$201,MATCH($C68,Références!$A$2:$A$201,0)))</f>
        <v/>
      </c>
      <c r="F68" s="38" t="str">
        <f>IF($C68="","",INDEX(Références!$H$2:$H$201,MATCH($C68,Références!$A$2:$A$201,0)))</f>
        <v/>
      </c>
      <c r="G68" s="64" t="str">
        <f>IF($C68="","",INDEX(Références!$G$2:$G$201,MATCH($C68,Références!$A$2:$A$201,0)))</f>
        <v/>
      </c>
      <c r="H68" s="38" t="str">
        <f>IF($C68="","",INDEX(Références!$J$2:$J$201,MATCH($C68,Références!$A$2:$A$201,0)))</f>
        <v/>
      </c>
      <c r="I68" s="38" t="str">
        <f>IF($C68="","",INDEX(Références!$K$2:$K$201,MATCH($C68,Références!$A$2:$A$201,0)))</f>
        <v/>
      </c>
      <c r="J68" s="64" t="str">
        <f>IF($C68="","",INDEX(Références!$AT$2:$AT$201,MATCH($C68,Références!$A$2:$A$201,0)))</f>
        <v/>
      </c>
      <c r="K68" s="65" t="str">
        <f>IF($C68="","",HYPERLINK(INDEX(Références!$AF$2:$AF$201,MATCH($C68,Références!$A$2:$A$201,0)),"Ouvrir"))</f>
        <v/>
      </c>
      <c r="L68" s="65" t="str">
        <f>IF($C68="","",IF(INDEX(Références!$BB$2:$BB$201,MATCH($C68,Références!$A$2:$A$201,0))="","",HYPERLINK(DossierPDF&amp;INDEX(Références!$BB$2:$BB$201,MATCH($C68,Références!$A$2:$A$201,0)),"PDF")))</f>
        <v/>
      </c>
    </row>
    <row r="69" spans="2:12" ht="30" customHeight="1" x14ac:dyDescent="0.25">
      <c r="B69" s="64">
        <v>31</v>
      </c>
      <c r="C69" s="38" t="str">
        <f>IFERROR(INDEX(Références!$A$2:$A$201,MATCH("2-31",Références!$AY$2:$AY$201,0)),"")</f>
        <v/>
      </c>
      <c r="D69" s="3" t="str">
        <f>IF($C69="","",INDEX(Références!$C$2:$C$201,MATCH($C69,Références!$A$2:$A$201,0)))</f>
        <v/>
      </c>
      <c r="E69" s="3" t="str">
        <f>IF($C69="","",INDEX(Références!$D$2:$D$201,MATCH($C69,Références!$A$2:$A$201,0)))</f>
        <v/>
      </c>
      <c r="F69" s="38" t="str">
        <f>IF($C69="","",INDEX(Références!$H$2:$H$201,MATCH($C69,Références!$A$2:$A$201,0)))</f>
        <v/>
      </c>
      <c r="G69" s="64" t="str">
        <f>IF($C69="","",INDEX(Références!$G$2:$G$201,MATCH($C69,Références!$A$2:$A$201,0)))</f>
        <v/>
      </c>
      <c r="H69" s="38" t="str">
        <f>IF($C69="","",INDEX(Références!$J$2:$J$201,MATCH($C69,Références!$A$2:$A$201,0)))</f>
        <v/>
      </c>
      <c r="I69" s="38" t="str">
        <f>IF($C69="","",INDEX(Références!$K$2:$K$201,MATCH($C69,Références!$A$2:$A$201,0)))</f>
        <v/>
      </c>
      <c r="J69" s="64" t="str">
        <f>IF($C69="","",INDEX(Références!$AT$2:$AT$201,MATCH($C69,Références!$A$2:$A$201,0)))</f>
        <v/>
      </c>
      <c r="K69" s="65" t="str">
        <f>IF($C69="","",HYPERLINK(INDEX(Références!$AF$2:$AF$201,MATCH($C69,Références!$A$2:$A$201,0)),"Ouvrir"))</f>
        <v/>
      </c>
      <c r="L69" s="65" t="str">
        <f>IF($C69="","",IF(INDEX(Références!$BB$2:$BB$201,MATCH($C69,Références!$A$2:$A$201,0))="","",HYPERLINK(DossierPDF&amp;INDEX(Références!$BB$2:$BB$201,MATCH($C69,Références!$A$2:$A$201,0)),"PDF")))</f>
        <v/>
      </c>
    </row>
    <row r="70" spans="2:12" ht="30" customHeight="1" x14ac:dyDescent="0.25">
      <c r="B70" s="64">
        <v>32</v>
      </c>
      <c r="C70" s="38" t="str">
        <f>IFERROR(INDEX(Références!$A$2:$A$201,MATCH("2-32",Références!$AY$2:$AY$201,0)),"")</f>
        <v/>
      </c>
      <c r="D70" s="3" t="str">
        <f>IF($C70="","",INDEX(Références!$C$2:$C$201,MATCH($C70,Références!$A$2:$A$201,0)))</f>
        <v/>
      </c>
      <c r="E70" s="3" t="str">
        <f>IF($C70="","",INDEX(Références!$D$2:$D$201,MATCH($C70,Références!$A$2:$A$201,0)))</f>
        <v/>
      </c>
      <c r="F70" s="38" t="str">
        <f>IF($C70="","",INDEX(Références!$H$2:$H$201,MATCH($C70,Références!$A$2:$A$201,0)))</f>
        <v/>
      </c>
      <c r="G70" s="64" t="str">
        <f>IF($C70="","",INDEX(Références!$G$2:$G$201,MATCH($C70,Références!$A$2:$A$201,0)))</f>
        <v/>
      </c>
      <c r="H70" s="38" t="str">
        <f>IF($C70="","",INDEX(Références!$J$2:$J$201,MATCH($C70,Références!$A$2:$A$201,0)))</f>
        <v/>
      </c>
      <c r="I70" s="38" t="str">
        <f>IF($C70="","",INDEX(Références!$K$2:$K$201,MATCH($C70,Références!$A$2:$A$201,0)))</f>
        <v/>
      </c>
      <c r="J70" s="64" t="str">
        <f>IF($C70="","",INDEX(Références!$AT$2:$AT$201,MATCH($C70,Références!$A$2:$A$201,0)))</f>
        <v/>
      </c>
      <c r="K70" s="65" t="str">
        <f>IF($C70="","",HYPERLINK(INDEX(Références!$AF$2:$AF$201,MATCH($C70,Références!$A$2:$A$201,0)),"Ouvrir"))</f>
        <v/>
      </c>
      <c r="L70" s="65" t="str">
        <f>IF($C70="","",IF(INDEX(Références!$BB$2:$BB$201,MATCH($C70,Références!$A$2:$A$201,0))="","",HYPERLINK(DossierPDF&amp;INDEX(Références!$BB$2:$BB$201,MATCH($C70,Références!$A$2:$A$201,0)),"PDF")))</f>
        <v/>
      </c>
    </row>
    <row r="72" spans="2:12" ht="21.75" customHeight="1" x14ac:dyDescent="0.25">
      <c r="B72" s="77" t="s">
        <v>2916</v>
      </c>
      <c r="C72" s="77"/>
      <c r="D72" s="77"/>
      <c r="E72" s="77"/>
      <c r="F72" s="77"/>
      <c r="G72" s="77"/>
      <c r="H72" s="77"/>
      <c r="I72" s="77"/>
      <c r="J72" s="77"/>
      <c r="K72" s="77"/>
    </row>
    <row r="73" spans="2:12" ht="57.95" customHeight="1" x14ac:dyDescent="0.25">
      <c r="B73" s="60" t="s">
        <v>2909</v>
      </c>
      <c r="C73" s="78" t="s">
        <v>4097</v>
      </c>
      <c r="D73" s="78"/>
      <c r="E73" s="78"/>
      <c r="F73" s="78"/>
      <c r="G73" s="78"/>
      <c r="H73" s="78"/>
      <c r="I73" s="78"/>
      <c r="J73" s="78"/>
      <c r="K73" s="78"/>
    </row>
    <row r="74" spans="2:12" ht="43.5" customHeight="1" x14ac:dyDescent="0.25">
      <c r="B74" s="60" t="s">
        <v>2910</v>
      </c>
      <c r="C74" s="78" t="s">
        <v>2917</v>
      </c>
      <c r="D74" s="78"/>
      <c r="E74" s="78"/>
      <c r="F74" s="78"/>
      <c r="G74" s="78"/>
      <c r="H74" s="78"/>
      <c r="I74" s="78"/>
      <c r="J74" s="78"/>
      <c r="K74" s="78"/>
    </row>
    <row r="75" spans="2:12" x14ac:dyDescent="0.25">
      <c r="B75" s="61" t="s">
        <v>2912</v>
      </c>
      <c r="C75" s="79" t="str">
        <f>COUNTIF(Références!$I$2:$I$201,3)&amp;" références, "&amp;COUNTIFS(Références!$I$2:$I$201,3,Références!$J$2:$J$201,"Lu")&amp;" lues"</f>
        <v>20 références, 0 lues</v>
      </c>
      <c r="D75" s="79"/>
      <c r="E75" s="1" t="str">
        <f>"Heures restantes : "&amp;(SUMIFS(Références!$AT$2:$AT$201,Références!$I$2:$I$201,3)-SUMIFS(Références!$AT$2:$AT$201,Références!$I$2:$I$201,3,Références!$J$2:$J$201,"Lu")-SUMIFS(Références!$AT$2:$AT$201,Références!$I$2:$I$201,3,Références!$J$2:$J$201,"Écarté"))&amp;" h sur "&amp;SUMIFS(Références!$AT$2:$AT$201,Références!$I$2:$I$201,3)&amp;" h prévues"</f>
        <v>Heures restantes : 55 h sur 55 h prévues</v>
      </c>
      <c r="F75" s="62" t="str">
        <f ca="1">IF(COUNTIF(Références!$I$2:$I$201,3)-COUNTIFS(Références!$I$2:$I$201,3,Références!$J$2:$J$201,"Lu")-COUNTIFS(Références!$I$2:$I$201,3,Références!$J$2:$J$201,"Écarté")=0,"Terminé",IF(3&lt;Paramètres!$C$8,"En retard",IF(3=Paramètres!$C$8,"En cours","À venir")))</f>
        <v>À venir</v>
      </c>
    </row>
    <row r="76" spans="2:12" ht="18" customHeight="1" x14ac:dyDescent="0.25">
      <c r="B76" s="63" t="s">
        <v>205</v>
      </c>
      <c r="C76" s="63" t="s">
        <v>51</v>
      </c>
      <c r="D76" s="63" t="s">
        <v>169</v>
      </c>
      <c r="E76" s="63" t="s">
        <v>173</v>
      </c>
      <c r="F76" s="63" t="s">
        <v>170</v>
      </c>
      <c r="G76" s="63" t="s">
        <v>119</v>
      </c>
      <c r="H76" s="63" t="s">
        <v>1662</v>
      </c>
      <c r="I76" s="63" t="s">
        <v>152</v>
      </c>
      <c r="J76" s="63" t="s">
        <v>2913</v>
      </c>
      <c r="K76" s="63" t="s">
        <v>172</v>
      </c>
      <c r="L76" s="63" t="s">
        <v>64</v>
      </c>
    </row>
    <row r="77" spans="2:12" ht="30" customHeight="1" x14ac:dyDescent="0.25">
      <c r="B77" s="64">
        <v>1</v>
      </c>
      <c r="C77" s="38" t="str">
        <f>IFERROR(INDEX(Références!$A$2:$A$201,MATCH("3-1",Références!$AY$2:$AY$201,0)),"")</f>
        <v>BIB-045</v>
      </c>
      <c r="D77" s="3" t="str">
        <f>IF($C77="","",INDEX(Références!$C$2:$C$201,MATCH($C77,Références!$A$2:$A$201,0)))</f>
        <v>AFNOR (2023)</v>
      </c>
      <c r="E77" s="3" t="str">
        <f>IF($C77="","",INDEX(Références!$D$2:$D$201,MATCH($C77,Références!$A$2:$A$201,0)))</f>
        <v>NF EN 12697-26+A1 — Mélanges bitumineux — Méthodes d'essai — Partie 26 : rigidité</v>
      </c>
      <c r="F77" s="38" t="str">
        <f>IF($C77="","",INDEX(Références!$H$2:$H$201,MATCH($C77,Références!$A$2:$A$201,0)))</f>
        <v>INCONTOURNABLE</v>
      </c>
      <c r="G77" s="64">
        <f>IF($C77="","",INDEX(Références!$G$2:$G$201,MATCH($C77,Références!$A$2:$A$201,0)))</f>
        <v>4</v>
      </c>
      <c r="H77" s="38" t="str">
        <f>IF($C77="","",INDEX(Références!$J$2:$J$201,MATCH($C77,Références!$A$2:$A$201,0)))</f>
        <v>À lire</v>
      </c>
      <c r="I77" s="38" t="str">
        <f ca="1">IF($C77="","",INDEX(Références!$K$2:$K$201,MATCH($C77,Références!$A$2:$A$201,0)))</f>
        <v>À venir</v>
      </c>
      <c r="J77" s="64">
        <f>IF($C77="","",INDEX(Références!$AT$2:$AT$201,MATCH($C77,Références!$A$2:$A$201,0)))</f>
        <v>6</v>
      </c>
      <c r="K77" s="65" t="str">
        <f>IF($C77="","",HYPERLINK(INDEX(Références!$AF$2:$AF$201,MATCH($C77,Références!$A$2:$A$201,0)),"Ouvrir"))</f>
        <v>Ouvrir</v>
      </c>
      <c r="L77" s="65" t="str">
        <f>IF($C77="","",IF(INDEX(Références!$BB$2:$BB$201,MATCH($C77,Références!$A$2:$A$201,0))="","",HYPERLINK(DossierPDF&amp;INDEX(Références!$BB$2:$BB$201,MATCH($C77,Références!$A$2:$A$201,0)),"PDF")))</f>
        <v/>
      </c>
    </row>
    <row r="78" spans="2:12" ht="30" customHeight="1" x14ac:dyDescent="0.25">
      <c r="B78" s="64">
        <v>2</v>
      </c>
      <c r="C78" s="38" t="str">
        <f>IFERROR(INDEX(Références!$A$2:$A$201,MATCH("3-2",Références!$AY$2:$AY$201,0)),"")</f>
        <v>BIB-046</v>
      </c>
      <c r="D78" s="3" t="str">
        <f>IF($C78="","",INDEX(Références!$C$2:$C$201,MATCH($C78,Références!$A$2:$A$201,0)))</f>
        <v>Di Benedetto et al. (2011)</v>
      </c>
      <c r="E78" s="3" t="str">
        <f>IF($C78="","",INDEX(Références!$D$2:$D$201,MATCH($C78,Références!$A$2:$A$201,0)))</f>
        <v>Nonlinearity, heating, fatigue and thixotropy during cyclic loading of asphalt mixtures</v>
      </c>
      <c r="F78" s="38" t="str">
        <f>IF($C78="","",INDEX(Références!$H$2:$H$201,MATCH($C78,Références!$A$2:$A$201,0)))</f>
        <v>INCONTOURNABLE</v>
      </c>
      <c r="G78" s="64">
        <f>IF($C78="","",INDEX(Références!$G$2:$G$201,MATCH($C78,Références!$A$2:$A$201,0)))</f>
        <v>4</v>
      </c>
      <c r="H78" s="38" t="str">
        <f>IF($C78="","",INDEX(Références!$J$2:$J$201,MATCH($C78,Références!$A$2:$A$201,0)))</f>
        <v>À lire</v>
      </c>
      <c r="I78" s="38" t="str">
        <f ca="1">IF($C78="","",INDEX(Références!$K$2:$K$201,MATCH($C78,Références!$A$2:$A$201,0)))</f>
        <v>À venir</v>
      </c>
      <c r="J78" s="64">
        <f>IF($C78="","",INDEX(Références!$AT$2:$AT$201,MATCH($C78,Références!$A$2:$A$201,0)))</f>
        <v>6</v>
      </c>
      <c r="K78" s="65" t="str">
        <f>IF($C78="","",HYPERLINK(INDEX(Références!$AF$2:$AF$201,MATCH($C78,Références!$A$2:$A$201,0)),"Ouvrir"))</f>
        <v>Ouvrir</v>
      </c>
      <c r="L78" s="65" t="str">
        <f>IF($C78="","",IF(INDEX(Références!$BB$2:$BB$201,MATCH($C78,Références!$A$2:$A$201,0))="","",HYPERLINK(DossierPDF&amp;INDEX(Références!$BB$2:$BB$201,MATCH($C78,Références!$A$2:$A$201,0)),"PDF")))</f>
        <v/>
      </c>
    </row>
    <row r="79" spans="2:12" ht="30" customHeight="1" x14ac:dyDescent="0.25">
      <c r="B79" s="64">
        <v>3</v>
      </c>
      <c r="C79" s="38" t="str">
        <f>IFERROR(INDEX(Références!$A$2:$A$201,MATCH("3-3",Références!$AY$2:$AY$201,0)),"")</f>
        <v>BIB-047</v>
      </c>
      <c r="D79" s="3" t="str">
        <f>IF($C79="","",INDEX(Références!$C$2:$C$201,MATCH($C79,Références!$A$2:$A$201,0)))</f>
        <v>Nguyen et al. (2017)</v>
      </c>
      <c r="E79" s="3" t="str">
        <f>IF($C79="","",INDEX(Références!$D$2:$D$201,MATCH($C79,Références!$A$2:$A$201,0)))</f>
        <v>3D complex modulus tests on bituminous mixture with sinusoidal loadings in tension and/or compression</v>
      </c>
      <c r="F79" s="38" t="str">
        <f>IF($C79="","",INDEX(Références!$H$2:$H$201,MATCH($C79,Références!$A$2:$A$201,0)))</f>
        <v>INCONTOURNABLE</v>
      </c>
      <c r="G79" s="64">
        <f>IF($C79="","",INDEX(Références!$G$2:$G$201,MATCH($C79,Références!$A$2:$A$201,0)))</f>
        <v>4</v>
      </c>
      <c r="H79" s="38" t="str">
        <f>IF($C79="","",INDEX(Références!$J$2:$J$201,MATCH($C79,Références!$A$2:$A$201,0)))</f>
        <v>À lire</v>
      </c>
      <c r="I79" s="38" t="str">
        <f ca="1">IF($C79="","",INDEX(Références!$K$2:$K$201,MATCH($C79,Références!$A$2:$A$201,0)))</f>
        <v>À venir</v>
      </c>
      <c r="J79" s="64">
        <f>IF($C79="","",INDEX(Références!$AT$2:$AT$201,MATCH($C79,Références!$A$2:$A$201,0)))</f>
        <v>6</v>
      </c>
      <c r="K79" s="65" t="str">
        <f>IF($C79="","",HYPERLINK(INDEX(Références!$AF$2:$AF$201,MATCH($C79,Références!$A$2:$A$201,0)),"Ouvrir"))</f>
        <v>Ouvrir</v>
      </c>
      <c r="L79" s="65" t="str">
        <f>IF($C79="","",IF(INDEX(Références!$BB$2:$BB$201,MATCH($C79,Références!$A$2:$A$201,0))="","",HYPERLINK(DossierPDF&amp;INDEX(Références!$BB$2:$BB$201,MATCH($C79,Références!$A$2:$A$201,0)),"PDF")))</f>
        <v/>
      </c>
    </row>
    <row r="80" spans="2:12" ht="30" customHeight="1" x14ac:dyDescent="0.25">
      <c r="B80" s="64">
        <v>4</v>
      </c>
      <c r="C80" s="38" t="str">
        <f>IFERROR(INDEX(Références!$A$2:$A$201,MATCH("3-4",Références!$AY$2:$AY$201,0)),"")</f>
        <v>BIB-048</v>
      </c>
      <c r="D80" s="3" t="str">
        <f>IF($C80="","",INDEX(Références!$C$2:$C$201,MATCH($C80,Références!$A$2:$A$201,0)))</f>
        <v>Di Benedetto et al. (2007)</v>
      </c>
      <c r="E80" s="3" t="str">
        <f>IF($C80="","",INDEX(Références!$D$2:$D$201,MATCH($C80,Références!$A$2:$A$201,0)))</f>
        <v>Three-dimensional linear behavior of bituminous materials: Experiments and modeling</v>
      </c>
      <c r="F80" s="38" t="str">
        <f>IF($C80="","",INDEX(Références!$H$2:$H$201,MATCH($C80,Références!$A$2:$A$201,0)))</f>
        <v>Important</v>
      </c>
      <c r="G80" s="64">
        <f>IF($C80="","",INDEX(Références!$G$2:$G$201,MATCH($C80,Références!$A$2:$A$201,0)))</f>
        <v>3</v>
      </c>
      <c r="H80" s="38" t="str">
        <f>IF($C80="","",INDEX(Références!$J$2:$J$201,MATCH($C80,Références!$A$2:$A$201,0)))</f>
        <v>À lire</v>
      </c>
      <c r="I80" s="38" t="str">
        <f ca="1">IF($C80="","",INDEX(Références!$K$2:$K$201,MATCH($C80,Références!$A$2:$A$201,0)))</f>
        <v>À venir</v>
      </c>
      <c r="J80" s="64">
        <f>IF($C80="","",INDEX(Références!$AT$2:$AT$201,MATCH($C80,Références!$A$2:$A$201,0)))</f>
        <v>3</v>
      </c>
      <c r="K80" s="65" t="str">
        <f>IF($C80="","",HYPERLINK(INDEX(Références!$AF$2:$AF$201,MATCH($C80,Références!$A$2:$A$201,0)),"Ouvrir"))</f>
        <v>Ouvrir</v>
      </c>
      <c r="L80" s="65" t="str">
        <f>IF($C80="","",IF(INDEX(Références!$BB$2:$BB$201,MATCH($C80,Références!$A$2:$A$201,0))="","",HYPERLINK(DossierPDF&amp;INDEX(Références!$BB$2:$BB$201,MATCH($C80,Références!$A$2:$A$201,0)),"PDF")))</f>
        <v/>
      </c>
    </row>
    <row r="81" spans="2:12" ht="30" customHeight="1" x14ac:dyDescent="0.25">
      <c r="B81" s="64">
        <v>5</v>
      </c>
      <c r="C81" s="38" t="str">
        <f>IFERROR(INDEX(Références!$A$2:$A$201,MATCH("3-5",Références!$AY$2:$AY$201,0)),"")</f>
        <v>BIB-049</v>
      </c>
      <c r="D81" s="3" t="str">
        <f>IF($C81="","",INDEX(Références!$C$2:$C$201,MATCH($C81,Références!$A$2:$A$201,0)))</f>
        <v>Graziani et al. (2014)</v>
      </c>
      <c r="E81" s="3" t="str">
        <f>IF($C81="","",INDEX(Références!$D$2:$D$201,MATCH($C81,Références!$A$2:$A$201,0)))</f>
        <v>Bulk and shear characterization of bituminous mixtures in the linear viscoelastic domain</v>
      </c>
      <c r="F81" s="38" t="str">
        <f>IF($C81="","",INDEX(Références!$H$2:$H$201,MATCH($C81,Références!$A$2:$A$201,0)))</f>
        <v>Important</v>
      </c>
      <c r="G81" s="64">
        <f>IF($C81="","",INDEX(Références!$G$2:$G$201,MATCH($C81,Références!$A$2:$A$201,0)))</f>
        <v>3</v>
      </c>
      <c r="H81" s="38" t="str">
        <f>IF($C81="","",INDEX(Références!$J$2:$J$201,MATCH($C81,Références!$A$2:$A$201,0)))</f>
        <v>À lire</v>
      </c>
      <c r="I81" s="38" t="str">
        <f ca="1">IF($C81="","",INDEX(Références!$K$2:$K$201,MATCH($C81,Références!$A$2:$A$201,0)))</f>
        <v>À venir</v>
      </c>
      <c r="J81" s="64">
        <f>IF($C81="","",INDEX(Références!$AT$2:$AT$201,MATCH($C81,Références!$A$2:$A$201,0)))</f>
        <v>3</v>
      </c>
      <c r="K81" s="65" t="str">
        <f>IF($C81="","",HYPERLINK(INDEX(Références!$AF$2:$AF$201,MATCH($C81,Références!$A$2:$A$201,0)),"Ouvrir"))</f>
        <v>Ouvrir</v>
      </c>
      <c r="L81" s="65" t="str">
        <f>IF($C81="","",IF(INDEX(Références!$BB$2:$BB$201,MATCH($C81,Références!$A$2:$A$201,0))="","",HYPERLINK(DossierPDF&amp;INDEX(Références!$BB$2:$BB$201,MATCH($C81,Références!$A$2:$A$201,0)),"PDF")))</f>
        <v/>
      </c>
    </row>
    <row r="82" spans="2:12" ht="30" customHeight="1" x14ac:dyDescent="0.25">
      <c r="B82" s="64">
        <v>6</v>
      </c>
      <c r="C82" s="38" t="str">
        <f>IFERROR(INDEX(Références!$A$2:$A$201,MATCH("3-6",Références!$AY$2:$AY$201,0)),"")</f>
        <v>BIB-050</v>
      </c>
      <c r="D82" s="3" t="str">
        <f>IF($C82="","",INDEX(Références!$C$2:$C$201,MATCH($C82,Références!$A$2:$A$201,0)))</f>
        <v>Graziani et al. (2014)</v>
      </c>
      <c r="E82" s="3" t="str">
        <f>IF($C82="","",INDEX(Références!$D$2:$D$201,MATCH($C82,Références!$A$2:$A$201,0)))</f>
        <v>Complex Poisson's ratio of bituminous mixtures: measurement and modeling</v>
      </c>
      <c r="F82" s="38" t="str">
        <f>IF($C82="","",INDEX(Références!$H$2:$H$201,MATCH($C82,Références!$A$2:$A$201,0)))</f>
        <v>Important</v>
      </c>
      <c r="G82" s="64">
        <f>IF($C82="","",INDEX(Références!$G$2:$G$201,MATCH($C82,Références!$A$2:$A$201,0)))</f>
        <v>3</v>
      </c>
      <c r="H82" s="38" t="str">
        <f>IF($C82="","",INDEX(Références!$J$2:$J$201,MATCH($C82,Références!$A$2:$A$201,0)))</f>
        <v>À lire</v>
      </c>
      <c r="I82" s="38" t="str">
        <f ca="1">IF($C82="","",INDEX(Références!$K$2:$K$201,MATCH($C82,Références!$A$2:$A$201,0)))</f>
        <v>À venir</v>
      </c>
      <c r="J82" s="64">
        <f>IF($C82="","",INDEX(Références!$AT$2:$AT$201,MATCH($C82,Références!$A$2:$A$201,0)))</f>
        <v>3</v>
      </c>
      <c r="K82" s="65" t="str">
        <f>IF($C82="","",HYPERLINK(INDEX(Références!$AF$2:$AF$201,MATCH($C82,Références!$A$2:$A$201,0)),"Ouvrir"))</f>
        <v>Ouvrir</v>
      </c>
      <c r="L82" s="65" t="str">
        <f>IF($C82="","",IF(INDEX(Références!$BB$2:$BB$201,MATCH($C82,Références!$A$2:$A$201,0))="","",HYPERLINK(DossierPDF&amp;INDEX(Références!$BB$2:$BB$201,MATCH($C82,Références!$A$2:$A$201,0)),"PDF")))</f>
        <v/>
      </c>
    </row>
    <row r="83" spans="2:12" ht="30" customHeight="1" x14ac:dyDescent="0.25">
      <c r="B83" s="64">
        <v>7</v>
      </c>
      <c r="C83" s="38" t="str">
        <f>IFERROR(INDEX(Références!$A$2:$A$201,MATCH("3-7",Références!$AY$2:$AY$201,0)),"")</f>
        <v>BIB-051</v>
      </c>
      <c r="D83" s="3" t="str">
        <f>IF($C83="","",INDEX(Références!$C$2:$C$201,MATCH($C83,Références!$A$2:$A$201,0)))</f>
        <v>Graziani et al. (2017)</v>
      </c>
      <c r="E83" s="3" t="str">
        <f>IF($C83="","",INDEX(Références!$D$2:$D$201,MATCH($C83,Références!$A$2:$A$201,0)))</f>
        <v>Recommendation of RILEM TC 237-SIB on complex Poisson's ratio characterization of bituminous mixtures</v>
      </c>
      <c r="F83" s="38" t="str">
        <f>IF($C83="","",INDEX(Références!$H$2:$H$201,MATCH($C83,Références!$A$2:$A$201,0)))</f>
        <v>Important</v>
      </c>
      <c r="G83" s="64">
        <f>IF($C83="","",INDEX(Références!$G$2:$G$201,MATCH($C83,Références!$A$2:$A$201,0)))</f>
        <v>3</v>
      </c>
      <c r="H83" s="38" t="str">
        <f>IF($C83="","",INDEX(Références!$J$2:$J$201,MATCH($C83,Références!$A$2:$A$201,0)))</f>
        <v>À lire</v>
      </c>
      <c r="I83" s="38" t="str">
        <f ca="1">IF($C83="","",INDEX(Références!$K$2:$K$201,MATCH($C83,Références!$A$2:$A$201,0)))</f>
        <v>À venir</v>
      </c>
      <c r="J83" s="64">
        <f>IF($C83="","",INDEX(Références!$AT$2:$AT$201,MATCH($C83,Références!$A$2:$A$201,0)))</f>
        <v>3</v>
      </c>
      <c r="K83" s="65" t="str">
        <f>IF($C83="","",HYPERLINK(INDEX(Références!$AF$2:$AF$201,MATCH($C83,Références!$A$2:$A$201,0)),"Ouvrir"))</f>
        <v>Ouvrir</v>
      </c>
      <c r="L83" s="65" t="str">
        <f>IF($C83="","",IF(INDEX(Références!$BB$2:$BB$201,MATCH($C83,Références!$A$2:$A$201,0))="","",HYPERLINK(DossierPDF&amp;INDEX(Références!$BB$2:$BB$201,MATCH($C83,Références!$A$2:$A$201,0)),"PDF")))</f>
        <v/>
      </c>
    </row>
    <row r="84" spans="2:12" ht="30" customHeight="1" x14ac:dyDescent="0.25">
      <c r="B84" s="64">
        <v>8</v>
      </c>
      <c r="C84" s="38" t="str">
        <f>IFERROR(INDEX(Références!$A$2:$A$201,MATCH("3-8",Références!$AY$2:$AY$201,0)),"")</f>
        <v>BIB-052</v>
      </c>
      <c r="D84" s="3" t="str">
        <f>IF($C84="","",INDEX(Références!$C$2:$C$201,MATCH($C84,Références!$A$2:$A$201,0)))</f>
        <v>Pham et al. (2015)</v>
      </c>
      <c r="E84" s="3" t="str">
        <f>IF($C84="","",INDEX(Références!$D$2:$D$201,MATCH($C84,Références!$A$2:$A$201,0)))</f>
        <v>Analysis and modeling of 3D complex modulus tests on hot and warm bituminous mixtures</v>
      </c>
      <c r="F84" s="38" t="str">
        <f>IF($C84="","",INDEX(Références!$H$2:$H$201,MATCH($C84,Références!$A$2:$A$201,0)))</f>
        <v>Important</v>
      </c>
      <c r="G84" s="64">
        <f>IF($C84="","",INDEX(Références!$G$2:$G$201,MATCH($C84,Références!$A$2:$A$201,0)))</f>
        <v>3</v>
      </c>
      <c r="H84" s="38" t="str">
        <f>IF($C84="","",INDEX(Références!$J$2:$J$201,MATCH($C84,Références!$A$2:$A$201,0)))</f>
        <v>À lire</v>
      </c>
      <c r="I84" s="38" t="str">
        <f ca="1">IF($C84="","",INDEX(Références!$K$2:$K$201,MATCH($C84,Références!$A$2:$A$201,0)))</f>
        <v>À venir</v>
      </c>
      <c r="J84" s="64">
        <f>IF($C84="","",INDEX(Références!$AT$2:$AT$201,MATCH($C84,Références!$A$2:$A$201,0)))</f>
        <v>3</v>
      </c>
      <c r="K84" s="65" t="str">
        <f>IF($C84="","",HYPERLINK(INDEX(Références!$AF$2:$AF$201,MATCH($C84,Références!$A$2:$A$201,0)),"Ouvrir"))</f>
        <v>Ouvrir</v>
      </c>
      <c r="L84" s="65" t="str">
        <f>IF($C84="","",IF(INDEX(Références!$BB$2:$BB$201,MATCH($C84,Références!$A$2:$A$201,0))="","",HYPERLINK(DossierPDF&amp;INDEX(Références!$BB$2:$BB$201,MATCH($C84,Références!$A$2:$A$201,0)),"PDF")))</f>
        <v/>
      </c>
    </row>
    <row r="85" spans="2:12" ht="30" customHeight="1" x14ac:dyDescent="0.25">
      <c r="B85" s="64">
        <v>9</v>
      </c>
      <c r="C85" s="38" t="str">
        <f>IFERROR(INDEX(Références!$A$2:$A$201,MATCH("3-9",Références!$AY$2:$AY$201,0)),"")</f>
        <v>BIB-053</v>
      </c>
      <c r="D85" s="3" t="str">
        <f>IF($C85="","",INDEX(Références!$C$2:$C$201,MATCH($C85,Références!$A$2:$A$201,0)))</f>
        <v>Di Benedetto et al. (2001)</v>
      </c>
      <c r="E85" s="3" t="str">
        <f>IF($C85="","",INDEX(Références!$D$2:$D$201,MATCH($C85,Références!$A$2:$A$201,0)))</f>
        <v>Stiffness testing for bituminous mixtures</v>
      </c>
      <c r="F85" s="38" t="str">
        <f>IF($C85="","",INDEX(Références!$H$2:$H$201,MATCH($C85,Références!$A$2:$A$201,0)))</f>
        <v>Important</v>
      </c>
      <c r="G85" s="64">
        <f>IF($C85="","",INDEX(Références!$G$2:$G$201,MATCH($C85,Références!$A$2:$A$201,0)))</f>
        <v>4</v>
      </c>
      <c r="H85" s="38" t="str">
        <f>IF($C85="","",INDEX(Références!$J$2:$J$201,MATCH($C85,Références!$A$2:$A$201,0)))</f>
        <v>À lire</v>
      </c>
      <c r="I85" s="38" t="str">
        <f ca="1">IF($C85="","",INDEX(Références!$K$2:$K$201,MATCH($C85,Références!$A$2:$A$201,0)))</f>
        <v>À venir</v>
      </c>
      <c r="J85" s="64">
        <f>IF($C85="","",INDEX(Références!$AT$2:$AT$201,MATCH($C85,Références!$A$2:$A$201,0)))</f>
        <v>3</v>
      </c>
      <c r="K85" s="65" t="str">
        <f>IF($C85="","",HYPERLINK(INDEX(Références!$AF$2:$AF$201,MATCH($C85,Références!$A$2:$A$201,0)),"Ouvrir"))</f>
        <v>Ouvrir</v>
      </c>
      <c r="L85" s="65" t="str">
        <f>IF($C85="","",IF(INDEX(Références!$BB$2:$BB$201,MATCH($C85,Références!$A$2:$A$201,0))="","",HYPERLINK(DossierPDF&amp;INDEX(Références!$BB$2:$BB$201,MATCH($C85,Références!$A$2:$A$201,0)),"PDF")))</f>
        <v/>
      </c>
    </row>
    <row r="86" spans="2:12" ht="30" customHeight="1" x14ac:dyDescent="0.25">
      <c r="B86" s="64">
        <v>10</v>
      </c>
      <c r="C86" s="38" t="str">
        <f>IFERROR(INDEX(Références!$A$2:$A$201,MATCH("3-10",Références!$AY$2:$AY$201,0)),"")</f>
        <v>BIB-054</v>
      </c>
      <c r="D86" s="3" t="str">
        <f>IF($C86="","",INDEX(Références!$C$2:$C$201,MATCH($C86,Références!$A$2:$A$201,0)))</f>
        <v>Gayte et al. (2016)</v>
      </c>
      <c r="E86" s="3" t="str">
        <f>IF($C86="","",INDEX(Références!$D$2:$D$201,MATCH($C86,Références!$A$2:$A$201,0)))</f>
        <v>Influence of transient effects for analysis of complex modulus tests on bituminous mixtures</v>
      </c>
      <c r="F86" s="38" t="str">
        <f>IF($C86="","",INDEX(Références!$H$2:$H$201,MATCH($C86,Références!$A$2:$A$201,0)))</f>
        <v>Important</v>
      </c>
      <c r="G86" s="64">
        <f>IF($C86="","",INDEX(Références!$G$2:$G$201,MATCH($C86,Références!$A$2:$A$201,0)))</f>
        <v>4</v>
      </c>
      <c r="H86" s="38" t="str">
        <f>IF($C86="","",INDEX(Références!$J$2:$J$201,MATCH($C86,Références!$A$2:$A$201,0)))</f>
        <v>À lire</v>
      </c>
      <c r="I86" s="38" t="str">
        <f ca="1">IF($C86="","",INDEX(Références!$K$2:$K$201,MATCH($C86,Références!$A$2:$A$201,0)))</f>
        <v>À venir</v>
      </c>
      <c r="J86" s="64">
        <f>IF($C86="","",INDEX(Références!$AT$2:$AT$201,MATCH($C86,Références!$A$2:$A$201,0)))</f>
        <v>3</v>
      </c>
      <c r="K86" s="65" t="str">
        <f>IF($C86="","",HYPERLINK(INDEX(Références!$AF$2:$AF$201,MATCH($C86,Références!$A$2:$A$201,0)),"Ouvrir"))</f>
        <v>Ouvrir</v>
      </c>
      <c r="L86" s="65" t="str">
        <f>IF($C86="","",IF(INDEX(Références!$BB$2:$BB$201,MATCH($C86,Références!$A$2:$A$201,0))="","",HYPERLINK(DossierPDF&amp;INDEX(Références!$BB$2:$BB$201,MATCH($C86,Références!$A$2:$A$201,0)),"PDF")))</f>
        <v/>
      </c>
    </row>
    <row r="87" spans="2:12" ht="30" customHeight="1" x14ac:dyDescent="0.25">
      <c r="B87" s="64">
        <v>11</v>
      </c>
      <c r="C87" s="38" t="str">
        <f>IFERROR(INDEX(Références!$A$2:$A$201,MATCH("3-11",Références!$AY$2:$AY$201,0)),"")</f>
        <v>BIB-055</v>
      </c>
      <c r="D87" s="3" t="str">
        <f>IF($C87="","",INDEX(Références!$C$2:$C$201,MATCH($C87,Références!$A$2:$A$201,0)))</f>
        <v>Nguyen et al. (2013)</v>
      </c>
      <c r="E87" s="3" t="str">
        <f>IF($C87="","",INDEX(Références!$D$2:$D$201,MATCH($C87,Références!$A$2:$A$201,0)))</f>
        <v>Time temperature superposition principle validation for bituminous mixes in the linear and nonlinear domains</v>
      </c>
      <c r="F87" s="38" t="str">
        <f>IF($C87="","",INDEX(Références!$H$2:$H$201,MATCH($C87,Références!$A$2:$A$201,0)))</f>
        <v>Important</v>
      </c>
      <c r="G87" s="64">
        <f>IF($C87="","",INDEX(Références!$G$2:$G$201,MATCH($C87,Références!$A$2:$A$201,0)))</f>
        <v>4</v>
      </c>
      <c r="H87" s="38" t="str">
        <f>IF($C87="","",INDEX(Références!$J$2:$J$201,MATCH($C87,Références!$A$2:$A$201,0)))</f>
        <v>À lire</v>
      </c>
      <c r="I87" s="38" t="str">
        <f ca="1">IF($C87="","",INDEX(Références!$K$2:$K$201,MATCH($C87,Références!$A$2:$A$201,0)))</f>
        <v>À venir</v>
      </c>
      <c r="J87" s="64">
        <f>IF($C87="","",INDEX(Références!$AT$2:$AT$201,MATCH($C87,Références!$A$2:$A$201,0)))</f>
        <v>3</v>
      </c>
      <c r="K87" s="65" t="str">
        <f>IF($C87="","",HYPERLINK(INDEX(Références!$AF$2:$AF$201,MATCH($C87,Références!$A$2:$A$201,0)),"Ouvrir"))</f>
        <v>Ouvrir</v>
      </c>
      <c r="L87" s="65" t="str">
        <f>IF($C87="","",IF(INDEX(Références!$BB$2:$BB$201,MATCH($C87,Références!$A$2:$A$201,0))="","",HYPERLINK(DossierPDF&amp;INDEX(Références!$BB$2:$BB$201,MATCH($C87,Références!$A$2:$A$201,0)),"PDF")))</f>
        <v/>
      </c>
    </row>
    <row r="88" spans="2:12" ht="30" customHeight="1" x14ac:dyDescent="0.25">
      <c r="B88" s="64">
        <v>12</v>
      </c>
      <c r="C88" s="38" t="str">
        <f>IFERROR(INDEX(Références!$A$2:$A$201,MATCH("3-12",Références!$AY$2:$AY$201,0)),"")</f>
        <v>BIB-056</v>
      </c>
      <c r="D88" s="3" t="str">
        <f>IF($C88="","",INDEX(Références!$C$2:$C$201,MATCH($C88,Références!$A$2:$A$201,0)))</f>
        <v>Di Benedetto (1990)</v>
      </c>
      <c r="E88" s="3" t="str">
        <f>IF($C88="","",INDEX(Références!$D$2:$D$201,MATCH($C88,Références!$A$2:$A$201,0)))</f>
        <v>Nouvelle approche du comportement des enrobés bitumineux : résultats expérimentaux et formulation rhéologique</v>
      </c>
      <c r="F88" s="38" t="str">
        <f>IF($C88="","",INDEX(Références!$H$2:$H$201,MATCH($C88,Références!$A$2:$A$201,0)))</f>
        <v>A consulter</v>
      </c>
      <c r="G88" s="64">
        <f>IF($C88="","",INDEX(Références!$G$2:$G$201,MATCH($C88,Références!$A$2:$A$201,0)))</f>
        <v>3</v>
      </c>
      <c r="H88" s="38" t="str">
        <f>IF($C88="","",INDEX(Références!$J$2:$J$201,MATCH($C88,Références!$A$2:$A$201,0)))</f>
        <v>À lire</v>
      </c>
      <c r="I88" s="38" t="str">
        <f ca="1">IF($C88="","",INDEX(Références!$K$2:$K$201,MATCH($C88,Références!$A$2:$A$201,0)))</f>
        <v>À venir</v>
      </c>
      <c r="J88" s="64">
        <f>IF($C88="","",INDEX(Références!$AT$2:$AT$201,MATCH($C88,Références!$A$2:$A$201,0)))</f>
        <v>1</v>
      </c>
      <c r="K88" s="65" t="str">
        <f>IF($C88="","",HYPERLINK(INDEX(Références!$AF$2:$AF$201,MATCH($C88,Références!$A$2:$A$201,0)),"Ouvrir"))</f>
        <v>Ouvrir</v>
      </c>
      <c r="L88" s="65" t="str">
        <f>IF($C88="","",IF(INDEX(Références!$BB$2:$BB$201,MATCH($C88,Références!$A$2:$A$201,0))="","",HYPERLINK(DossierPDF&amp;INDEX(Références!$BB$2:$BB$201,MATCH($C88,Références!$A$2:$A$201,0)),"PDF")))</f>
        <v/>
      </c>
    </row>
    <row r="89" spans="2:12" ht="30" customHeight="1" x14ac:dyDescent="0.25">
      <c r="B89" s="64">
        <v>13</v>
      </c>
      <c r="C89" s="38" t="str">
        <f>IFERROR(INDEX(Références!$A$2:$A$201,MATCH("3-13",Références!$AY$2:$AY$201,0)),"")</f>
        <v>BIB-057</v>
      </c>
      <c r="D89" s="3" t="str">
        <f>IF($C89="","",INDEX(Références!$C$2:$C$201,MATCH($C89,Références!$A$2:$A$201,0)))</f>
        <v>Nilsson et al. (2002)</v>
      </c>
      <c r="E89" s="3" t="str">
        <f>IF($C89="","",INDEX(Références!$D$2:$D$201,MATCH($C89,Références!$A$2:$A$201,0)))</f>
        <v>Influence of different rheological models on predicted pavement responses in flexible pavements</v>
      </c>
      <c r="F89" s="38" t="str">
        <f>IF($C89="","",INDEX(Références!$H$2:$H$201,MATCH($C89,Références!$A$2:$A$201,0)))</f>
        <v>A consulter</v>
      </c>
      <c r="G89" s="64">
        <f>IF($C89="","",INDEX(Références!$G$2:$G$201,MATCH($C89,Références!$A$2:$A$201,0)))</f>
        <v>3</v>
      </c>
      <c r="H89" s="38" t="str">
        <f>IF($C89="","",INDEX(Références!$J$2:$J$201,MATCH($C89,Références!$A$2:$A$201,0)))</f>
        <v>À lire</v>
      </c>
      <c r="I89" s="38" t="str">
        <f ca="1">IF($C89="","",INDEX(Références!$K$2:$K$201,MATCH($C89,Références!$A$2:$A$201,0)))</f>
        <v>À venir</v>
      </c>
      <c r="J89" s="64">
        <f>IF($C89="","",INDEX(Références!$AT$2:$AT$201,MATCH($C89,Références!$A$2:$A$201,0)))</f>
        <v>1</v>
      </c>
      <c r="K89" s="65" t="str">
        <f>IF($C89="","",HYPERLINK(INDEX(Références!$AF$2:$AF$201,MATCH($C89,Références!$A$2:$A$201,0)),"Ouvrir"))</f>
        <v>Ouvrir</v>
      </c>
      <c r="L89" s="65" t="str">
        <f>IF($C89="","",IF(INDEX(Références!$BB$2:$BB$201,MATCH($C89,Références!$A$2:$A$201,0))="","",HYPERLINK(DossierPDF&amp;INDEX(Références!$BB$2:$BB$201,MATCH($C89,Références!$A$2:$A$201,0)),"PDF")))</f>
        <v/>
      </c>
    </row>
    <row r="90" spans="2:12" ht="30" customHeight="1" x14ac:dyDescent="0.25">
      <c r="B90" s="64">
        <v>14</v>
      </c>
      <c r="C90" s="38" t="str">
        <f>IFERROR(INDEX(Références!$A$2:$A$201,MATCH("3-14",Références!$AY$2:$AY$201,0)),"")</f>
        <v>BIB-058</v>
      </c>
      <c r="D90" s="3" t="str">
        <f>IF($C90="","",INDEX(Références!$C$2:$C$201,MATCH($C90,Références!$A$2:$A$201,0)))</f>
        <v>Williams et al. (1955)</v>
      </c>
      <c r="E90" s="3" t="str">
        <f>IF($C90="","",INDEX(Références!$D$2:$D$201,MATCH($C90,Références!$A$2:$A$201,0)))</f>
        <v>The temperature dependence of relaxation mechanisms in amorphous polymers and other glass-forming liquids</v>
      </c>
      <c r="F90" s="38" t="str">
        <f>IF($C90="","",INDEX(Références!$H$2:$H$201,MATCH($C90,Références!$A$2:$A$201,0)))</f>
        <v>A consulter</v>
      </c>
      <c r="G90" s="64">
        <f>IF($C90="","",INDEX(Références!$G$2:$G$201,MATCH($C90,Références!$A$2:$A$201,0)))</f>
        <v>3</v>
      </c>
      <c r="H90" s="38" t="str">
        <f>IF($C90="","",INDEX(Références!$J$2:$J$201,MATCH($C90,Références!$A$2:$A$201,0)))</f>
        <v>À lire</v>
      </c>
      <c r="I90" s="38" t="str">
        <f ca="1">IF($C90="","",INDEX(Références!$K$2:$K$201,MATCH($C90,Références!$A$2:$A$201,0)))</f>
        <v>À venir</v>
      </c>
      <c r="J90" s="64">
        <f>IF($C90="","",INDEX(Références!$AT$2:$AT$201,MATCH($C90,Références!$A$2:$A$201,0)))</f>
        <v>1</v>
      </c>
      <c r="K90" s="65" t="str">
        <f>IF($C90="","",HYPERLINK(INDEX(Références!$AF$2:$AF$201,MATCH($C90,Références!$A$2:$A$201,0)),"Ouvrir"))</f>
        <v>Ouvrir</v>
      </c>
      <c r="L90" s="65" t="str">
        <f>IF($C90="","",IF(INDEX(Références!$BB$2:$BB$201,MATCH($C90,Références!$A$2:$A$201,0))="","",HYPERLINK(DossierPDF&amp;INDEX(Références!$BB$2:$BB$201,MATCH($C90,Références!$A$2:$A$201,0)),"PDF")))</f>
        <v/>
      </c>
    </row>
    <row r="91" spans="2:12" ht="30" customHeight="1" x14ac:dyDescent="0.25">
      <c r="B91" s="64">
        <v>15</v>
      </c>
      <c r="C91" s="38" t="str">
        <f>IFERROR(INDEX(Références!$A$2:$A$201,MATCH("3-15",Références!$AY$2:$AY$201,0)),"")</f>
        <v>BIB-059</v>
      </c>
      <c r="D91" s="3" t="str">
        <f>IF($C91="","",INDEX(Références!$C$2:$C$201,MATCH($C91,Références!$A$2:$A$201,0)))</f>
        <v>AFNOR (2015)</v>
      </c>
      <c r="E91" s="3" t="str">
        <f>IF($C91="","",INDEX(Références!$D$2:$D$201,MATCH($C91,Références!$A$2:$A$201,0)))</f>
        <v>NF EN 12593 — Bitumes et liants bitumineux — Détermination du point de fragilité Fraass</v>
      </c>
      <c r="F91" s="38" t="str">
        <f>IF($C91="","",INDEX(Références!$H$2:$H$201,MATCH($C91,Références!$A$2:$A$201,0)))</f>
        <v>A consulter</v>
      </c>
      <c r="G91" s="64">
        <f>IF($C91="","",INDEX(Références!$G$2:$G$201,MATCH($C91,Références!$A$2:$A$201,0)))</f>
        <v>4</v>
      </c>
      <c r="H91" s="38" t="str">
        <f>IF($C91="","",INDEX(Références!$J$2:$J$201,MATCH($C91,Références!$A$2:$A$201,0)))</f>
        <v>À lire</v>
      </c>
      <c r="I91" s="38" t="str">
        <f ca="1">IF($C91="","",INDEX(Références!$K$2:$K$201,MATCH($C91,Références!$A$2:$A$201,0)))</f>
        <v>À venir</v>
      </c>
      <c r="J91" s="64">
        <f>IF($C91="","",INDEX(Références!$AT$2:$AT$201,MATCH($C91,Références!$A$2:$A$201,0)))</f>
        <v>1</v>
      </c>
      <c r="K91" s="65" t="str">
        <f>IF($C91="","",HYPERLINK(INDEX(Références!$AF$2:$AF$201,MATCH($C91,Références!$A$2:$A$201,0)),"Ouvrir"))</f>
        <v>Ouvrir</v>
      </c>
      <c r="L91" s="65" t="str">
        <f>IF($C91="","",IF(INDEX(Références!$BB$2:$BB$201,MATCH($C91,Références!$A$2:$A$201,0))="","",HYPERLINK(DossierPDF&amp;INDEX(Références!$BB$2:$BB$201,MATCH($C91,Références!$A$2:$A$201,0)),"PDF")))</f>
        <v/>
      </c>
    </row>
    <row r="92" spans="2:12" ht="30" customHeight="1" x14ac:dyDescent="0.25">
      <c r="B92" s="64">
        <v>16</v>
      </c>
      <c r="C92" s="38" t="str">
        <f>IFERROR(INDEX(Références!$A$2:$A$201,MATCH("3-16",Références!$AY$2:$AY$201,0)),"")</f>
        <v>BIB-060</v>
      </c>
      <c r="D92" s="3" t="str">
        <f>IF($C92="","",INDEX(Références!$C$2:$C$201,MATCH($C92,Références!$A$2:$A$201,0)))</f>
        <v>AFNOR (2018)</v>
      </c>
      <c r="E92" s="3" t="str">
        <f>IF($C92="","",INDEX(Références!$D$2:$D$201,MATCH($C92,Références!$A$2:$A$201,0)))</f>
        <v>NF EN 1427 — Bitumes et liants bitumineux — Détermination du point de ramollissement — Méthode Bille et Anneau</v>
      </c>
      <c r="F92" s="38" t="str">
        <f>IF($C92="","",INDEX(Références!$H$2:$H$201,MATCH($C92,Références!$A$2:$A$201,0)))</f>
        <v>A consulter</v>
      </c>
      <c r="G92" s="64">
        <f>IF($C92="","",INDEX(Références!$G$2:$G$201,MATCH($C92,Références!$A$2:$A$201,0)))</f>
        <v>4</v>
      </c>
      <c r="H92" s="38" t="str">
        <f>IF($C92="","",INDEX(Références!$J$2:$J$201,MATCH($C92,Références!$A$2:$A$201,0)))</f>
        <v>À lire</v>
      </c>
      <c r="I92" s="38" t="str">
        <f ca="1">IF($C92="","",INDEX(Références!$K$2:$K$201,MATCH($C92,Références!$A$2:$A$201,0)))</f>
        <v>À venir</v>
      </c>
      <c r="J92" s="64">
        <f>IF($C92="","",INDEX(Références!$AT$2:$AT$201,MATCH($C92,Références!$A$2:$A$201,0)))</f>
        <v>1</v>
      </c>
      <c r="K92" s="65" t="str">
        <f>IF($C92="","",HYPERLINK(INDEX(Références!$AF$2:$AF$201,MATCH($C92,Références!$A$2:$A$201,0)),"Ouvrir"))</f>
        <v>Ouvrir</v>
      </c>
      <c r="L92" s="65" t="str">
        <f>IF($C92="","",IF(INDEX(Références!$BB$2:$BB$201,MATCH($C92,Références!$A$2:$A$201,0))="","",HYPERLINK(DossierPDF&amp;INDEX(Références!$BB$2:$BB$201,MATCH($C92,Références!$A$2:$A$201,0)),"PDF")))</f>
        <v/>
      </c>
    </row>
    <row r="93" spans="2:12" ht="30" customHeight="1" x14ac:dyDescent="0.25">
      <c r="B93" s="64">
        <v>17</v>
      </c>
      <c r="C93" s="38" t="str">
        <f>IFERROR(INDEX(Références!$A$2:$A$201,MATCH("3-17",Références!$AY$2:$AY$201,0)),"")</f>
        <v>BIB-061</v>
      </c>
      <c r="D93" s="3" t="str">
        <f>IF($C93="","",INDEX(Références!$C$2:$C$201,MATCH($C93,Références!$A$2:$A$201,0)))</f>
        <v>AFNOR (2024)</v>
      </c>
      <c r="E93" s="3" t="str">
        <f>IF($C93="","",INDEX(Références!$D$2:$D$201,MATCH($C93,Références!$A$2:$A$201,0)))</f>
        <v>NF EN 1426 — Bitumes et liants bitumineux — Détermination de la pénétrabilité à l'aiguille</v>
      </c>
      <c r="F93" s="38" t="str">
        <f>IF($C93="","",INDEX(Références!$H$2:$H$201,MATCH($C93,Références!$A$2:$A$201,0)))</f>
        <v>A consulter</v>
      </c>
      <c r="G93" s="64">
        <f>IF($C93="","",INDEX(Références!$G$2:$G$201,MATCH($C93,Références!$A$2:$A$201,0)))</f>
        <v>4</v>
      </c>
      <c r="H93" s="38" t="str">
        <f>IF($C93="","",INDEX(Références!$J$2:$J$201,MATCH($C93,Références!$A$2:$A$201,0)))</f>
        <v>À lire</v>
      </c>
      <c r="I93" s="38" t="str">
        <f ca="1">IF($C93="","",INDEX(Références!$K$2:$K$201,MATCH($C93,Références!$A$2:$A$201,0)))</f>
        <v>À venir</v>
      </c>
      <c r="J93" s="64">
        <f>IF($C93="","",INDEX(Références!$AT$2:$AT$201,MATCH($C93,Références!$A$2:$A$201,0)))</f>
        <v>1</v>
      </c>
      <c r="K93" s="65" t="str">
        <f>IF($C93="","",HYPERLINK(INDEX(Références!$AF$2:$AF$201,MATCH($C93,Références!$A$2:$A$201,0)),"Ouvrir"))</f>
        <v>Ouvrir</v>
      </c>
      <c r="L93" s="65" t="str">
        <f>IF($C93="","",IF(INDEX(Références!$BB$2:$BB$201,MATCH($C93,Références!$A$2:$A$201,0))="","",HYPERLINK(DossierPDF&amp;INDEX(Références!$BB$2:$BB$201,MATCH($C93,Références!$A$2:$A$201,0)),"PDF")))</f>
        <v/>
      </c>
    </row>
    <row r="94" spans="2:12" ht="30" customHeight="1" x14ac:dyDescent="0.25">
      <c r="B94" s="64">
        <v>18</v>
      </c>
      <c r="C94" s="38" t="str">
        <f>IFERROR(INDEX(Références!$A$2:$A$201,MATCH("3-18",Références!$AY$2:$AY$201,0)),"")</f>
        <v>BIB-062</v>
      </c>
      <c r="D94" s="3" t="str">
        <f>IF($C94="","",INDEX(Références!$C$2:$C$201,MATCH($C94,Références!$A$2:$A$201,0)))</f>
        <v>Chailleux et al. (2006)</v>
      </c>
      <c r="E94" s="3" t="str">
        <f>IF($C94="","",INDEX(Références!$D$2:$D$201,MATCH($C94,Références!$A$2:$A$201,0)))</f>
        <v>A mathematical-based master-curve construction method applied to complex modulus of bituminous materials</v>
      </c>
      <c r="F94" s="38" t="str">
        <f>IF($C94="","",INDEX(Références!$H$2:$H$201,MATCH($C94,Références!$A$2:$A$201,0)))</f>
        <v>A consulter</v>
      </c>
      <c r="G94" s="64">
        <f>IF($C94="","",INDEX(Références!$G$2:$G$201,MATCH($C94,Références!$A$2:$A$201,0)))</f>
        <v>4</v>
      </c>
      <c r="H94" s="38" t="str">
        <f>IF($C94="","",INDEX(Références!$J$2:$J$201,MATCH($C94,Références!$A$2:$A$201,0)))</f>
        <v>À lire</v>
      </c>
      <c r="I94" s="38" t="str">
        <f ca="1">IF($C94="","",INDEX(Références!$K$2:$K$201,MATCH($C94,Références!$A$2:$A$201,0)))</f>
        <v>À venir</v>
      </c>
      <c r="J94" s="64">
        <f>IF($C94="","",INDEX(Références!$AT$2:$AT$201,MATCH($C94,Références!$A$2:$A$201,0)))</f>
        <v>1</v>
      </c>
      <c r="K94" s="65" t="str">
        <f>IF($C94="","",HYPERLINK(INDEX(Références!$AF$2:$AF$201,MATCH($C94,Références!$A$2:$A$201,0)),"Ouvrir"))</f>
        <v>Ouvrir</v>
      </c>
      <c r="L94" s="65" t="str">
        <f>IF($C94="","",IF(INDEX(Références!$BB$2:$BB$201,MATCH($C94,Références!$A$2:$A$201,0))="","",HYPERLINK(DossierPDF&amp;INDEX(Références!$BB$2:$BB$201,MATCH($C94,Références!$A$2:$A$201,0)),"PDF")))</f>
        <v/>
      </c>
    </row>
    <row r="95" spans="2:12" ht="30" customHeight="1" x14ac:dyDescent="0.25">
      <c r="B95" s="64">
        <v>19</v>
      </c>
      <c r="C95" s="38" t="str">
        <f>IFERROR(INDEX(Références!$A$2:$A$201,MATCH("3-19",Références!$AY$2:$AY$201,0)),"")</f>
        <v>BIB-175</v>
      </c>
      <c r="D95" s="3" t="str">
        <f>IF($C95="","",INDEX(Références!$C$2:$C$201,MATCH($C95,Références!$A$2:$A$201,0)))</f>
        <v>Kim et al. (2003)</v>
      </c>
      <c r="E95" s="3" t="str">
        <f>IF($C95="","",INDEX(Références!$D$2:$D$201,MATCH($C95,Références!$A$2:$A$201,0)))</f>
        <v>Fatigue and healing characterization of asphalt mixtures</v>
      </c>
      <c r="F95" s="38" t="str">
        <f>IF($C95="","",INDEX(Références!$H$2:$H$201,MATCH($C95,Références!$A$2:$A$201,0)))</f>
        <v>Important</v>
      </c>
      <c r="G95" s="64">
        <f>IF($C95="","",INDEX(Références!$G$2:$G$201,MATCH($C95,Références!$A$2:$A$201,0)))</f>
        <v>6</v>
      </c>
      <c r="H95" s="38" t="str">
        <f>IF($C95="","",INDEX(Références!$J$2:$J$201,MATCH($C95,Références!$A$2:$A$201,0)))</f>
        <v>À lire</v>
      </c>
      <c r="I95" s="38" t="str">
        <f ca="1">IF($C95="","",INDEX(Références!$K$2:$K$201,MATCH($C95,Références!$A$2:$A$201,0)))</f>
        <v>À venir</v>
      </c>
      <c r="J95" s="64">
        <f>IF($C95="","",INDEX(Références!$AT$2:$AT$201,MATCH($C95,Références!$A$2:$A$201,0)))</f>
        <v>3</v>
      </c>
      <c r="K95" s="65" t="str">
        <f>IF($C95="","",HYPERLINK(INDEX(Références!$AF$2:$AF$201,MATCH($C95,Références!$A$2:$A$201,0)),"Ouvrir"))</f>
        <v>Ouvrir</v>
      </c>
      <c r="L95" s="65" t="str">
        <f>IF($C95="","",IF(INDEX(Références!$BB$2:$BB$201,MATCH($C95,Références!$A$2:$A$201,0))="","",HYPERLINK(DossierPDF&amp;INDEX(Références!$BB$2:$BB$201,MATCH($C95,Références!$A$2:$A$201,0)),"PDF")))</f>
        <v/>
      </c>
    </row>
    <row r="96" spans="2:12" ht="30" customHeight="1" x14ac:dyDescent="0.25">
      <c r="B96" s="64">
        <v>20</v>
      </c>
      <c r="C96" s="38" t="str">
        <f>IFERROR(INDEX(Références!$A$2:$A$201,MATCH("3-20",Références!$AY$2:$AY$201,0)),"")</f>
        <v>BIB-177</v>
      </c>
      <c r="D96" s="3" t="str">
        <f>IF($C96="","",INDEX(Références!$C$2:$C$201,MATCH($C96,Références!$A$2:$A$201,0)))</f>
        <v>Underwood &amp; Kim (2013)</v>
      </c>
      <c r="E96" s="3" t="str">
        <f>IF($C96="","",INDEX(Références!$D$2:$D$201,MATCH($C96,Références!$A$2:$A$201,0)))</f>
        <v>Microstructural investigation of asphalt concrete for performing multiscale experimental studies</v>
      </c>
      <c r="F96" s="38" t="str">
        <f>IF($C96="","",INDEX(Références!$H$2:$H$201,MATCH($C96,Références!$A$2:$A$201,0)))</f>
        <v>Important</v>
      </c>
      <c r="G96" s="64">
        <f>IF($C96="","",INDEX(Références!$G$2:$G$201,MATCH($C96,Références!$A$2:$A$201,0)))</f>
        <v>6</v>
      </c>
      <c r="H96" s="38" t="str">
        <f>IF($C96="","",INDEX(Références!$J$2:$J$201,MATCH($C96,Références!$A$2:$A$201,0)))</f>
        <v>À lire</v>
      </c>
      <c r="I96" s="38" t="str">
        <f ca="1">IF($C96="","",INDEX(Références!$K$2:$K$201,MATCH($C96,Références!$A$2:$A$201,0)))</f>
        <v>À venir</v>
      </c>
      <c r="J96" s="64">
        <f>IF($C96="","",INDEX(Références!$AT$2:$AT$201,MATCH($C96,Références!$A$2:$A$201,0)))</f>
        <v>3</v>
      </c>
      <c r="K96" s="65" t="str">
        <f>IF($C96="","",HYPERLINK(INDEX(Références!$AF$2:$AF$201,MATCH($C96,Références!$A$2:$A$201,0)),"Ouvrir"))</f>
        <v>Ouvrir</v>
      </c>
      <c r="L96" s="65" t="str">
        <f>IF($C96="","",IF(INDEX(Références!$BB$2:$BB$201,MATCH($C96,Références!$A$2:$A$201,0))="","",HYPERLINK(DossierPDF&amp;INDEX(Références!$BB$2:$BB$201,MATCH($C96,Références!$A$2:$A$201,0)),"PDF")))</f>
        <v/>
      </c>
    </row>
    <row r="97" spans="2:12" ht="30" customHeight="1" x14ac:dyDescent="0.25">
      <c r="B97" s="64">
        <v>21</v>
      </c>
      <c r="C97" s="38" t="str">
        <f>IFERROR(INDEX(Références!$A$2:$A$201,MATCH("3-21",Références!$AY$2:$AY$201,0)),"")</f>
        <v/>
      </c>
      <c r="D97" s="3" t="str">
        <f>IF($C97="","",INDEX(Références!$C$2:$C$201,MATCH($C97,Références!$A$2:$A$201,0)))</f>
        <v/>
      </c>
      <c r="E97" s="3" t="str">
        <f>IF($C97="","",INDEX(Références!$D$2:$D$201,MATCH($C97,Références!$A$2:$A$201,0)))</f>
        <v/>
      </c>
      <c r="F97" s="38" t="str">
        <f>IF($C97="","",INDEX(Références!$H$2:$H$201,MATCH($C97,Références!$A$2:$A$201,0)))</f>
        <v/>
      </c>
      <c r="G97" s="64" t="str">
        <f>IF($C97="","",INDEX(Références!$G$2:$G$201,MATCH($C97,Références!$A$2:$A$201,0)))</f>
        <v/>
      </c>
      <c r="H97" s="38" t="str">
        <f>IF($C97="","",INDEX(Références!$J$2:$J$201,MATCH($C97,Références!$A$2:$A$201,0)))</f>
        <v/>
      </c>
      <c r="I97" s="38" t="str">
        <f>IF($C97="","",INDEX(Références!$K$2:$K$201,MATCH($C97,Références!$A$2:$A$201,0)))</f>
        <v/>
      </c>
      <c r="J97" s="64" t="str">
        <f>IF($C97="","",INDEX(Références!$AT$2:$AT$201,MATCH($C97,Références!$A$2:$A$201,0)))</f>
        <v/>
      </c>
      <c r="K97" s="65" t="str">
        <f>IF($C97="","",HYPERLINK(INDEX(Références!$AF$2:$AF$201,MATCH($C97,Références!$A$2:$A$201,0)),"Ouvrir"))</f>
        <v/>
      </c>
      <c r="L97" s="65" t="str">
        <f>IF($C97="","",IF(INDEX(Références!$BB$2:$BB$201,MATCH($C97,Références!$A$2:$A$201,0))="","",HYPERLINK(DossierPDF&amp;INDEX(Références!$BB$2:$BB$201,MATCH($C97,Références!$A$2:$A$201,0)),"PDF")))</f>
        <v/>
      </c>
    </row>
    <row r="98" spans="2:12" ht="30" customHeight="1" x14ac:dyDescent="0.25">
      <c r="B98" s="64">
        <v>22</v>
      </c>
      <c r="C98" s="38" t="str">
        <f>IFERROR(INDEX(Références!$A$2:$A$201,MATCH("3-22",Références!$AY$2:$AY$201,0)),"")</f>
        <v/>
      </c>
      <c r="D98" s="3" t="str">
        <f>IF($C98="","",INDEX(Références!$C$2:$C$201,MATCH($C98,Références!$A$2:$A$201,0)))</f>
        <v/>
      </c>
      <c r="E98" s="3" t="str">
        <f>IF($C98="","",INDEX(Références!$D$2:$D$201,MATCH($C98,Références!$A$2:$A$201,0)))</f>
        <v/>
      </c>
      <c r="F98" s="38" t="str">
        <f>IF($C98="","",INDEX(Références!$H$2:$H$201,MATCH($C98,Références!$A$2:$A$201,0)))</f>
        <v/>
      </c>
      <c r="G98" s="64" t="str">
        <f>IF($C98="","",INDEX(Références!$G$2:$G$201,MATCH($C98,Références!$A$2:$A$201,0)))</f>
        <v/>
      </c>
      <c r="H98" s="38" t="str">
        <f>IF($C98="","",INDEX(Références!$J$2:$J$201,MATCH($C98,Références!$A$2:$A$201,0)))</f>
        <v/>
      </c>
      <c r="I98" s="38" t="str">
        <f>IF($C98="","",INDEX(Références!$K$2:$K$201,MATCH($C98,Références!$A$2:$A$201,0)))</f>
        <v/>
      </c>
      <c r="J98" s="64" t="str">
        <f>IF($C98="","",INDEX(Références!$AT$2:$AT$201,MATCH($C98,Références!$A$2:$A$201,0)))</f>
        <v/>
      </c>
      <c r="K98" s="65" t="str">
        <f>IF($C98="","",HYPERLINK(INDEX(Références!$AF$2:$AF$201,MATCH($C98,Références!$A$2:$A$201,0)),"Ouvrir"))</f>
        <v/>
      </c>
      <c r="L98" s="65" t="str">
        <f>IF($C98="","",IF(INDEX(Références!$BB$2:$BB$201,MATCH($C98,Références!$A$2:$A$201,0))="","",HYPERLINK(DossierPDF&amp;INDEX(Références!$BB$2:$BB$201,MATCH($C98,Références!$A$2:$A$201,0)),"PDF")))</f>
        <v/>
      </c>
    </row>
    <row r="99" spans="2:12" ht="30" customHeight="1" x14ac:dyDescent="0.25">
      <c r="B99" s="64">
        <v>23</v>
      </c>
      <c r="C99" s="38" t="str">
        <f>IFERROR(INDEX(Références!$A$2:$A$201,MATCH("3-23",Références!$AY$2:$AY$201,0)),"")</f>
        <v/>
      </c>
      <c r="D99" s="3" t="str">
        <f>IF($C99="","",INDEX(Références!$C$2:$C$201,MATCH($C99,Références!$A$2:$A$201,0)))</f>
        <v/>
      </c>
      <c r="E99" s="3" t="str">
        <f>IF($C99="","",INDEX(Références!$D$2:$D$201,MATCH($C99,Références!$A$2:$A$201,0)))</f>
        <v/>
      </c>
      <c r="F99" s="38" t="str">
        <f>IF($C99="","",INDEX(Références!$H$2:$H$201,MATCH($C99,Références!$A$2:$A$201,0)))</f>
        <v/>
      </c>
      <c r="G99" s="64" t="str">
        <f>IF($C99="","",INDEX(Références!$G$2:$G$201,MATCH($C99,Références!$A$2:$A$201,0)))</f>
        <v/>
      </c>
      <c r="H99" s="38" t="str">
        <f>IF($C99="","",INDEX(Références!$J$2:$J$201,MATCH($C99,Références!$A$2:$A$201,0)))</f>
        <v/>
      </c>
      <c r="I99" s="38" t="str">
        <f>IF($C99="","",INDEX(Références!$K$2:$K$201,MATCH($C99,Références!$A$2:$A$201,0)))</f>
        <v/>
      </c>
      <c r="J99" s="64" t="str">
        <f>IF($C99="","",INDEX(Références!$AT$2:$AT$201,MATCH($C99,Références!$A$2:$A$201,0)))</f>
        <v/>
      </c>
      <c r="K99" s="65" t="str">
        <f>IF($C99="","",HYPERLINK(INDEX(Références!$AF$2:$AF$201,MATCH($C99,Références!$A$2:$A$201,0)),"Ouvrir"))</f>
        <v/>
      </c>
      <c r="L99" s="65" t="str">
        <f>IF($C99="","",IF(INDEX(Références!$BB$2:$BB$201,MATCH($C99,Références!$A$2:$A$201,0))="","",HYPERLINK(DossierPDF&amp;INDEX(Références!$BB$2:$BB$201,MATCH($C99,Références!$A$2:$A$201,0)),"PDF")))</f>
        <v/>
      </c>
    </row>
    <row r="101" spans="2:12" ht="21.75" customHeight="1" x14ac:dyDescent="0.25">
      <c r="B101" s="77" t="s">
        <v>2918</v>
      </c>
      <c r="C101" s="77"/>
      <c r="D101" s="77"/>
      <c r="E101" s="77"/>
      <c r="F101" s="77"/>
      <c r="G101" s="77"/>
      <c r="H101" s="77"/>
      <c r="I101" s="77"/>
      <c r="J101" s="77"/>
      <c r="K101" s="77"/>
    </row>
    <row r="102" spans="2:12" ht="57.95" customHeight="1" x14ac:dyDescent="0.25">
      <c r="B102" s="60" t="s">
        <v>2909</v>
      </c>
      <c r="C102" s="78" t="s">
        <v>4098</v>
      </c>
      <c r="D102" s="78"/>
      <c r="E102" s="78"/>
      <c r="F102" s="78"/>
      <c r="G102" s="78"/>
      <c r="H102" s="78"/>
      <c r="I102" s="78"/>
      <c r="J102" s="78"/>
      <c r="K102" s="78"/>
    </row>
    <row r="103" spans="2:12" ht="43.5" customHeight="1" x14ac:dyDescent="0.25">
      <c r="B103" s="60" t="s">
        <v>2910</v>
      </c>
      <c r="C103" s="78" t="s">
        <v>2919</v>
      </c>
      <c r="D103" s="78"/>
      <c r="E103" s="78"/>
      <c r="F103" s="78"/>
      <c r="G103" s="78"/>
      <c r="H103" s="78"/>
      <c r="I103" s="78"/>
      <c r="J103" s="78"/>
      <c r="K103" s="78"/>
    </row>
    <row r="104" spans="2:12" x14ac:dyDescent="0.25">
      <c r="B104" s="61" t="s">
        <v>2912</v>
      </c>
      <c r="C104" s="79" t="str">
        <f>COUNTIF(Références!$I$2:$I$201,4)&amp;" références, "&amp;COUNTIFS(Références!$I$2:$I$201,4,Références!$J$2:$J$201,"Lu")&amp;" lues"</f>
        <v>29 références, 0 lues</v>
      </c>
      <c r="D104" s="79"/>
      <c r="E104" s="1" t="str">
        <f>"Heures restantes : "&amp;(SUMIFS(Références!$AT$2:$AT$201,Références!$I$2:$I$201,4)-SUMIFS(Références!$AT$2:$AT$201,Références!$I$2:$I$201,4,Références!$J$2:$J$201,"Lu")-SUMIFS(Références!$AT$2:$AT$201,Références!$I$2:$I$201,4,Références!$J$2:$J$201,"Écarté"))&amp;" h sur "&amp;SUMIFS(Références!$AT$2:$AT$201,Références!$I$2:$I$201,4)&amp;" h prévues"</f>
        <v>Heures restantes : 73 h sur 73 h prévues</v>
      </c>
      <c r="F104" s="62" t="str">
        <f ca="1">IF(COUNTIF(Références!$I$2:$I$201,4)-COUNTIFS(Références!$I$2:$I$201,4,Références!$J$2:$J$201,"Lu")-COUNTIFS(Références!$I$2:$I$201,4,Références!$J$2:$J$201,"Écarté")=0,"Terminé",IF(4&lt;Paramètres!$C$8,"En retard",IF(4=Paramètres!$C$8,"En cours","À venir")))</f>
        <v>À venir</v>
      </c>
    </row>
    <row r="105" spans="2:12" ht="18" customHeight="1" x14ac:dyDescent="0.25">
      <c r="B105" s="63" t="s">
        <v>205</v>
      </c>
      <c r="C105" s="63" t="s">
        <v>51</v>
      </c>
      <c r="D105" s="63" t="s">
        <v>169</v>
      </c>
      <c r="E105" s="63" t="s">
        <v>173</v>
      </c>
      <c r="F105" s="63" t="s">
        <v>170</v>
      </c>
      <c r="G105" s="63" t="s">
        <v>119</v>
      </c>
      <c r="H105" s="63" t="s">
        <v>1662</v>
      </c>
      <c r="I105" s="63" t="s">
        <v>152</v>
      </c>
      <c r="J105" s="63" t="s">
        <v>2913</v>
      </c>
      <c r="K105" s="63" t="s">
        <v>172</v>
      </c>
      <c r="L105" s="63" t="s">
        <v>64</v>
      </c>
    </row>
    <row r="106" spans="2:12" ht="30" customHeight="1" x14ac:dyDescent="0.25">
      <c r="B106" s="64">
        <v>1</v>
      </c>
      <c r="C106" s="38" t="str">
        <f>IFERROR(INDEX(Références!$A$2:$A$201,MATCH("4-1",Références!$AY$2:$AY$201,0)),"")</f>
        <v>BIB-063</v>
      </c>
      <c r="D106" s="3" t="str">
        <f>IF($C106="","",INDEX(Références!$C$2:$C$201,MATCH($C106,Références!$A$2:$A$201,0)))</f>
        <v>Roussel (2020)</v>
      </c>
      <c r="E106" s="3" t="str">
        <f>IF($C106="","",INDEX(Références!$D$2:$D$201,MATCH($C106,Références!$A$2:$A$201,0)))</f>
        <v>Apport de la viscoélasticité dans l'analyse dynamique des essais au Heavy Weight Deflectometer</v>
      </c>
      <c r="F106" s="38" t="str">
        <f>IF($C106="","",INDEX(Références!$H$2:$H$201,MATCH($C106,Références!$A$2:$A$201,0)))</f>
        <v>INCONTOURNABLE</v>
      </c>
      <c r="G106" s="64">
        <f>IF($C106="","",INDEX(Références!$G$2:$G$201,MATCH($C106,Références!$A$2:$A$201,0)))</f>
        <v>5</v>
      </c>
      <c r="H106" s="38" t="str">
        <f>IF($C106="","",INDEX(Références!$J$2:$J$201,MATCH($C106,Références!$A$2:$A$201,0)))</f>
        <v>À lire</v>
      </c>
      <c r="I106" s="38" t="str">
        <f ca="1">IF($C106="","",INDEX(Références!$K$2:$K$201,MATCH($C106,Références!$A$2:$A$201,0)))</f>
        <v>À venir</v>
      </c>
      <c r="J106" s="64">
        <f>IF($C106="","",INDEX(Références!$AT$2:$AT$201,MATCH($C106,Références!$A$2:$A$201,0)))</f>
        <v>6</v>
      </c>
      <c r="K106" s="65" t="str">
        <f>IF($C106="","",HYPERLINK(INDEX(Références!$AF$2:$AF$201,MATCH($C106,Références!$A$2:$A$201,0)),"Ouvrir"))</f>
        <v>Ouvrir</v>
      </c>
      <c r="L106" s="65" t="str">
        <f>IF($C106="","",IF(INDEX(Références!$BB$2:$BB$201,MATCH($C106,Références!$A$2:$A$201,0))="","",HYPERLINK(DossierPDF&amp;INDEX(Références!$BB$2:$BB$201,MATCH($C106,Références!$A$2:$A$201,0)),"PDF")))</f>
        <v/>
      </c>
    </row>
    <row r="107" spans="2:12" ht="30" customHeight="1" x14ac:dyDescent="0.25">
      <c r="B107" s="64">
        <v>2</v>
      </c>
      <c r="C107" s="38" t="str">
        <f>IFERROR(INDEX(Références!$A$2:$A$201,MATCH("4-2",Références!$AY$2:$AY$201,0)),"")</f>
        <v>BIB-064</v>
      </c>
      <c r="D107" s="3" t="str">
        <f>IF($C107="","",INDEX(Références!$C$2:$C$201,MATCH($C107,Références!$A$2:$A$201,0)))</f>
        <v>STAC (2016)</v>
      </c>
      <c r="E107" s="3" t="str">
        <f>IF($C107="","",INDEX(Références!$D$2:$D$201,MATCH($C107,Références!$A$2:$A$201,0)))</f>
        <v>Méthode rationnelle de dimensionnement des chaussées aéronautiques souples — Guide technique</v>
      </c>
      <c r="F107" s="38" t="str">
        <f>IF($C107="","",INDEX(Références!$H$2:$H$201,MATCH($C107,Références!$A$2:$A$201,0)))</f>
        <v>INCONTOURNABLE</v>
      </c>
      <c r="G107" s="64">
        <f>IF($C107="","",INDEX(Références!$G$2:$G$201,MATCH($C107,Références!$A$2:$A$201,0)))</f>
        <v>7</v>
      </c>
      <c r="H107" s="38" t="str">
        <f>IF($C107="","",INDEX(Références!$J$2:$J$201,MATCH($C107,Références!$A$2:$A$201,0)))</f>
        <v>À lire</v>
      </c>
      <c r="I107" s="38" t="str">
        <f ca="1">IF($C107="","",INDEX(Références!$K$2:$K$201,MATCH($C107,Références!$A$2:$A$201,0)))</f>
        <v>À venir</v>
      </c>
      <c r="J107" s="64">
        <f>IF($C107="","",INDEX(Références!$AT$2:$AT$201,MATCH($C107,Références!$A$2:$A$201,0)))</f>
        <v>6</v>
      </c>
      <c r="K107" s="65" t="str">
        <f>IF($C107="","",HYPERLINK(INDEX(Références!$AF$2:$AF$201,MATCH($C107,Références!$A$2:$A$201,0)),"Ouvrir"))</f>
        <v>Ouvrir</v>
      </c>
      <c r="L107" s="65" t="str">
        <f>IF($C107="","",IF(INDEX(Références!$BB$2:$BB$201,MATCH($C107,Références!$A$2:$A$201,0))="","",HYPERLINK(DossierPDF&amp;INDEX(Références!$BB$2:$BB$201,MATCH($C107,Références!$A$2:$A$201,0)),"PDF")))</f>
        <v/>
      </c>
    </row>
    <row r="108" spans="2:12" ht="30" customHeight="1" x14ac:dyDescent="0.25">
      <c r="B108" s="64">
        <v>3</v>
      </c>
      <c r="C108" s="38" t="str">
        <f>IFERROR(INDEX(Références!$A$2:$A$201,MATCH("4-3",Références!$AY$2:$AY$201,0)),"")</f>
        <v>BIB-065</v>
      </c>
      <c r="D108" s="3" t="str">
        <f>IF($C108="","",INDEX(Références!$C$2:$C$201,MATCH($C108,Références!$A$2:$A$201,0)))</f>
        <v>Burmister (1945)</v>
      </c>
      <c r="E108" s="3" t="str">
        <f>IF($C108="","",INDEX(Références!$D$2:$D$201,MATCH($C108,Références!$A$2:$A$201,0)))</f>
        <v>The general theory of stresses and displacements in layered systems. I</v>
      </c>
      <c r="F108" s="38" t="str">
        <f>IF($C108="","",INDEX(Références!$H$2:$H$201,MATCH($C108,Références!$A$2:$A$201,0)))</f>
        <v>Important</v>
      </c>
      <c r="G108" s="64">
        <f>IF($C108="","",INDEX(Références!$G$2:$G$201,MATCH($C108,Références!$A$2:$A$201,0)))</f>
        <v>5</v>
      </c>
      <c r="H108" s="38" t="str">
        <f>IF($C108="","",INDEX(Références!$J$2:$J$201,MATCH($C108,Références!$A$2:$A$201,0)))</f>
        <v>À lire</v>
      </c>
      <c r="I108" s="38" t="str">
        <f ca="1">IF($C108="","",INDEX(Références!$K$2:$K$201,MATCH($C108,Références!$A$2:$A$201,0)))</f>
        <v>À venir</v>
      </c>
      <c r="J108" s="64">
        <f>IF($C108="","",INDEX(Références!$AT$2:$AT$201,MATCH($C108,Références!$A$2:$A$201,0)))</f>
        <v>3</v>
      </c>
      <c r="K108" s="65" t="str">
        <f>IF($C108="","",HYPERLINK(INDEX(Références!$AF$2:$AF$201,MATCH($C108,Références!$A$2:$A$201,0)),"Ouvrir"))</f>
        <v>Ouvrir</v>
      </c>
      <c r="L108" s="65" t="str">
        <f>IF($C108="","",IF(INDEX(Références!$BB$2:$BB$201,MATCH($C108,Références!$A$2:$A$201,0))="","",HYPERLINK(DossierPDF&amp;INDEX(Références!$BB$2:$BB$201,MATCH($C108,Références!$A$2:$A$201,0)),"PDF")))</f>
        <v/>
      </c>
    </row>
    <row r="109" spans="2:12" ht="30" customHeight="1" x14ac:dyDescent="0.25">
      <c r="B109" s="64">
        <v>4</v>
      </c>
      <c r="C109" s="38" t="str">
        <f>IFERROR(INDEX(Références!$A$2:$A$201,MATCH("4-4",Références!$AY$2:$AY$201,0)),"")</f>
        <v>BIB-066</v>
      </c>
      <c r="D109" s="3" t="str">
        <f>IF($C109="","",INDEX(Références!$C$2:$C$201,MATCH($C109,Références!$A$2:$A$201,0)))</f>
        <v>Elseifi et al. (2006)</v>
      </c>
      <c r="E109" s="3" t="str">
        <f>IF($C109="","",INDEX(Références!$D$2:$D$201,MATCH($C109,Références!$A$2:$A$201,0)))</f>
        <v>Viscoelastic modeling and field validation of flexible pavements</v>
      </c>
      <c r="F109" s="38" t="str">
        <f>IF($C109="","",INDEX(Références!$H$2:$H$201,MATCH($C109,Références!$A$2:$A$201,0)))</f>
        <v>Important</v>
      </c>
      <c r="G109" s="64">
        <f>IF($C109="","",INDEX(Références!$G$2:$G$201,MATCH($C109,Références!$A$2:$A$201,0)))</f>
        <v>5</v>
      </c>
      <c r="H109" s="38" t="str">
        <f>IF($C109="","",INDEX(Références!$J$2:$J$201,MATCH($C109,Références!$A$2:$A$201,0)))</f>
        <v>À lire</v>
      </c>
      <c r="I109" s="38" t="str">
        <f ca="1">IF($C109="","",INDEX(Références!$K$2:$K$201,MATCH($C109,Références!$A$2:$A$201,0)))</f>
        <v>À venir</v>
      </c>
      <c r="J109" s="64">
        <f>IF($C109="","",INDEX(Références!$AT$2:$AT$201,MATCH($C109,Références!$A$2:$A$201,0)))</f>
        <v>3</v>
      </c>
      <c r="K109" s="65" t="str">
        <f>IF($C109="","",HYPERLINK(INDEX(Références!$AF$2:$AF$201,MATCH($C109,Références!$A$2:$A$201,0)),"Ouvrir"))</f>
        <v>Ouvrir</v>
      </c>
      <c r="L109" s="65" t="str">
        <f>IF($C109="","",IF(INDEX(Références!$BB$2:$BB$201,MATCH($C109,Références!$A$2:$A$201,0))="","",HYPERLINK(DossierPDF&amp;INDEX(Références!$BB$2:$BB$201,MATCH($C109,Références!$A$2:$A$201,0)),"PDF")))</f>
        <v/>
      </c>
    </row>
    <row r="110" spans="2:12" ht="30" customHeight="1" x14ac:dyDescent="0.25">
      <c r="B110" s="64">
        <v>5</v>
      </c>
      <c r="C110" s="38" t="str">
        <f>IFERROR(INDEX(Références!$A$2:$A$201,MATCH("4-5",Références!$AY$2:$AY$201,0)),"")</f>
        <v>BIB-067</v>
      </c>
      <c r="D110" s="3" t="str">
        <f>IF($C110="","",INDEX(Références!$C$2:$C$201,MATCH($C110,Références!$A$2:$A$201,0)))</f>
        <v>Jiang et al. (2019)</v>
      </c>
      <c r="E110" s="3" t="str">
        <f>IF($C110="","",INDEX(Références!$D$2:$D$201,MATCH($C110,Références!$A$2:$A$201,0)))</f>
        <v>3D FEM analysis of flexible base asphalt pavement structure under non-uniform tyre contact pressure</v>
      </c>
      <c r="F110" s="38" t="str">
        <f>IF($C110="","",INDEX(Références!$H$2:$H$201,MATCH($C110,Références!$A$2:$A$201,0)))</f>
        <v>Important</v>
      </c>
      <c r="G110" s="64">
        <f>IF($C110="","",INDEX(Références!$G$2:$G$201,MATCH($C110,Références!$A$2:$A$201,0)))</f>
        <v>5</v>
      </c>
      <c r="H110" s="38" t="str">
        <f>IF($C110="","",INDEX(Références!$J$2:$J$201,MATCH($C110,Références!$A$2:$A$201,0)))</f>
        <v>À lire</v>
      </c>
      <c r="I110" s="38" t="str">
        <f ca="1">IF($C110="","",INDEX(Références!$K$2:$K$201,MATCH($C110,Références!$A$2:$A$201,0)))</f>
        <v>À venir</v>
      </c>
      <c r="J110" s="64">
        <f>IF($C110="","",INDEX(Références!$AT$2:$AT$201,MATCH($C110,Références!$A$2:$A$201,0)))</f>
        <v>3</v>
      </c>
      <c r="K110" s="65" t="str">
        <f>IF($C110="","",HYPERLINK(INDEX(Références!$AF$2:$AF$201,MATCH($C110,Références!$A$2:$A$201,0)),"Ouvrir"))</f>
        <v>Ouvrir</v>
      </c>
      <c r="L110" s="65" t="str">
        <f>IF($C110="","",IF(INDEX(Références!$BB$2:$BB$201,MATCH($C110,Références!$A$2:$A$201,0))="","",HYPERLINK(DossierPDF&amp;INDEX(Références!$BB$2:$BB$201,MATCH($C110,Références!$A$2:$A$201,0)),"PDF")))</f>
        <v/>
      </c>
    </row>
    <row r="111" spans="2:12" ht="30" customHeight="1" x14ac:dyDescent="0.25">
      <c r="B111" s="64">
        <v>6</v>
      </c>
      <c r="C111" s="38" t="str">
        <f>IFERROR(INDEX(Références!$A$2:$A$201,MATCH("4-6",Références!$AY$2:$AY$201,0)),"")</f>
        <v>BIB-068</v>
      </c>
      <c r="D111" s="3" t="str">
        <f>IF($C111="","",INDEX(Références!$C$2:$C$201,MATCH($C111,Références!$A$2:$A$201,0)))</f>
        <v>Perret (2003)</v>
      </c>
      <c r="E111" s="3" t="str">
        <f>IF($C111="","",INDEX(Références!$D$2:$D$201,MATCH($C111,Références!$A$2:$A$201,0)))</f>
        <v>Déformations des couches bitumineuses au passage d'une charge de trafic</v>
      </c>
      <c r="F111" s="38" t="str">
        <f>IF($C111="","",INDEX(Références!$H$2:$H$201,MATCH($C111,Références!$A$2:$A$201,0)))</f>
        <v>Important</v>
      </c>
      <c r="G111" s="64">
        <f>IF($C111="","",INDEX(Références!$G$2:$G$201,MATCH($C111,Références!$A$2:$A$201,0)))</f>
        <v>5</v>
      </c>
      <c r="H111" s="38" t="str">
        <f>IF($C111="","",INDEX(Références!$J$2:$J$201,MATCH($C111,Références!$A$2:$A$201,0)))</f>
        <v>À lire</v>
      </c>
      <c r="I111" s="38" t="str">
        <f ca="1">IF($C111="","",INDEX(Références!$K$2:$K$201,MATCH($C111,Références!$A$2:$A$201,0)))</f>
        <v>À venir</v>
      </c>
      <c r="J111" s="64">
        <f>IF($C111="","",INDEX(Références!$AT$2:$AT$201,MATCH($C111,Références!$A$2:$A$201,0)))</f>
        <v>3</v>
      </c>
      <c r="K111" s="65" t="str">
        <f>IF($C111="","",HYPERLINK(INDEX(Références!$AF$2:$AF$201,MATCH($C111,Références!$A$2:$A$201,0)),"Ouvrir"))</f>
        <v>Ouvrir</v>
      </c>
      <c r="L111" s="65" t="str">
        <f>IF($C111="","",IF(INDEX(Références!$BB$2:$BB$201,MATCH($C111,Références!$A$2:$A$201,0))="","",HYPERLINK(DossierPDF&amp;INDEX(Références!$BB$2:$BB$201,MATCH($C111,Références!$A$2:$A$201,0)),"PDF")))</f>
        <v/>
      </c>
    </row>
    <row r="112" spans="2:12" ht="30" customHeight="1" x14ac:dyDescent="0.25">
      <c r="B112" s="64">
        <v>7</v>
      </c>
      <c r="C112" s="38" t="str">
        <f>IFERROR(INDEX(Références!$A$2:$A$201,MATCH("4-7",Références!$AY$2:$AY$201,0)),"")</f>
        <v>BIB-069</v>
      </c>
      <c r="D112" s="3" t="str">
        <f>IF($C112="","",INDEX(Références!$C$2:$C$201,MATCH($C112,Références!$A$2:$A$201,0)))</f>
        <v>Pouget (2011)</v>
      </c>
      <c r="E112" s="3" t="str">
        <f>IF($C112="","",INDEX(Références!$D$2:$D$201,MATCH($C112,Références!$A$2:$A$201,0)))</f>
        <v>Influence des propriétés élastiques ou viscoélastiques des revêtements sur le comportement des ponts à dalle orthotrope</v>
      </c>
      <c r="F112" s="38" t="str">
        <f>IF($C112="","",INDEX(Références!$H$2:$H$201,MATCH($C112,Références!$A$2:$A$201,0)))</f>
        <v>Important</v>
      </c>
      <c r="G112" s="64">
        <f>IF($C112="","",INDEX(Références!$G$2:$G$201,MATCH($C112,Références!$A$2:$A$201,0)))</f>
        <v>5</v>
      </c>
      <c r="H112" s="38" t="str">
        <f>IF($C112="","",INDEX(Références!$J$2:$J$201,MATCH($C112,Références!$A$2:$A$201,0)))</f>
        <v>À lire</v>
      </c>
      <c r="I112" s="38" t="str">
        <f ca="1">IF($C112="","",INDEX(Références!$K$2:$K$201,MATCH($C112,Références!$A$2:$A$201,0)))</f>
        <v>À venir</v>
      </c>
      <c r="J112" s="64">
        <f>IF($C112="","",INDEX(Références!$AT$2:$AT$201,MATCH($C112,Références!$A$2:$A$201,0)))</f>
        <v>3</v>
      </c>
      <c r="K112" s="65" t="str">
        <f>IF($C112="","",HYPERLINK(INDEX(Références!$AF$2:$AF$201,MATCH($C112,Références!$A$2:$A$201,0)),"Ouvrir"))</f>
        <v>Ouvrir</v>
      </c>
      <c r="L112" s="65" t="str">
        <f>IF($C112="","",IF(INDEX(Références!$BB$2:$BB$201,MATCH($C112,Références!$A$2:$A$201,0))="","",HYPERLINK(DossierPDF&amp;INDEX(Références!$BB$2:$BB$201,MATCH($C112,Références!$A$2:$A$201,0)),"PDF")))</f>
        <v/>
      </c>
    </row>
    <row r="113" spans="2:12" ht="30" customHeight="1" x14ac:dyDescent="0.25">
      <c r="B113" s="64">
        <v>8</v>
      </c>
      <c r="C113" s="38" t="str">
        <f>IFERROR(INDEX(Références!$A$2:$A$201,MATCH("4-8",Références!$AY$2:$AY$201,0)),"")</f>
        <v>BIB-070</v>
      </c>
      <c r="D113" s="3" t="str">
        <f>IF($C113="","",INDEX(Références!$C$2:$C$201,MATCH($C113,Références!$A$2:$A$201,0)))</f>
        <v>Roussel et al. (2019)</v>
      </c>
      <c r="E113" s="3" t="str">
        <f>IF($C113="","",INDEX(Références!$D$2:$D$201,MATCH($C113,Références!$A$2:$A$201,0)))</f>
        <v>Numerical simulation of falling/heavy weight deflectometer test considering linear viscoelastic behaviour in bituminous layers and inertia effects</v>
      </c>
      <c r="F113" s="38" t="str">
        <f>IF($C113="","",INDEX(Références!$H$2:$H$201,MATCH($C113,Références!$A$2:$A$201,0)))</f>
        <v>Important</v>
      </c>
      <c r="G113" s="64">
        <f>IF($C113="","",INDEX(Références!$G$2:$G$201,MATCH($C113,Références!$A$2:$A$201,0)))</f>
        <v>5</v>
      </c>
      <c r="H113" s="38" t="str">
        <f>IF($C113="","",INDEX(Références!$J$2:$J$201,MATCH($C113,Références!$A$2:$A$201,0)))</f>
        <v>À lire</v>
      </c>
      <c r="I113" s="38" t="str">
        <f ca="1">IF($C113="","",INDEX(Références!$K$2:$K$201,MATCH($C113,Références!$A$2:$A$201,0)))</f>
        <v>À venir</v>
      </c>
      <c r="J113" s="64">
        <f>IF($C113="","",INDEX(Références!$AT$2:$AT$201,MATCH($C113,Références!$A$2:$A$201,0)))</f>
        <v>3</v>
      </c>
      <c r="K113" s="65" t="str">
        <f>IF($C113="","",HYPERLINK(INDEX(Références!$AF$2:$AF$201,MATCH($C113,Références!$A$2:$A$201,0)),"Ouvrir"))</f>
        <v>Ouvrir</v>
      </c>
      <c r="L113" s="65" t="str">
        <f>IF($C113="","",IF(INDEX(Références!$BB$2:$BB$201,MATCH($C113,Références!$A$2:$A$201,0))="","",HYPERLINK(DossierPDF&amp;INDEX(Références!$BB$2:$BB$201,MATCH($C113,Références!$A$2:$A$201,0)),"PDF")))</f>
        <v/>
      </c>
    </row>
    <row r="114" spans="2:12" ht="30" customHeight="1" x14ac:dyDescent="0.25">
      <c r="B114" s="64">
        <v>9</v>
      </c>
      <c r="C114" s="38" t="str">
        <f>IFERROR(INDEX(Références!$A$2:$A$201,MATCH("4-9",Références!$AY$2:$AY$201,0)),"")</f>
        <v>BIB-071</v>
      </c>
      <c r="D114" s="3" t="str">
        <f>IF($C114="","",INDEX(Références!$C$2:$C$201,MATCH($C114,Références!$A$2:$A$201,0)))</f>
        <v>Wang &amp; Al-Qadi (2009)</v>
      </c>
      <c r="E114" s="3" t="str">
        <f>IF($C114="","",INDEX(Références!$D$2:$D$201,MATCH($C114,Références!$A$2:$A$201,0)))</f>
        <v>Combined effect of moving wheel loading and three-dimensional contact stresses on perpetual pavement responses</v>
      </c>
      <c r="F114" s="38" t="str">
        <f>IF($C114="","",INDEX(Références!$H$2:$H$201,MATCH($C114,Références!$A$2:$A$201,0)))</f>
        <v>Important</v>
      </c>
      <c r="G114" s="64">
        <f>IF($C114="","",INDEX(Références!$G$2:$G$201,MATCH($C114,Références!$A$2:$A$201,0)))</f>
        <v>5</v>
      </c>
      <c r="H114" s="38" t="str">
        <f>IF($C114="","",INDEX(Références!$J$2:$J$201,MATCH($C114,Références!$A$2:$A$201,0)))</f>
        <v>À lire</v>
      </c>
      <c r="I114" s="38" t="str">
        <f ca="1">IF($C114="","",INDEX(Références!$K$2:$K$201,MATCH($C114,Références!$A$2:$A$201,0)))</f>
        <v>À venir</v>
      </c>
      <c r="J114" s="64">
        <f>IF($C114="","",INDEX(Références!$AT$2:$AT$201,MATCH($C114,Références!$A$2:$A$201,0)))</f>
        <v>3</v>
      </c>
      <c r="K114" s="65" t="str">
        <f>IF($C114="","",HYPERLINK(INDEX(Références!$AF$2:$AF$201,MATCH($C114,Références!$A$2:$A$201,0)),"Ouvrir"))</f>
        <v>Ouvrir</v>
      </c>
      <c r="L114" s="65" t="str">
        <f>IF($C114="","",IF(INDEX(Références!$BB$2:$BB$201,MATCH($C114,Références!$A$2:$A$201,0))="","",HYPERLINK(DossierPDF&amp;INDEX(Références!$BB$2:$BB$201,MATCH($C114,Références!$A$2:$A$201,0)),"PDF")))</f>
        <v/>
      </c>
    </row>
    <row r="115" spans="2:12" ht="30" customHeight="1" x14ac:dyDescent="0.25">
      <c r="B115" s="64">
        <v>10</v>
      </c>
      <c r="C115" s="38" t="str">
        <f>IFERROR(INDEX(Références!$A$2:$A$201,MATCH("4-10",Références!$AY$2:$AY$201,0)),"")</f>
        <v>BIB-072</v>
      </c>
      <c r="D115" s="3" t="str">
        <f>IF($C115="","",INDEX(Références!$C$2:$C$201,MATCH($C115,Références!$A$2:$A$201,0)))</f>
        <v>Wu et al. (2020)</v>
      </c>
      <c r="E115" s="3" t="str">
        <f>IF($C115="","",INDEX(Références!$D$2:$D$201,MATCH($C115,Références!$A$2:$A$201,0)))</f>
        <v>Prediction of viscoelastic pavement responses under moving load and nonuniform tire contact stresses using 2.5-D finite element method</v>
      </c>
      <c r="F115" s="38" t="str">
        <f>IF($C115="","",INDEX(Références!$H$2:$H$201,MATCH($C115,Références!$A$2:$A$201,0)))</f>
        <v>Important</v>
      </c>
      <c r="G115" s="64">
        <f>IF($C115="","",INDEX(Références!$G$2:$G$201,MATCH($C115,Références!$A$2:$A$201,0)))</f>
        <v>5</v>
      </c>
      <c r="H115" s="38" t="str">
        <f>IF($C115="","",INDEX(Références!$J$2:$J$201,MATCH($C115,Références!$A$2:$A$201,0)))</f>
        <v>À lire</v>
      </c>
      <c r="I115" s="38" t="str">
        <f ca="1">IF($C115="","",INDEX(Références!$K$2:$K$201,MATCH($C115,Références!$A$2:$A$201,0)))</f>
        <v>À venir</v>
      </c>
      <c r="J115" s="64">
        <f>IF($C115="","",INDEX(Références!$AT$2:$AT$201,MATCH($C115,Références!$A$2:$A$201,0)))</f>
        <v>3</v>
      </c>
      <c r="K115" s="65" t="str">
        <f>IF($C115="","",HYPERLINK(INDEX(Références!$AF$2:$AF$201,MATCH($C115,Références!$A$2:$A$201,0)),"Ouvrir"))</f>
        <v>Ouvrir</v>
      </c>
      <c r="L115" s="65" t="str">
        <f>IF($C115="","",IF(INDEX(Références!$BB$2:$BB$201,MATCH($C115,Références!$A$2:$A$201,0))="","",HYPERLINK(DossierPDF&amp;INDEX(Références!$BB$2:$BB$201,MATCH($C115,Références!$A$2:$A$201,0)),"PDF")))</f>
        <v/>
      </c>
    </row>
    <row r="116" spans="2:12" ht="30" customHeight="1" x14ac:dyDescent="0.25">
      <c r="B116" s="64">
        <v>11</v>
      </c>
      <c r="C116" s="38" t="str">
        <f>IFERROR(INDEX(Références!$A$2:$A$201,MATCH("4-11",Références!$AY$2:$AY$201,0)),"")</f>
        <v>BIB-073</v>
      </c>
      <c r="D116" s="3" t="str">
        <f>IF($C116="","",INDEX(Références!$C$2:$C$201,MATCH($C116,Références!$A$2:$A$201,0)))</f>
        <v>Yoo et al. (2006)</v>
      </c>
      <c r="E116" s="3" t="str">
        <f>IF($C116="","",INDEX(Références!$D$2:$D$201,MATCH($C116,Références!$A$2:$A$201,0)))</f>
        <v>Flexible pavement responses to different loading amplitudes considering layer interface condition and lateral shear forces</v>
      </c>
      <c r="F116" s="38" t="str">
        <f>IF($C116="","",INDEX(Références!$H$2:$H$201,MATCH($C116,Références!$A$2:$A$201,0)))</f>
        <v>Important</v>
      </c>
      <c r="G116" s="64">
        <f>IF($C116="","",INDEX(Références!$G$2:$G$201,MATCH($C116,Références!$A$2:$A$201,0)))</f>
        <v>5</v>
      </c>
      <c r="H116" s="38" t="str">
        <f>IF($C116="","",INDEX(Références!$J$2:$J$201,MATCH($C116,Références!$A$2:$A$201,0)))</f>
        <v>À lire</v>
      </c>
      <c r="I116" s="38" t="str">
        <f ca="1">IF($C116="","",INDEX(Références!$K$2:$K$201,MATCH($C116,Références!$A$2:$A$201,0)))</f>
        <v>À venir</v>
      </c>
      <c r="J116" s="64">
        <f>IF($C116="","",INDEX(Références!$AT$2:$AT$201,MATCH($C116,Références!$A$2:$A$201,0)))</f>
        <v>3</v>
      </c>
      <c r="K116" s="65" t="str">
        <f>IF($C116="","",HYPERLINK(INDEX(Références!$AF$2:$AF$201,MATCH($C116,Références!$A$2:$A$201,0)),"Ouvrir"))</f>
        <v>Ouvrir</v>
      </c>
      <c r="L116" s="65" t="str">
        <f>IF($C116="","",IF(INDEX(Références!$BB$2:$BB$201,MATCH($C116,Références!$A$2:$A$201,0))="","",HYPERLINK(DossierPDF&amp;INDEX(Références!$BB$2:$BB$201,MATCH($C116,Références!$A$2:$A$201,0)),"PDF")))</f>
        <v/>
      </c>
    </row>
    <row r="117" spans="2:12" ht="30" customHeight="1" x14ac:dyDescent="0.25">
      <c r="B117" s="64">
        <v>12</v>
      </c>
      <c r="C117" s="38" t="str">
        <f>IFERROR(INDEX(Références!$A$2:$A$201,MATCH("4-12",Références!$AY$2:$AY$201,0)),"")</f>
        <v>BIB-074</v>
      </c>
      <c r="D117" s="3" t="str">
        <f>IF($C117="","",INDEX(Références!$C$2:$C$201,MATCH($C117,Références!$A$2:$A$201,0)))</f>
        <v>Blanc et al. (2016)</v>
      </c>
      <c r="E117" s="3" t="str">
        <f>IF($C117="","",INDEX(Références!$D$2:$D$201,MATCH($C117,Références!$A$2:$A$201,0)))</f>
        <v>Alizé-Aéronautique, version 1.5 — Manuel d'utilisation</v>
      </c>
      <c r="F117" s="38" t="str">
        <f>IF($C117="","",INDEX(Références!$H$2:$H$201,MATCH($C117,Références!$A$2:$A$201,0)))</f>
        <v>Important</v>
      </c>
      <c r="G117" s="64">
        <f>IF($C117="","",INDEX(Références!$G$2:$G$201,MATCH($C117,Références!$A$2:$A$201,0)))</f>
        <v>7</v>
      </c>
      <c r="H117" s="38" t="str">
        <f>IF($C117="","",INDEX(Références!$J$2:$J$201,MATCH($C117,Références!$A$2:$A$201,0)))</f>
        <v>À lire</v>
      </c>
      <c r="I117" s="38" t="str">
        <f ca="1">IF($C117="","",INDEX(Références!$K$2:$K$201,MATCH($C117,Références!$A$2:$A$201,0)))</f>
        <v>À venir</v>
      </c>
      <c r="J117" s="64">
        <f>IF($C117="","",INDEX(Références!$AT$2:$AT$201,MATCH($C117,Références!$A$2:$A$201,0)))</f>
        <v>3</v>
      </c>
      <c r="K117" s="65" t="str">
        <f>IF($C117="","",HYPERLINK(INDEX(Références!$AF$2:$AF$201,MATCH($C117,Références!$A$2:$A$201,0)),"Ouvrir"))</f>
        <v>Ouvrir</v>
      </c>
      <c r="L117" s="65" t="str">
        <f>IF($C117="","",IF(INDEX(Références!$BB$2:$BB$201,MATCH($C117,Références!$A$2:$A$201,0))="","",HYPERLINK(DossierPDF&amp;INDEX(Références!$BB$2:$BB$201,MATCH($C117,Références!$A$2:$A$201,0)),"PDF")))</f>
        <v/>
      </c>
    </row>
    <row r="118" spans="2:12" ht="30" customHeight="1" x14ac:dyDescent="0.25">
      <c r="B118" s="64">
        <v>13</v>
      </c>
      <c r="C118" s="38" t="str">
        <f>IFERROR(INDEX(Références!$A$2:$A$201,MATCH("4-13",Références!$AY$2:$AY$201,0)),"")</f>
        <v>BIB-075</v>
      </c>
      <c r="D118" s="3" t="str">
        <f>IF($C118="","",INDEX(Références!$C$2:$C$201,MATCH($C118,Références!$A$2:$A$201,0)))</f>
        <v>Broutin (2010)</v>
      </c>
      <c r="E118" s="3" t="str">
        <f>IF($C118="","",INDEX(Références!$D$2:$D$201,MATCH($C118,Références!$A$2:$A$201,0)))</f>
        <v>Évaluation des chaussées souples aéroportuaires à l'aide du déflectomètre à masse tombante (HWD) : développement d'une méthode d'analyse dynamique temporelle par éléments finis pour le calcul inverse des propriétés structurelles</v>
      </c>
      <c r="F118" s="38" t="str">
        <f>IF($C118="","",INDEX(Références!$H$2:$H$201,MATCH($C118,Références!$A$2:$A$201,0)))</f>
        <v>Important</v>
      </c>
      <c r="G118" s="64">
        <f>IF($C118="","",INDEX(Références!$G$2:$G$201,MATCH($C118,Références!$A$2:$A$201,0)))</f>
        <v>7</v>
      </c>
      <c r="H118" s="38" t="str">
        <f>IF($C118="","",INDEX(Références!$J$2:$J$201,MATCH($C118,Références!$A$2:$A$201,0)))</f>
        <v>À lire</v>
      </c>
      <c r="I118" s="38" t="str">
        <f ca="1">IF($C118="","",INDEX(Références!$K$2:$K$201,MATCH($C118,Références!$A$2:$A$201,0)))</f>
        <v>À venir</v>
      </c>
      <c r="J118" s="64">
        <f>IF($C118="","",INDEX(Références!$AT$2:$AT$201,MATCH($C118,Références!$A$2:$A$201,0)))</f>
        <v>3</v>
      </c>
      <c r="K118" s="65" t="str">
        <f>IF($C118="","",HYPERLINK(INDEX(Références!$AF$2:$AF$201,MATCH($C118,Références!$A$2:$A$201,0)),"Ouvrir"))</f>
        <v>Ouvrir</v>
      </c>
      <c r="L118" s="65" t="str">
        <f>IF($C118="","",IF(INDEX(Références!$BB$2:$BB$201,MATCH($C118,Références!$A$2:$A$201,0))="","",HYPERLINK(DossierPDF&amp;INDEX(Références!$BB$2:$BB$201,MATCH($C118,Références!$A$2:$A$201,0)),"PDF")))</f>
        <v/>
      </c>
    </row>
    <row r="119" spans="2:12" ht="30" customHeight="1" x14ac:dyDescent="0.25">
      <c r="B119" s="64">
        <v>14</v>
      </c>
      <c r="C119" s="38" t="str">
        <f>IFERROR(INDEX(Références!$A$2:$A$201,MATCH("4-14",Références!$AY$2:$AY$201,0)),"")</f>
        <v>BIB-076</v>
      </c>
      <c r="D119" s="3" t="str">
        <f>IF($C119="","",INDEX(Références!$C$2:$C$201,MATCH($C119,Références!$A$2:$A$201,0)))</f>
        <v>Clavel &amp; Courant (2018)</v>
      </c>
      <c r="E119" s="3" t="str">
        <f>IF($C119="","",INDEX(Références!$D$2:$D$201,MATCH($C119,Références!$A$2:$A$201,0)))</f>
        <v>Conception étape par étape avec utilisation d'Alizé-aéro — Méthode rationnelle de dimensionnement des chaussées aéronautiques souples</v>
      </c>
      <c r="F119" s="38" t="str">
        <f>IF($C119="","",INDEX(Références!$H$2:$H$201,MATCH($C119,Références!$A$2:$A$201,0)))</f>
        <v>Important</v>
      </c>
      <c r="G119" s="64">
        <f>IF($C119="","",INDEX(Références!$G$2:$G$201,MATCH($C119,Références!$A$2:$A$201,0)))</f>
        <v>7</v>
      </c>
      <c r="H119" s="38" t="str">
        <f>IF($C119="","",INDEX(Références!$J$2:$J$201,MATCH($C119,Références!$A$2:$A$201,0)))</f>
        <v>À lire</v>
      </c>
      <c r="I119" s="38" t="str">
        <f ca="1">IF($C119="","",INDEX(Références!$K$2:$K$201,MATCH($C119,Références!$A$2:$A$201,0)))</f>
        <v>À venir</v>
      </c>
      <c r="J119" s="64">
        <f>IF($C119="","",INDEX(Références!$AT$2:$AT$201,MATCH($C119,Références!$A$2:$A$201,0)))</f>
        <v>3</v>
      </c>
      <c r="K119" s="65" t="str">
        <f>IF($C119="","",HYPERLINK(INDEX(Références!$AF$2:$AF$201,MATCH($C119,Références!$A$2:$A$201,0)),"Ouvrir"))</f>
        <v>Ouvrir</v>
      </c>
      <c r="L119" s="65" t="str">
        <f>IF($C119="","",IF(INDEX(Références!$BB$2:$BB$201,MATCH($C119,Références!$A$2:$A$201,0))="","",HYPERLINK(DossierPDF&amp;INDEX(Références!$BB$2:$BB$201,MATCH($C119,Références!$A$2:$A$201,0)),"PDF")))</f>
        <v/>
      </c>
    </row>
    <row r="120" spans="2:12" ht="30" customHeight="1" x14ac:dyDescent="0.25">
      <c r="B120" s="64">
        <v>15</v>
      </c>
      <c r="C120" s="38" t="str">
        <f>IFERROR(INDEX(Références!$A$2:$A$201,MATCH("4-15",Références!$AY$2:$AY$201,0)),"")</f>
        <v>BIB-077</v>
      </c>
      <c r="D120" s="3" t="str">
        <f>IF($C120="","",INDEX(Références!$C$2:$C$201,MATCH($C120,Références!$A$2:$A$201,0)))</f>
        <v>Wang et al. (2013)</v>
      </c>
      <c r="E120" s="3" t="str">
        <f>IF($C120="","",INDEX(Références!$D$2:$D$201,MATCH($C120,Références!$A$2:$A$201,0)))</f>
        <v>Three-dimensional finite element modeling of instrumented airport runway pavement responses</v>
      </c>
      <c r="F120" s="38" t="str">
        <f>IF($C120="","",INDEX(Références!$H$2:$H$201,MATCH($C120,Références!$A$2:$A$201,0)))</f>
        <v>Important</v>
      </c>
      <c r="G120" s="64">
        <f>IF($C120="","",INDEX(Références!$G$2:$G$201,MATCH($C120,Références!$A$2:$A$201,0)))</f>
        <v>7</v>
      </c>
      <c r="H120" s="38" t="str">
        <f>IF($C120="","",INDEX(Références!$J$2:$J$201,MATCH($C120,Références!$A$2:$A$201,0)))</f>
        <v>À lire</v>
      </c>
      <c r="I120" s="38" t="str">
        <f ca="1">IF($C120="","",INDEX(Références!$K$2:$K$201,MATCH($C120,Références!$A$2:$A$201,0)))</f>
        <v>À venir</v>
      </c>
      <c r="J120" s="64">
        <f>IF($C120="","",INDEX(Références!$AT$2:$AT$201,MATCH($C120,Références!$A$2:$A$201,0)))</f>
        <v>3</v>
      </c>
      <c r="K120" s="65" t="str">
        <f>IF($C120="","",HYPERLINK(INDEX(Références!$AF$2:$AF$201,MATCH($C120,Références!$A$2:$A$201,0)),"Ouvrir"))</f>
        <v>Ouvrir</v>
      </c>
      <c r="L120" s="65" t="str">
        <f>IF($C120="","",IF(INDEX(Références!$BB$2:$BB$201,MATCH($C120,Références!$A$2:$A$201,0))="","",HYPERLINK(DossierPDF&amp;INDEX(Références!$BB$2:$BB$201,MATCH($C120,Références!$A$2:$A$201,0)),"PDF")))</f>
        <v/>
      </c>
    </row>
    <row r="121" spans="2:12" ht="30" customHeight="1" x14ac:dyDescent="0.25">
      <c r="B121" s="64">
        <v>16</v>
      </c>
      <c r="C121" s="38" t="str">
        <f>IFERROR(INDEX(Références!$A$2:$A$201,MATCH("4-16",Références!$AY$2:$AY$201,0)),"")</f>
        <v>BIB-078</v>
      </c>
      <c r="D121" s="3" t="str">
        <f>IF($C121="","",INDEX(Références!$C$2:$C$201,MATCH($C121,Références!$A$2:$A$201,0)))</f>
        <v>LCPC &amp; SETRA (1994)</v>
      </c>
      <c r="E121" s="3" t="str">
        <f>IF($C121="","",INDEX(Références!$D$2:$D$201,MATCH($C121,Références!$A$2:$A$201,0)))</f>
        <v>Conception et dimensionnement des structures de chaussée : guide technique</v>
      </c>
      <c r="F121" s="38" t="str">
        <f>IF($C121="","",INDEX(Références!$H$2:$H$201,MATCH($C121,Références!$A$2:$A$201,0)))</f>
        <v>Important</v>
      </c>
      <c r="G121" s="64">
        <f>IF($C121="","",INDEX(Références!$G$2:$G$201,MATCH($C121,Références!$A$2:$A$201,0)))</f>
        <v>8</v>
      </c>
      <c r="H121" s="38" t="str">
        <f>IF($C121="","",INDEX(Références!$J$2:$J$201,MATCH($C121,Références!$A$2:$A$201,0)))</f>
        <v>À lire</v>
      </c>
      <c r="I121" s="38" t="str">
        <f ca="1">IF($C121="","",INDEX(Références!$K$2:$K$201,MATCH($C121,Références!$A$2:$A$201,0)))</f>
        <v>À venir</v>
      </c>
      <c r="J121" s="64">
        <f>IF($C121="","",INDEX(Références!$AT$2:$AT$201,MATCH($C121,Références!$A$2:$A$201,0)))</f>
        <v>3</v>
      </c>
      <c r="K121" s="65" t="str">
        <f>IF($C121="","",HYPERLINK(INDEX(Références!$AF$2:$AF$201,MATCH($C121,Références!$A$2:$A$201,0)),"Ouvrir"))</f>
        <v>Ouvrir</v>
      </c>
      <c r="L121" s="65" t="str">
        <f>IF($C121="","",IF(INDEX(Références!$BB$2:$BB$201,MATCH($C121,Références!$A$2:$A$201,0))="","",HYPERLINK(DossierPDF&amp;INDEX(Références!$BB$2:$BB$201,MATCH($C121,Références!$A$2:$A$201,0)),"PDF")))</f>
        <v/>
      </c>
    </row>
    <row r="122" spans="2:12" ht="30" customHeight="1" x14ac:dyDescent="0.25">
      <c r="B122" s="64">
        <v>17</v>
      </c>
      <c r="C122" s="38" t="str">
        <f>IFERROR(INDEX(Références!$A$2:$A$201,MATCH("4-17",Références!$AY$2:$AY$201,0)),"")</f>
        <v>BIB-079</v>
      </c>
      <c r="D122" s="3" t="str">
        <f>IF($C122="","",INDEX(Références!$C$2:$C$201,MATCH($C122,Références!$A$2:$A$201,0)))</f>
        <v>Cho et al. (1996)</v>
      </c>
      <c r="E122" s="3" t="str">
        <f>IF($C122="","",INDEX(Références!$D$2:$D$201,MATCH($C122,Références!$A$2:$A$201,0)))</f>
        <v>Considerations on finite-element method application in pavement structural analysis</v>
      </c>
      <c r="F122" s="38" t="str">
        <f>IF($C122="","",INDEX(Références!$H$2:$H$201,MATCH($C122,Références!$A$2:$A$201,0)))</f>
        <v>A consulter</v>
      </c>
      <c r="G122" s="64">
        <f>IF($C122="","",INDEX(Références!$G$2:$G$201,MATCH($C122,Références!$A$2:$A$201,0)))</f>
        <v>5</v>
      </c>
      <c r="H122" s="38" t="str">
        <f>IF($C122="","",INDEX(Références!$J$2:$J$201,MATCH($C122,Références!$A$2:$A$201,0)))</f>
        <v>À lire</v>
      </c>
      <c r="I122" s="38" t="str">
        <f ca="1">IF($C122="","",INDEX(Références!$K$2:$K$201,MATCH($C122,Références!$A$2:$A$201,0)))</f>
        <v>À venir</v>
      </c>
      <c r="J122" s="64">
        <f>IF($C122="","",INDEX(Références!$AT$2:$AT$201,MATCH($C122,Références!$A$2:$A$201,0)))</f>
        <v>1</v>
      </c>
      <c r="K122" s="65" t="str">
        <f>IF($C122="","",HYPERLINK(INDEX(Références!$AF$2:$AF$201,MATCH($C122,Références!$A$2:$A$201,0)),"Ouvrir"))</f>
        <v>Ouvrir</v>
      </c>
      <c r="L122" s="65" t="str">
        <f>IF($C122="","",IF(INDEX(Références!$BB$2:$BB$201,MATCH($C122,Références!$A$2:$A$201,0))="","",HYPERLINK(DossierPDF&amp;INDEX(Références!$BB$2:$BB$201,MATCH($C122,Références!$A$2:$A$201,0)),"PDF")))</f>
        <v/>
      </c>
    </row>
    <row r="123" spans="2:12" ht="30" customHeight="1" x14ac:dyDescent="0.25">
      <c r="B123" s="64">
        <v>18</v>
      </c>
      <c r="C123" s="38" t="str">
        <f>IFERROR(INDEX(Références!$A$2:$A$201,MATCH("4-18",Références!$AY$2:$AY$201,0)),"")</f>
        <v>BIB-080</v>
      </c>
      <c r="D123" s="3" t="str">
        <f>IF($C123="","",INDEX(Références!$C$2:$C$201,MATCH($C123,Références!$A$2:$A$201,0)))</f>
        <v>Pouget et al. (2012)</v>
      </c>
      <c r="E123" s="3" t="str">
        <f>IF($C123="","",INDEX(Références!$D$2:$D$201,MATCH($C123,Références!$A$2:$A$201,0)))</f>
        <v>Modeling of viscous bituminous wearing course materials on orthotropic steel deck</v>
      </c>
      <c r="F123" s="38" t="str">
        <f>IF($C123="","",INDEX(Références!$H$2:$H$201,MATCH($C123,Références!$A$2:$A$201,0)))</f>
        <v>A consulter</v>
      </c>
      <c r="G123" s="64">
        <f>IF($C123="","",INDEX(Références!$G$2:$G$201,MATCH($C123,Références!$A$2:$A$201,0)))</f>
        <v>5</v>
      </c>
      <c r="H123" s="38" t="str">
        <f>IF($C123="","",INDEX(Références!$J$2:$J$201,MATCH($C123,Références!$A$2:$A$201,0)))</f>
        <v>À lire</v>
      </c>
      <c r="I123" s="38" t="str">
        <f ca="1">IF($C123="","",INDEX(Références!$K$2:$K$201,MATCH($C123,Références!$A$2:$A$201,0)))</f>
        <v>À venir</v>
      </c>
      <c r="J123" s="64">
        <f>IF($C123="","",INDEX(Références!$AT$2:$AT$201,MATCH($C123,Références!$A$2:$A$201,0)))</f>
        <v>1</v>
      </c>
      <c r="K123" s="65" t="str">
        <f>IF($C123="","",HYPERLINK(INDEX(Références!$AF$2:$AF$201,MATCH($C123,Références!$A$2:$A$201,0)),"Ouvrir"))</f>
        <v>Ouvrir</v>
      </c>
      <c r="L123" s="65" t="str">
        <f>IF($C123="","",IF(INDEX(Références!$BB$2:$BB$201,MATCH($C123,Références!$A$2:$A$201,0))="","",HYPERLINK(DossierPDF&amp;INDEX(Références!$BB$2:$BB$201,MATCH($C123,Références!$A$2:$A$201,0)),"PDF")))</f>
        <v/>
      </c>
    </row>
    <row r="124" spans="2:12" ht="30" customHeight="1" x14ac:dyDescent="0.25">
      <c r="B124" s="64">
        <v>19</v>
      </c>
      <c r="C124" s="38" t="str">
        <f>IFERROR(INDEX(Références!$A$2:$A$201,MATCH("4-19",Références!$AY$2:$AY$201,0)),"")</f>
        <v>BIB-081</v>
      </c>
      <c r="D124" s="3" t="str">
        <f>IF($C124="","",INDEX(Références!$C$2:$C$201,MATCH($C124,Références!$A$2:$A$201,0)))</f>
        <v>Airbus S.A.S. (2025)</v>
      </c>
      <c r="E124" s="3" t="str">
        <f>IF($C124="","",INDEX(Références!$D$2:$D$201,MATCH($C124,Références!$A$2:$A$201,0)))</f>
        <v>A340-200/-300 Aircraft Characteristics – Airport and Maintenance Planning</v>
      </c>
      <c r="F124" s="38" t="str">
        <f>IF($C124="","",INDEX(Références!$H$2:$H$201,MATCH($C124,Références!$A$2:$A$201,0)))</f>
        <v>A consulter</v>
      </c>
      <c r="G124" s="64">
        <f>IF($C124="","",INDEX(Références!$G$2:$G$201,MATCH($C124,Références!$A$2:$A$201,0)))</f>
        <v>7</v>
      </c>
      <c r="H124" s="38" t="str">
        <f>IF($C124="","",INDEX(Références!$J$2:$J$201,MATCH($C124,Références!$A$2:$A$201,0)))</f>
        <v>À lire</v>
      </c>
      <c r="I124" s="38" t="str">
        <f ca="1">IF($C124="","",INDEX(Références!$K$2:$K$201,MATCH($C124,Références!$A$2:$A$201,0)))</f>
        <v>À venir</v>
      </c>
      <c r="J124" s="64">
        <f>IF($C124="","",INDEX(Références!$AT$2:$AT$201,MATCH($C124,Références!$A$2:$A$201,0)))</f>
        <v>1</v>
      </c>
      <c r="K124" s="65" t="str">
        <f>IF($C124="","",HYPERLINK(INDEX(Références!$AF$2:$AF$201,MATCH($C124,Références!$A$2:$A$201,0)),"Ouvrir"))</f>
        <v>Ouvrir</v>
      </c>
      <c r="L124" s="65" t="str">
        <f>IF($C124="","",IF(INDEX(Références!$BB$2:$BB$201,MATCH($C124,Références!$A$2:$A$201,0))="","",HYPERLINK(DossierPDF&amp;INDEX(Références!$BB$2:$BB$201,MATCH($C124,Références!$A$2:$A$201,0)),"PDF")))</f>
        <v/>
      </c>
    </row>
    <row r="125" spans="2:12" ht="30" customHeight="1" x14ac:dyDescent="0.25">
      <c r="B125" s="64">
        <v>20</v>
      </c>
      <c r="C125" s="38" t="str">
        <f>IFERROR(INDEX(Références!$A$2:$A$201,MATCH("4-20",Références!$AY$2:$AY$201,0)),"")</f>
        <v>BIB-082</v>
      </c>
      <c r="D125" s="3" t="str">
        <f>IF($C125="","",INDEX(Références!$C$2:$C$201,MATCH($C125,Références!$A$2:$A$201,0)))</f>
        <v>Gharbi et al. (2022)</v>
      </c>
      <c r="E125" s="3" t="str">
        <f>IF($C125="","",INDEX(Références!$D$2:$D$201,MATCH($C125,Références!$A$2:$A$201,0)))</f>
        <v>Analysis of ovalization measurements on flexible airfield pavement under HWD dynamic impulse load</v>
      </c>
      <c r="F125" s="38" t="str">
        <f>IF($C125="","",INDEX(Références!$H$2:$H$201,MATCH($C125,Références!$A$2:$A$201,0)))</f>
        <v>A consulter</v>
      </c>
      <c r="G125" s="64">
        <f>IF($C125="","",INDEX(Références!$G$2:$G$201,MATCH($C125,Références!$A$2:$A$201,0)))</f>
        <v>7</v>
      </c>
      <c r="H125" s="38" t="str">
        <f>IF($C125="","",INDEX(Références!$J$2:$J$201,MATCH($C125,Références!$A$2:$A$201,0)))</f>
        <v>À lire</v>
      </c>
      <c r="I125" s="38" t="str">
        <f ca="1">IF($C125="","",INDEX(Références!$K$2:$K$201,MATCH($C125,Références!$A$2:$A$201,0)))</f>
        <v>À venir</v>
      </c>
      <c r="J125" s="64">
        <f>IF($C125="","",INDEX(Références!$AT$2:$AT$201,MATCH($C125,Références!$A$2:$A$201,0)))</f>
        <v>1</v>
      </c>
      <c r="K125" s="65" t="str">
        <f>IF($C125="","",HYPERLINK(INDEX(Références!$AF$2:$AF$201,MATCH($C125,Références!$A$2:$A$201,0)),"Ouvrir"))</f>
        <v>Ouvrir</v>
      </c>
      <c r="L125" s="65" t="str">
        <f>IF($C125="","",IF(INDEX(Références!$BB$2:$BB$201,MATCH($C125,Références!$A$2:$A$201,0))="","",HYPERLINK(DossierPDF&amp;INDEX(Références!$BB$2:$BB$201,MATCH($C125,Références!$A$2:$A$201,0)),"PDF")))</f>
        <v/>
      </c>
    </row>
    <row r="126" spans="2:12" ht="30" customHeight="1" x14ac:dyDescent="0.25">
      <c r="B126" s="64">
        <v>21</v>
      </c>
      <c r="C126" s="38" t="str">
        <f>IFERROR(INDEX(Références!$A$2:$A$201,MATCH("4-21",Références!$AY$2:$AY$201,0)),"")</f>
        <v>BIB-083</v>
      </c>
      <c r="D126" s="3" t="str">
        <f>IF($C126="","",INDEX(Références!$C$2:$C$201,MATCH($C126,Références!$A$2:$A$201,0)))</f>
        <v>AFNOR (2019)</v>
      </c>
      <c r="E126" s="3" t="str">
        <f>IF($C126="","",INDEX(Références!$D$2:$D$201,MATCH($C126,Références!$A$2:$A$201,0)))</f>
        <v>NF P98-086 — Dimensionnement structurel des chaussées routières — Application aux chaussées neuves</v>
      </c>
      <c r="F126" s="38" t="str">
        <f>IF($C126="","",INDEX(Références!$H$2:$H$201,MATCH($C126,Références!$A$2:$A$201,0)))</f>
        <v>A consulter</v>
      </c>
      <c r="G126" s="64">
        <f>IF($C126="","",INDEX(Références!$G$2:$G$201,MATCH($C126,Références!$A$2:$A$201,0)))</f>
        <v>8</v>
      </c>
      <c r="H126" s="38" t="str">
        <f>IF($C126="","",INDEX(Références!$J$2:$J$201,MATCH($C126,Références!$A$2:$A$201,0)))</f>
        <v>À lire</v>
      </c>
      <c r="I126" s="38" t="str">
        <f ca="1">IF($C126="","",INDEX(Références!$K$2:$K$201,MATCH($C126,Références!$A$2:$A$201,0)))</f>
        <v>À venir</v>
      </c>
      <c r="J126" s="64">
        <f>IF($C126="","",INDEX(Références!$AT$2:$AT$201,MATCH($C126,Références!$A$2:$A$201,0)))</f>
        <v>1</v>
      </c>
      <c r="K126" s="65" t="str">
        <f>IF($C126="","",HYPERLINK(INDEX(Références!$AF$2:$AF$201,MATCH($C126,Références!$A$2:$A$201,0)),"Ouvrir"))</f>
        <v>Ouvrir</v>
      </c>
      <c r="L126" s="65" t="str">
        <f>IF($C126="","",IF(INDEX(Références!$BB$2:$BB$201,MATCH($C126,Références!$A$2:$A$201,0))="","",HYPERLINK(DossierPDF&amp;INDEX(Références!$BB$2:$BB$201,MATCH($C126,Références!$A$2:$A$201,0)),"PDF")))</f>
        <v/>
      </c>
    </row>
    <row r="127" spans="2:12" ht="30" customHeight="1" x14ac:dyDescent="0.25">
      <c r="B127" s="64">
        <v>22</v>
      </c>
      <c r="C127" s="38" t="str">
        <f>IFERROR(INDEX(Références!$A$2:$A$201,MATCH("4-22",Références!$AY$2:$AY$201,0)),"")</f>
        <v>BIB-084</v>
      </c>
      <c r="D127" s="3" t="str">
        <f>IF($C127="","",INDEX(Références!$C$2:$C$201,MATCH($C127,Références!$A$2:$A$201,0)))</f>
        <v>IFSTTAR (2016)</v>
      </c>
      <c r="E127" s="3" t="str">
        <f>IF($C127="","",INDEX(Références!$D$2:$D$201,MATCH($C127,Références!$A$2:$A$201,0)))</f>
        <v>Alizé-Lcpc, version 1.5 — Manuel d'utilisation</v>
      </c>
      <c r="F127" s="38" t="str">
        <f>IF($C127="","",INDEX(Références!$H$2:$H$201,MATCH($C127,Références!$A$2:$A$201,0)))</f>
        <v>A consulter</v>
      </c>
      <c r="G127" s="64">
        <f>IF($C127="","",INDEX(Références!$G$2:$G$201,MATCH($C127,Références!$A$2:$A$201,0)))</f>
        <v>8</v>
      </c>
      <c r="H127" s="38" t="str">
        <f>IF($C127="","",INDEX(Références!$J$2:$J$201,MATCH($C127,Références!$A$2:$A$201,0)))</f>
        <v>À lire</v>
      </c>
      <c r="I127" s="38" t="str">
        <f ca="1">IF($C127="","",INDEX(Références!$K$2:$K$201,MATCH($C127,Références!$A$2:$A$201,0)))</f>
        <v>À venir</v>
      </c>
      <c r="J127" s="64">
        <f>IF($C127="","",INDEX(Références!$AT$2:$AT$201,MATCH($C127,Références!$A$2:$A$201,0)))</f>
        <v>1</v>
      </c>
      <c r="K127" s="65" t="str">
        <f>IF($C127="","",HYPERLINK(INDEX(Références!$AF$2:$AF$201,MATCH($C127,Références!$A$2:$A$201,0)),"Ouvrir"))</f>
        <v>Ouvrir</v>
      </c>
      <c r="L127" s="65" t="str">
        <f>IF($C127="","",IF(INDEX(Références!$BB$2:$BB$201,MATCH($C127,Références!$A$2:$A$201,0))="","",HYPERLINK(DossierPDF&amp;INDEX(Références!$BB$2:$BB$201,MATCH($C127,Références!$A$2:$A$201,0)),"PDF")))</f>
        <v/>
      </c>
    </row>
    <row r="128" spans="2:12" ht="30" customHeight="1" x14ac:dyDescent="0.25">
      <c r="B128" s="64">
        <v>23</v>
      </c>
      <c r="C128" s="38" t="str">
        <f>IFERROR(INDEX(Références!$A$2:$A$201,MATCH("4-23",Références!$AY$2:$AY$201,0)),"")</f>
        <v>BIB-124</v>
      </c>
      <c r="D128" s="3" t="str">
        <f>IF($C128="","",INDEX(Références!$C$2:$C$201,MATCH($C128,Références!$A$2:$A$201,0)))</f>
        <v>Burmister (1943)</v>
      </c>
      <c r="E128" s="3" t="str">
        <f>IF($C128="","",INDEX(Références!$D$2:$D$201,MATCH($C128,Références!$A$2:$A$201,0)))</f>
        <v>The theory of stresses and displacements in layered systems and applications to the design of airport runways</v>
      </c>
      <c r="F128" s="38" t="str">
        <f>IF($C128="","",INDEX(Références!$H$2:$H$201,MATCH($C128,Références!$A$2:$A$201,0)))</f>
        <v>Important</v>
      </c>
      <c r="G128" s="64">
        <f>IF($C128="","",INDEX(Références!$G$2:$G$201,MATCH($C128,Références!$A$2:$A$201,0)))</f>
        <v>5</v>
      </c>
      <c r="H128" s="38" t="str">
        <f>IF($C128="","",INDEX(Références!$J$2:$J$201,MATCH($C128,Références!$A$2:$A$201,0)))</f>
        <v>À lire</v>
      </c>
      <c r="I128" s="38" t="str">
        <f ca="1">IF($C128="","",INDEX(Références!$K$2:$K$201,MATCH($C128,Références!$A$2:$A$201,0)))</f>
        <v>À venir</v>
      </c>
      <c r="J128" s="64">
        <f>IF($C128="","",INDEX(Références!$AT$2:$AT$201,MATCH($C128,Références!$A$2:$A$201,0)))</f>
        <v>3</v>
      </c>
      <c r="K128" s="65" t="str">
        <f>IF($C128="","",HYPERLINK(INDEX(Références!$AF$2:$AF$201,MATCH($C128,Références!$A$2:$A$201,0)),"Ouvrir"))</f>
        <v>Ouvrir</v>
      </c>
      <c r="L128" s="65" t="str">
        <f>IF($C128="","",IF(INDEX(Références!$BB$2:$BB$201,MATCH($C128,Références!$A$2:$A$201,0))="","",HYPERLINK(DossierPDF&amp;INDEX(Références!$BB$2:$BB$201,MATCH($C128,Références!$A$2:$A$201,0)),"PDF")))</f>
        <v/>
      </c>
    </row>
    <row r="129" spans="2:12" ht="30" customHeight="1" x14ac:dyDescent="0.25">
      <c r="B129" s="64">
        <v>24</v>
      </c>
      <c r="C129" s="38" t="str">
        <f>IFERROR(INDEX(Références!$A$2:$A$201,MATCH("4-24",Références!$AY$2:$AY$201,0)),"")</f>
        <v>BIB-129</v>
      </c>
      <c r="D129" s="3" t="str">
        <f>IF($C129="","",INDEX(Références!$C$2:$C$201,MATCH($C129,Références!$A$2:$A$201,0)))</f>
        <v>Timoshenko &amp; Goodier (1970)</v>
      </c>
      <c r="E129" s="3" t="str">
        <f>IF($C129="","",INDEX(Références!$D$2:$D$201,MATCH($C129,Références!$A$2:$A$201,0)))</f>
        <v>Theory of elasticity (3rd edition)</v>
      </c>
      <c r="F129" s="38" t="str">
        <f>IF($C129="","",INDEX(Références!$H$2:$H$201,MATCH($C129,Références!$A$2:$A$201,0)))</f>
        <v>Important</v>
      </c>
      <c r="G129" s="64">
        <f>IF($C129="","",INDEX(Références!$G$2:$G$201,MATCH($C129,Références!$A$2:$A$201,0)))</f>
        <v>5</v>
      </c>
      <c r="H129" s="38" t="str">
        <f>IF($C129="","",INDEX(Références!$J$2:$J$201,MATCH($C129,Références!$A$2:$A$201,0)))</f>
        <v>À lire</v>
      </c>
      <c r="I129" s="38" t="str">
        <f ca="1">IF($C129="","",INDEX(Références!$K$2:$K$201,MATCH($C129,Références!$A$2:$A$201,0)))</f>
        <v>À venir</v>
      </c>
      <c r="J129" s="64">
        <f>IF($C129="","",INDEX(Références!$AT$2:$AT$201,MATCH($C129,Références!$A$2:$A$201,0)))</f>
        <v>3</v>
      </c>
      <c r="K129" s="65" t="str">
        <f>IF($C129="","",HYPERLINK(INDEX(Références!$AF$2:$AF$201,MATCH($C129,Références!$A$2:$A$201,0)),"Ouvrir"))</f>
        <v>Ouvrir</v>
      </c>
      <c r="L129" s="65" t="str">
        <f>IF($C129="","",IF(INDEX(Références!$BB$2:$BB$201,MATCH($C129,Références!$A$2:$A$201,0))="","",HYPERLINK(DossierPDF&amp;INDEX(Références!$BB$2:$BB$201,MATCH($C129,Références!$A$2:$A$201,0)),"PDF")))</f>
        <v/>
      </c>
    </row>
    <row r="130" spans="2:12" ht="30" customHeight="1" x14ac:dyDescent="0.25">
      <c r="B130" s="64">
        <v>25</v>
      </c>
      <c r="C130" s="38" t="str">
        <f>IFERROR(INDEX(Références!$A$2:$A$201,MATCH("4-25",Références!$AY$2:$AY$201,0)),"")</f>
        <v>BIB-130</v>
      </c>
      <c r="D130" s="3" t="str">
        <f>IF($C130="","",INDEX(Références!$C$2:$C$201,MATCH($C130,Références!$A$2:$A$201,0)))</f>
        <v>Huang (2004)</v>
      </c>
      <c r="E130" s="3" t="str">
        <f>IF($C130="","",INDEX(Références!$D$2:$D$201,MATCH($C130,Références!$A$2:$A$201,0)))</f>
        <v>Pavement analysis and design (2nd edition)</v>
      </c>
      <c r="F130" s="38" t="str">
        <f>IF($C130="","",INDEX(Références!$H$2:$H$201,MATCH($C130,Références!$A$2:$A$201,0)))</f>
        <v>A consulter</v>
      </c>
      <c r="G130" s="64">
        <f>IF($C130="","",INDEX(Références!$G$2:$G$201,MATCH($C130,Références!$A$2:$A$201,0)))</f>
        <v>5</v>
      </c>
      <c r="H130" s="38" t="str">
        <f>IF($C130="","",INDEX(Références!$J$2:$J$201,MATCH($C130,Références!$A$2:$A$201,0)))</f>
        <v>À lire</v>
      </c>
      <c r="I130" s="38" t="str">
        <f ca="1">IF($C130="","",INDEX(Références!$K$2:$K$201,MATCH($C130,Références!$A$2:$A$201,0)))</f>
        <v>À venir</v>
      </c>
      <c r="J130" s="64">
        <f>IF($C130="","",INDEX(Références!$AT$2:$AT$201,MATCH($C130,Références!$A$2:$A$201,0)))</f>
        <v>1</v>
      </c>
      <c r="K130" s="65" t="str">
        <f>IF($C130="","",HYPERLINK(INDEX(Références!$AF$2:$AF$201,MATCH($C130,Références!$A$2:$A$201,0)),"Ouvrir"))</f>
        <v>Ouvrir</v>
      </c>
      <c r="L130" s="65" t="str">
        <f>IF($C130="","",IF(INDEX(Références!$BB$2:$BB$201,MATCH($C130,Références!$A$2:$A$201,0))="","",HYPERLINK(DossierPDF&amp;INDEX(Références!$BB$2:$BB$201,MATCH($C130,Références!$A$2:$A$201,0)),"PDF")))</f>
        <v/>
      </c>
    </row>
    <row r="131" spans="2:12" ht="30" customHeight="1" x14ac:dyDescent="0.25">
      <c r="B131" s="64">
        <v>26</v>
      </c>
      <c r="C131" s="38" t="str">
        <f>IFERROR(INDEX(Références!$A$2:$A$201,MATCH("4-26",Références!$AY$2:$AY$201,0)),"")</f>
        <v>BIB-134</v>
      </c>
      <c r="D131" s="3" t="str">
        <f>IF($C131="","",INDEX(Références!$C$2:$C$201,MATCH($C131,Références!$A$2:$A$201,0)))</f>
        <v>Chabot et al. (2006)</v>
      </c>
      <c r="E131" s="3" t="str">
        <f>IF($C131="","",INDEX(Références!$D$2:$D$201,MATCH($C131,Références!$A$2:$A$201,0)))</f>
        <v>Visco-elastic modelling for asphalt pavements – software ViscoRoute</v>
      </c>
      <c r="F131" s="38" t="str">
        <f>IF($C131="","",INDEX(Références!$H$2:$H$201,MATCH($C131,Références!$A$2:$A$201,0)))</f>
        <v>A consulter</v>
      </c>
      <c r="G131" s="64">
        <f>IF($C131="","",INDEX(Références!$G$2:$G$201,MATCH($C131,Références!$A$2:$A$201,0)))</f>
        <v>5</v>
      </c>
      <c r="H131" s="38" t="str">
        <f>IF($C131="","",INDEX(Références!$J$2:$J$201,MATCH($C131,Références!$A$2:$A$201,0)))</f>
        <v>À lire</v>
      </c>
      <c r="I131" s="38" t="str">
        <f ca="1">IF($C131="","",INDEX(Références!$K$2:$K$201,MATCH($C131,Références!$A$2:$A$201,0)))</f>
        <v>À venir</v>
      </c>
      <c r="J131" s="64">
        <f>IF($C131="","",INDEX(Références!$AT$2:$AT$201,MATCH($C131,Références!$A$2:$A$201,0)))</f>
        <v>1</v>
      </c>
      <c r="K131" s="65" t="str">
        <f>IF($C131="","",HYPERLINK(INDEX(Références!$AF$2:$AF$201,MATCH($C131,Références!$A$2:$A$201,0)),"Ouvrir"))</f>
        <v>Ouvrir</v>
      </c>
      <c r="L131" s="65" t="str">
        <f>IF($C131="","",IF(INDEX(Références!$BB$2:$BB$201,MATCH($C131,Références!$A$2:$A$201,0))="","",HYPERLINK(DossierPDF&amp;INDEX(Références!$BB$2:$BB$201,MATCH($C131,Références!$A$2:$A$201,0)),"PDF")))</f>
        <v/>
      </c>
    </row>
    <row r="132" spans="2:12" ht="30" customHeight="1" x14ac:dyDescent="0.25">
      <c r="B132" s="64">
        <v>27</v>
      </c>
      <c r="C132" s="38" t="str">
        <f>IFERROR(INDEX(Références!$A$2:$A$201,MATCH("4-27",Références!$AY$2:$AY$201,0)),"")</f>
        <v>BIB-135</v>
      </c>
      <c r="D132" s="3" t="str">
        <f>IF($C132="","",INDEX(Références!$C$2:$C$201,MATCH($C132,Références!$A$2:$A$201,0)))</f>
        <v>Zhao et al. (2014)</v>
      </c>
      <c r="E132" s="3" t="str">
        <f>IF($C132="","",INDEX(Références!$D$2:$D$201,MATCH($C132,Références!$A$2:$A$201,0)))</f>
        <v>Viscoelastic response solutions of multilayered asphalt pavements</v>
      </c>
      <c r="F132" s="38" t="str">
        <f>IF($C132="","",INDEX(Références!$H$2:$H$201,MATCH($C132,Références!$A$2:$A$201,0)))</f>
        <v>A consulter</v>
      </c>
      <c r="G132" s="64">
        <f>IF($C132="","",INDEX(Références!$G$2:$G$201,MATCH($C132,Références!$A$2:$A$201,0)))</f>
        <v>5</v>
      </c>
      <c r="H132" s="38" t="str">
        <f>IF($C132="","",INDEX(Références!$J$2:$J$201,MATCH($C132,Références!$A$2:$A$201,0)))</f>
        <v>À lire</v>
      </c>
      <c r="I132" s="38" t="str">
        <f ca="1">IF($C132="","",INDEX(Références!$K$2:$K$201,MATCH($C132,Références!$A$2:$A$201,0)))</f>
        <v>À venir</v>
      </c>
      <c r="J132" s="64">
        <f>IF($C132="","",INDEX(Références!$AT$2:$AT$201,MATCH($C132,Références!$A$2:$A$201,0)))</f>
        <v>1</v>
      </c>
      <c r="K132" s="65" t="str">
        <f>IF($C132="","",HYPERLINK(INDEX(Références!$AF$2:$AF$201,MATCH($C132,Références!$A$2:$A$201,0)),"Ouvrir"))</f>
        <v>Ouvrir</v>
      </c>
      <c r="L132" s="65" t="str">
        <f>IF($C132="","",IF(INDEX(Références!$BB$2:$BB$201,MATCH($C132,Références!$A$2:$A$201,0))="","",HYPERLINK(DossierPDF&amp;INDEX(Références!$BB$2:$BB$201,MATCH($C132,Références!$A$2:$A$201,0)),"PDF")))</f>
        <v/>
      </c>
    </row>
    <row r="133" spans="2:12" ht="30" customHeight="1" x14ac:dyDescent="0.25">
      <c r="B133" s="64">
        <v>28</v>
      </c>
      <c r="C133" s="38" t="str">
        <f>IFERROR(INDEX(Références!$A$2:$A$201,MATCH("4-28",Références!$AY$2:$AY$201,0)),"")</f>
        <v>BIB-136</v>
      </c>
      <c r="D133" s="3" t="str">
        <f>IF($C133="","",INDEX(Références!$C$2:$C$201,MATCH($C133,Références!$A$2:$A$201,0)))</f>
        <v>Hughes (2000)</v>
      </c>
      <c r="E133" s="3" t="str">
        <f>IF($C133="","",INDEX(Références!$D$2:$D$201,MATCH($C133,Références!$A$2:$A$201,0)))</f>
        <v>The finite element method: linear static and dynamic finite element analysis</v>
      </c>
      <c r="F133" s="38" t="str">
        <f>IF($C133="","",INDEX(Références!$H$2:$H$201,MATCH($C133,Références!$A$2:$A$201,0)))</f>
        <v>Important</v>
      </c>
      <c r="G133" s="64">
        <f>IF($C133="","",INDEX(Références!$G$2:$G$201,MATCH($C133,Références!$A$2:$A$201,0)))</f>
        <v>5</v>
      </c>
      <c r="H133" s="38" t="str">
        <f>IF($C133="","",INDEX(Références!$J$2:$J$201,MATCH($C133,Références!$A$2:$A$201,0)))</f>
        <v>À lire</v>
      </c>
      <c r="I133" s="38" t="str">
        <f ca="1">IF($C133="","",INDEX(Références!$K$2:$K$201,MATCH($C133,Références!$A$2:$A$201,0)))</f>
        <v>À venir</v>
      </c>
      <c r="J133" s="64">
        <f>IF($C133="","",INDEX(Références!$AT$2:$AT$201,MATCH($C133,Références!$A$2:$A$201,0)))</f>
        <v>3</v>
      </c>
      <c r="K133" s="65" t="str">
        <f>IF($C133="","",HYPERLINK(INDEX(Références!$AF$2:$AF$201,MATCH($C133,Références!$A$2:$A$201,0)),"Ouvrir"))</f>
        <v>Ouvrir</v>
      </c>
      <c r="L133" s="65" t="str">
        <f>IF($C133="","",IF(INDEX(Références!$BB$2:$BB$201,MATCH($C133,Références!$A$2:$A$201,0))="","",HYPERLINK(DossierPDF&amp;INDEX(Références!$BB$2:$BB$201,MATCH($C133,Références!$A$2:$A$201,0)),"PDF")))</f>
        <v/>
      </c>
    </row>
    <row r="134" spans="2:12" ht="30" customHeight="1" x14ac:dyDescent="0.25">
      <c r="B134" s="64">
        <v>29</v>
      </c>
      <c r="C134" s="38" t="str">
        <f>IFERROR(INDEX(Références!$A$2:$A$201,MATCH("4-29",Références!$AY$2:$AY$201,0)),"")</f>
        <v>BIB-155</v>
      </c>
      <c r="D134" s="3" t="str">
        <f>IF($C134="","",INDEX(Références!$C$2:$C$201,MATCH($C134,Références!$A$2:$A$201,0)))</f>
        <v>Wriggers (2006)</v>
      </c>
      <c r="E134" s="3" t="str">
        <f>IF($C134="","",INDEX(Références!$D$2:$D$201,MATCH($C134,Références!$A$2:$A$201,0)))</f>
        <v>Computational contact mechanics (2nd edition)</v>
      </c>
      <c r="F134" s="38" t="str">
        <f>IF($C134="","",INDEX(Références!$H$2:$H$201,MATCH($C134,Références!$A$2:$A$201,0)))</f>
        <v>A consulter</v>
      </c>
      <c r="G134" s="64">
        <f>IF($C134="","",INDEX(Références!$G$2:$G$201,MATCH($C134,Références!$A$2:$A$201,0)))</f>
        <v>2</v>
      </c>
      <c r="H134" s="38" t="str">
        <f>IF($C134="","",INDEX(Références!$J$2:$J$201,MATCH($C134,Références!$A$2:$A$201,0)))</f>
        <v>À lire</v>
      </c>
      <c r="I134" s="38" t="str">
        <f ca="1">IF($C134="","",INDEX(Références!$K$2:$K$201,MATCH($C134,Références!$A$2:$A$201,0)))</f>
        <v>À venir</v>
      </c>
      <c r="J134" s="64">
        <f>IF($C134="","",INDEX(Références!$AT$2:$AT$201,MATCH($C134,Références!$A$2:$A$201,0)))</f>
        <v>1</v>
      </c>
      <c r="K134" s="65" t="str">
        <f>IF($C134="","",HYPERLINK(INDEX(Références!$AF$2:$AF$201,MATCH($C134,Références!$A$2:$A$201,0)),"Ouvrir"))</f>
        <v>Ouvrir</v>
      </c>
      <c r="L134" s="65" t="str">
        <f>IF($C134="","",IF(INDEX(Références!$BB$2:$BB$201,MATCH($C134,Références!$A$2:$A$201,0))="","",HYPERLINK(DossierPDF&amp;INDEX(Références!$BB$2:$BB$201,MATCH($C134,Références!$A$2:$A$201,0)),"PDF")))</f>
        <v/>
      </c>
    </row>
    <row r="135" spans="2:12" ht="30" customHeight="1" x14ac:dyDescent="0.25">
      <c r="B135" s="64">
        <v>30</v>
      </c>
      <c r="C135" s="38" t="str">
        <f>IFERROR(INDEX(Références!$A$2:$A$201,MATCH("4-30",Références!$AY$2:$AY$201,0)),"")</f>
        <v/>
      </c>
      <c r="D135" s="3" t="str">
        <f>IF($C135="","",INDEX(Références!$C$2:$C$201,MATCH($C135,Références!$A$2:$A$201,0)))</f>
        <v/>
      </c>
      <c r="E135" s="3" t="str">
        <f>IF($C135="","",INDEX(Références!$D$2:$D$201,MATCH($C135,Références!$A$2:$A$201,0)))</f>
        <v/>
      </c>
      <c r="F135" s="38" t="str">
        <f>IF($C135="","",INDEX(Références!$H$2:$H$201,MATCH($C135,Références!$A$2:$A$201,0)))</f>
        <v/>
      </c>
      <c r="G135" s="64" t="str">
        <f>IF($C135="","",INDEX(Références!$G$2:$G$201,MATCH($C135,Références!$A$2:$A$201,0)))</f>
        <v/>
      </c>
      <c r="H135" s="38" t="str">
        <f>IF($C135="","",INDEX(Références!$J$2:$J$201,MATCH($C135,Références!$A$2:$A$201,0)))</f>
        <v/>
      </c>
      <c r="I135" s="38" t="str">
        <f>IF($C135="","",INDEX(Références!$K$2:$K$201,MATCH($C135,Références!$A$2:$A$201,0)))</f>
        <v/>
      </c>
      <c r="J135" s="64" t="str">
        <f>IF($C135="","",INDEX(Références!$AT$2:$AT$201,MATCH($C135,Références!$A$2:$A$201,0)))</f>
        <v/>
      </c>
      <c r="K135" s="65" t="str">
        <f>IF($C135="","",HYPERLINK(INDEX(Références!$AF$2:$AF$201,MATCH($C135,Références!$A$2:$A$201,0)),"Ouvrir"))</f>
        <v/>
      </c>
      <c r="L135" s="65" t="str">
        <f>IF($C135="","",IF(INDEX(Références!$BB$2:$BB$201,MATCH($C135,Références!$A$2:$A$201,0))="","",HYPERLINK(DossierPDF&amp;INDEX(Références!$BB$2:$BB$201,MATCH($C135,Références!$A$2:$A$201,0)),"PDF")))</f>
        <v/>
      </c>
    </row>
    <row r="136" spans="2:12" ht="30" customHeight="1" x14ac:dyDescent="0.25">
      <c r="B136" s="64">
        <v>31</v>
      </c>
      <c r="C136" s="38" t="str">
        <f>IFERROR(INDEX(Références!$A$2:$A$201,MATCH("4-31",Références!$AY$2:$AY$201,0)),"")</f>
        <v/>
      </c>
      <c r="D136" s="3" t="str">
        <f>IF($C136="","",INDEX(Références!$C$2:$C$201,MATCH($C136,Références!$A$2:$A$201,0)))</f>
        <v/>
      </c>
      <c r="E136" s="3" t="str">
        <f>IF($C136="","",INDEX(Références!$D$2:$D$201,MATCH($C136,Références!$A$2:$A$201,0)))</f>
        <v/>
      </c>
      <c r="F136" s="38" t="str">
        <f>IF($C136="","",INDEX(Références!$H$2:$H$201,MATCH($C136,Références!$A$2:$A$201,0)))</f>
        <v/>
      </c>
      <c r="G136" s="64" t="str">
        <f>IF($C136="","",INDEX(Références!$G$2:$G$201,MATCH($C136,Références!$A$2:$A$201,0)))</f>
        <v/>
      </c>
      <c r="H136" s="38" t="str">
        <f>IF($C136="","",INDEX(Références!$J$2:$J$201,MATCH($C136,Références!$A$2:$A$201,0)))</f>
        <v/>
      </c>
      <c r="I136" s="38" t="str">
        <f>IF($C136="","",INDEX(Références!$K$2:$K$201,MATCH($C136,Références!$A$2:$A$201,0)))</f>
        <v/>
      </c>
      <c r="J136" s="64" t="str">
        <f>IF($C136="","",INDEX(Références!$AT$2:$AT$201,MATCH($C136,Références!$A$2:$A$201,0)))</f>
        <v/>
      </c>
      <c r="K136" s="65" t="str">
        <f>IF($C136="","",HYPERLINK(INDEX(Références!$AF$2:$AF$201,MATCH($C136,Références!$A$2:$A$201,0)),"Ouvrir"))</f>
        <v/>
      </c>
      <c r="L136" s="65" t="str">
        <f>IF($C136="","",IF(INDEX(Références!$BB$2:$BB$201,MATCH($C136,Références!$A$2:$A$201,0))="","",HYPERLINK(DossierPDF&amp;INDEX(Références!$BB$2:$BB$201,MATCH($C136,Références!$A$2:$A$201,0)),"PDF")))</f>
        <v/>
      </c>
    </row>
    <row r="137" spans="2:12" ht="30" customHeight="1" x14ac:dyDescent="0.25">
      <c r="B137" s="64">
        <v>32</v>
      </c>
      <c r="C137" s="38" t="str">
        <f>IFERROR(INDEX(Références!$A$2:$A$201,MATCH("4-32",Références!$AY$2:$AY$201,0)),"")</f>
        <v/>
      </c>
      <c r="D137" s="3" t="str">
        <f>IF($C137="","",INDEX(Références!$C$2:$C$201,MATCH($C137,Références!$A$2:$A$201,0)))</f>
        <v/>
      </c>
      <c r="E137" s="3" t="str">
        <f>IF($C137="","",INDEX(Références!$D$2:$D$201,MATCH($C137,Références!$A$2:$A$201,0)))</f>
        <v/>
      </c>
      <c r="F137" s="38" t="str">
        <f>IF($C137="","",INDEX(Références!$H$2:$H$201,MATCH($C137,Références!$A$2:$A$201,0)))</f>
        <v/>
      </c>
      <c r="G137" s="64" t="str">
        <f>IF($C137="","",INDEX(Références!$G$2:$G$201,MATCH($C137,Références!$A$2:$A$201,0)))</f>
        <v/>
      </c>
      <c r="H137" s="38" t="str">
        <f>IF($C137="","",INDEX(Références!$J$2:$J$201,MATCH($C137,Références!$A$2:$A$201,0)))</f>
        <v/>
      </c>
      <c r="I137" s="38" t="str">
        <f>IF($C137="","",INDEX(Références!$K$2:$K$201,MATCH($C137,Références!$A$2:$A$201,0)))</f>
        <v/>
      </c>
      <c r="J137" s="64" t="str">
        <f>IF($C137="","",INDEX(Références!$AT$2:$AT$201,MATCH($C137,Références!$A$2:$A$201,0)))</f>
        <v/>
      </c>
      <c r="K137" s="65" t="str">
        <f>IF($C137="","",HYPERLINK(INDEX(Références!$AF$2:$AF$201,MATCH($C137,Références!$A$2:$A$201,0)),"Ouvrir"))</f>
        <v/>
      </c>
      <c r="L137" s="65" t="str">
        <f>IF($C137="","",IF(INDEX(Références!$BB$2:$BB$201,MATCH($C137,Références!$A$2:$A$201,0))="","",HYPERLINK(DossierPDF&amp;INDEX(Références!$BB$2:$BB$201,MATCH($C137,Références!$A$2:$A$201,0)),"PDF")))</f>
        <v/>
      </c>
    </row>
    <row r="139" spans="2:12" ht="21.75" customHeight="1" x14ac:dyDescent="0.25">
      <c r="B139" s="77" t="s">
        <v>2920</v>
      </c>
      <c r="C139" s="77"/>
      <c r="D139" s="77"/>
      <c r="E139" s="77"/>
      <c r="F139" s="77"/>
      <c r="G139" s="77"/>
      <c r="H139" s="77"/>
      <c r="I139" s="77"/>
      <c r="J139" s="77"/>
      <c r="K139" s="77"/>
    </row>
    <row r="140" spans="2:12" ht="57.95" customHeight="1" x14ac:dyDescent="0.25">
      <c r="B140" s="60" t="s">
        <v>2909</v>
      </c>
      <c r="C140" s="78" t="s">
        <v>4099</v>
      </c>
      <c r="D140" s="78"/>
      <c r="E140" s="78"/>
      <c r="F140" s="78"/>
      <c r="G140" s="78"/>
      <c r="H140" s="78"/>
      <c r="I140" s="78"/>
      <c r="J140" s="78"/>
      <c r="K140" s="78"/>
    </row>
    <row r="141" spans="2:12" ht="57.95" customHeight="1" x14ac:dyDescent="0.25">
      <c r="B141" s="60" t="s">
        <v>2910</v>
      </c>
      <c r="C141" s="78" t="s">
        <v>4100</v>
      </c>
      <c r="D141" s="78"/>
      <c r="E141" s="78"/>
      <c r="F141" s="78"/>
      <c r="G141" s="78"/>
      <c r="H141" s="78"/>
      <c r="I141" s="78"/>
      <c r="J141" s="78"/>
      <c r="K141" s="78"/>
    </row>
    <row r="142" spans="2:12" x14ac:dyDescent="0.25">
      <c r="B142" s="61" t="s">
        <v>2912</v>
      </c>
      <c r="C142" s="79" t="str">
        <f>COUNTIF(Références!$I$2:$I$201,5)&amp;" références, "&amp;COUNTIFS(Références!$I$2:$I$201,5,Références!$J$2:$J$201,"Lu")&amp;" lues"</f>
        <v>41 références, 0 lues</v>
      </c>
      <c r="D142" s="79"/>
      <c r="E142" s="1" t="str">
        <f>"Heures restantes : "&amp;(SUMIFS(Références!$AT$2:$AT$201,Références!$I$2:$I$201,5)-SUMIFS(Références!$AT$2:$AT$201,Références!$I$2:$I$201,5,Références!$J$2:$J$201,"Lu")-SUMIFS(Références!$AT$2:$AT$201,Références!$I$2:$I$201,5,Références!$J$2:$J$201,"Écarté"))&amp;" h sur "&amp;SUMIFS(Références!$AT$2:$AT$201,Références!$I$2:$I$201,5)&amp;" h prévues"</f>
        <v>Heures restantes : 112 h sur 112 h prévues</v>
      </c>
      <c r="F142" s="62" t="str">
        <f ca="1">IF(COUNTIF(Références!$I$2:$I$201,5)-COUNTIFS(Références!$I$2:$I$201,5,Références!$J$2:$J$201,"Lu")-COUNTIFS(Références!$I$2:$I$201,5,Références!$J$2:$J$201,"Écarté")=0,"Terminé",IF(5&lt;Paramètres!$C$8,"En retard",IF(5=Paramètres!$C$8,"En cours","À venir")))</f>
        <v>À venir</v>
      </c>
    </row>
    <row r="143" spans="2:12" ht="18" customHeight="1" x14ac:dyDescent="0.25">
      <c r="B143" s="63" t="s">
        <v>205</v>
      </c>
      <c r="C143" s="63" t="s">
        <v>51</v>
      </c>
      <c r="D143" s="63" t="s">
        <v>169</v>
      </c>
      <c r="E143" s="63" t="s">
        <v>173</v>
      </c>
      <c r="F143" s="63" t="s">
        <v>170</v>
      </c>
      <c r="G143" s="63" t="s">
        <v>119</v>
      </c>
      <c r="H143" s="63" t="s">
        <v>1662</v>
      </c>
      <c r="I143" s="63" t="s">
        <v>152</v>
      </c>
      <c r="J143" s="63" t="s">
        <v>2913</v>
      </c>
      <c r="K143" s="63" t="s">
        <v>172</v>
      </c>
      <c r="L143" s="63" t="s">
        <v>64</v>
      </c>
    </row>
    <row r="144" spans="2:12" ht="30" customHeight="1" x14ac:dyDescent="0.25">
      <c r="B144" s="64">
        <v>1</v>
      </c>
      <c r="C144" s="38" t="str">
        <f>IFERROR(INDEX(Références!$A$2:$A$201,MATCH("5-1",Références!$AY$2:$AY$201,0)),"")</f>
        <v>BIB-085</v>
      </c>
      <c r="D144" s="3" t="str">
        <f>IF($C144="","",INDEX(Références!$C$2:$C$201,MATCH($C144,Références!$A$2:$A$201,0)))</f>
        <v>Boussinesq (1885)</v>
      </c>
      <c r="E144" s="3" t="str">
        <f>IF($C144="","",INDEX(Références!$D$2:$D$201,MATCH($C144,Références!$A$2:$A$201,0)))</f>
        <v>Application des potentiels à l'étude de l'équilibre et du mouvement des solides élastiques</v>
      </c>
      <c r="F144" s="38" t="str">
        <f>IF($C144="","",INDEX(Références!$H$2:$H$201,MATCH($C144,Références!$A$2:$A$201,0)))</f>
        <v>INCONTOURNABLE</v>
      </c>
      <c r="G144" s="64">
        <f>IF($C144="","",INDEX(Références!$G$2:$G$201,MATCH($C144,Références!$A$2:$A$201,0)))</f>
        <v>5</v>
      </c>
      <c r="H144" s="38" t="str">
        <f>IF($C144="","",INDEX(Références!$J$2:$J$201,MATCH($C144,Références!$A$2:$A$201,0)))</f>
        <v>À lire</v>
      </c>
      <c r="I144" s="38" t="str">
        <f ca="1">IF($C144="","",INDEX(Références!$K$2:$K$201,MATCH($C144,Références!$A$2:$A$201,0)))</f>
        <v>À venir</v>
      </c>
      <c r="J144" s="64">
        <f>IF($C144="","",INDEX(Références!$AT$2:$AT$201,MATCH($C144,Références!$A$2:$A$201,0)))</f>
        <v>6</v>
      </c>
      <c r="K144" s="65" t="str">
        <f>IF($C144="","",HYPERLINK(INDEX(Références!$AF$2:$AF$201,MATCH($C144,Références!$A$2:$A$201,0)),"Ouvrir"))</f>
        <v>Ouvrir</v>
      </c>
      <c r="L144" s="65" t="str">
        <f>IF($C144="","",IF(INDEX(Références!$BB$2:$BB$201,MATCH($C144,Références!$A$2:$A$201,0))="","",HYPERLINK(DossierPDF&amp;INDEX(Références!$BB$2:$BB$201,MATCH($C144,Références!$A$2:$A$201,0)),"PDF")))</f>
        <v/>
      </c>
    </row>
    <row r="145" spans="2:12" ht="30" customHeight="1" x14ac:dyDescent="0.25">
      <c r="B145" s="64">
        <v>2</v>
      </c>
      <c r="C145" s="38" t="str">
        <f>IFERROR(INDEX(Références!$A$2:$A$201,MATCH("5-2",Références!$AY$2:$AY$201,0)),"")</f>
        <v>BIB-086</v>
      </c>
      <c r="D145" s="3" t="str">
        <f>IF($C145="","",INDEX(Références!$C$2:$C$201,MATCH($C145,Références!$A$2:$A$201,0)))</f>
        <v>Cardoso da Silva et al. (2025)</v>
      </c>
      <c r="E145" s="3" t="str">
        <f>IF($C145="","",INDEX(Références!$D$2:$D$201,MATCH($C145,Références!$A$2:$A$201,0)))</f>
        <v>Semi-analytical modelling of realistic tire-pavement contact: an analysis of pavement surface cracking damage under critical driving conditions</v>
      </c>
      <c r="F145" s="38" t="str">
        <f>IF($C145="","",INDEX(Références!$H$2:$H$201,MATCH($C145,Références!$A$2:$A$201,0)))</f>
        <v>INCONTOURNABLE</v>
      </c>
      <c r="G145" s="64">
        <f>IF($C145="","",INDEX(Références!$G$2:$G$201,MATCH($C145,Références!$A$2:$A$201,0)))</f>
        <v>5</v>
      </c>
      <c r="H145" s="38" t="str">
        <f>IF($C145="","",INDEX(Références!$J$2:$J$201,MATCH($C145,Références!$A$2:$A$201,0)))</f>
        <v>À lire</v>
      </c>
      <c r="I145" s="38" t="str">
        <f ca="1">IF($C145="","",INDEX(Références!$K$2:$K$201,MATCH($C145,Références!$A$2:$A$201,0)))</f>
        <v>À venir</v>
      </c>
      <c r="J145" s="64">
        <f>IF($C145="","",INDEX(Références!$AT$2:$AT$201,MATCH($C145,Références!$A$2:$A$201,0)))</f>
        <v>6</v>
      </c>
      <c r="K145" s="65" t="str">
        <f>IF($C145="","",HYPERLINK(INDEX(Références!$AF$2:$AF$201,MATCH($C145,Références!$A$2:$A$201,0)),"Ouvrir"))</f>
        <v>Ouvrir</v>
      </c>
      <c r="L145" s="65" t="str">
        <f>IF($C145="","",IF(INDEX(Références!$BB$2:$BB$201,MATCH($C145,Références!$A$2:$A$201,0))="","",HYPERLINK(DossierPDF&amp;INDEX(Références!$BB$2:$BB$201,MATCH($C145,Références!$A$2:$A$201,0)),"PDF")))</f>
        <v/>
      </c>
    </row>
    <row r="146" spans="2:12" ht="30" customHeight="1" x14ac:dyDescent="0.25">
      <c r="B146" s="64">
        <v>3</v>
      </c>
      <c r="C146" s="38" t="str">
        <f>IFERROR(INDEX(Références!$A$2:$A$201,MATCH("5-3",Références!$AY$2:$AY$201,0)),"")</f>
        <v>BIB-087</v>
      </c>
      <c r="D146" s="3" t="str">
        <f>IF($C146="","",INDEX(Références!$C$2:$C$201,MATCH($C146,Références!$A$2:$A$201,0)))</f>
        <v>Chabot et al. (2010)</v>
      </c>
      <c r="E146" s="3" t="str">
        <f>IF($C146="","",INDEX(Références!$D$2:$D$201,MATCH($C146,Références!$A$2:$A$201,0)))</f>
        <v>ViscoRoute 2.0: A tool for the simulation of moving load effects on asphalt pavement</v>
      </c>
      <c r="F146" s="38" t="str">
        <f>IF($C146="","",INDEX(Références!$H$2:$H$201,MATCH($C146,Références!$A$2:$A$201,0)))</f>
        <v>INCONTOURNABLE</v>
      </c>
      <c r="G146" s="64">
        <f>IF($C146="","",INDEX(Références!$G$2:$G$201,MATCH($C146,Références!$A$2:$A$201,0)))</f>
        <v>5</v>
      </c>
      <c r="H146" s="38" t="str">
        <f>IF($C146="","",INDEX(Références!$J$2:$J$201,MATCH($C146,Références!$A$2:$A$201,0)))</f>
        <v>À lire</v>
      </c>
      <c r="I146" s="38" t="str">
        <f ca="1">IF($C146="","",INDEX(Références!$K$2:$K$201,MATCH($C146,Références!$A$2:$A$201,0)))</f>
        <v>À venir</v>
      </c>
      <c r="J146" s="64">
        <f>IF($C146="","",INDEX(Références!$AT$2:$AT$201,MATCH($C146,Références!$A$2:$A$201,0)))</f>
        <v>6</v>
      </c>
      <c r="K146" s="65" t="str">
        <f>IF($C146="","",HYPERLINK(INDEX(Références!$AF$2:$AF$201,MATCH($C146,Références!$A$2:$A$201,0)),"Ouvrir"))</f>
        <v>Ouvrir</v>
      </c>
      <c r="L146" s="65" t="str">
        <f>IF($C146="","",IF(INDEX(Références!$BB$2:$BB$201,MATCH($C146,Références!$A$2:$A$201,0))="","",HYPERLINK(DossierPDF&amp;INDEX(Références!$BB$2:$BB$201,MATCH($C146,Références!$A$2:$A$201,0)),"PDF")))</f>
        <v/>
      </c>
    </row>
    <row r="147" spans="2:12" ht="30" customHeight="1" x14ac:dyDescent="0.25">
      <c r="B147" s="64">
        <v>4</v>
      </c>
      <c r="C147" s="38" t="str">
        <f>IFERROR(INDEX(Références!$A$2:$A$201,MATCH("5-4",Références!$AY$2:$AY$201,0)),"")</f>
        <v>BIB-088</v>
      </c>
      <c r="D147" s="3" t="str">
        <f>IF($C147="","",INDEX(Références!$C$2:$C$201,MATCH($C147,Références!$A$2:$A$201,0)))</f>
        <v>Liu et al. (2000)</v>
      </c>
      <c r="E147" s="3" t="str">
        <f>IF($C147="","",INDEX(Références!$D$2:$D$201,MATCH($C147,Références!$A$2:$A$201,0)))</f>
        <v>A versatile method of discrete convolution and FFT (DC-FFT) for contact analyses</v>
      </c>
      <c r="F147" s="38" t="str">
        <f>IF($C147="","",INDEX(Références!$H$2:$H$201,MATCH($C147,Références!$A$2:$A$201,0)))</f>
        <v>INCONTOURNABLE</v>
      </c>
      <c r="G147" s="64">
        <f>IF($C147="","",INDEX(Références!$G$2:$G$201,MATCH($C147,Références!$A$2:$A$201,0)))</f>
        <v>5</v>
      </c>
      <c r="H147" s="38" t="str">
        <f>IF($C147="","",INDEX(Références!$J$2:$J$201,MATCH($C147,Références!$A$2:$A$201,0)))</f>
        <v>À lire</v>
      </c>
      <c r="I147" s="38" t="str">
        <f ca="1">IF($C147="","",INDEX(Références!$K$2:$K$201,MATCH($C147,Références!$A$2:$A$201,0)))</f>
        <v>À venir</v>
      </c>
      <c r="J147" s="64">
        <f>IF($C147="","",INDEX(Références!$AT$2:$AT$201,MATCH($C147,Références!$A$2:$A$201,0)))</f>
        <v>6</v>
      </c>
      <c r="K147" s="65" t="str">
        <f>IF($C147="","",HYPERLINK(INDEX(Références!$AF$2:$AF$201,MATCH($C147,Références!$A$2:$A$201,0)),"Ouvrir"))</f>
        <v>Ouvrir</v>
      </c>
      <c r="L147" s="65" t="str">
        <f>IF($C147="","",IF(INDEX(Références!$BB$2:$BB$201,MATCH($C147,Références!$A$2:$A$201,0))="","",HYPERLINK(DossierPDF&amp;INDEX(Références!$BB$2:$BB$201,MATCH($C147,Références!$A$2:$A$201,0)),"PDF")))</f>
        <v/>
      </c>
    </row>
    <row r="148" spans="2:12" ht="30" customHeight="1" x14ac:dyDescent="0.25">
      <c r="B148" s="64">
        <v>5</v>
      </c>
      <c r="C148" s="38" t="str">
        <f>IFERROR(INDEX(Références!$A$2:$A$201,MATCH("5-5",Références!$AY$2:$AY$201,0)),"")</f>
        <v>BIB-089</v>
      </c>
      <c r="D148" s="3" t="str">
        <f>IF($C148="","",INDEX(Références!$C$2:$C$201,MATCH($C148,Références!$A$2:$A$201,0)))</f>
        <v>Al-Khoury et al. (2001)</v>
      </c>
      <c r="E148" s="3" t="str">
        <f>IF($C148="","",INDEX(Références!$D$2:$D$201,MATCH($C148,Références!$A$2:$A$201,0)))</f>
        <v>Spectral element technique for efficient parameter identification of layered media. I. Forward calculation</v>
      </c>
      <c r="F148" s="38" t="str">
        <f>IF($C148="","",INDEX(Références!$H$2:$H$201,MATCH($C148,Références!$A$2:$A$201,0)))</f>
        <v>Important</v>
      </c>
      <c r="G148" s="64">
        <f>IF($C148="","",INDEX(Références!$G$2:$G$201,MATCH($C148,Références!$A$2:$A$201,0)))</f>
        <v>5</v>
      </c>
      <c r="H148" s="38" t="str">
        <f>IF($C148="","",INDEX(Références!$J$2:$J$201,MATCH($C148,Références!$A$2:$A$201,0)))</f>
        <v>À lire</v>
      </c>
      <c r="I148" s="38" t="str">
        <f ca="1">IF($C148="","",INDEX(Références!$K$2:$K$201,MATCH($C148,Références!$A$2:$A$201,0)))</f>
        <v>À venir</v>
      </c>
      <c r="J148" s="64">
        <f>IF($C148="","",INDEX(Références!$AT$2:$AT$201,MATCH($C148,Références!$A$2:$A$201,0)))</f>
        <v>3</v>
      </c>
      <c r="K148" s="65" t="str">
        <f>IF($C148="","",HYPERLINK(INDEX(Références!$AF$2:$AF$201,MATCH($C148,Références!$A$2:$A$201,0)),"Ouvrir"))</f>
        <v>Ouvrir</v>
      </c>
      <c r="L148" s="65" t="str">
        <f>IF($C148="","",IF(INDEX(Références!$BB$2:$BB$201,MATCH($C148,Références!$A$2:$A$201,0))="","",HYPERLINK(DossierPDF&amp;INDEX(Références!$BB$2:$BB$201,MATCH($C148,Références!$A$2:$A$201,0)),"PDF")))</f>
        <v/>
      </c>
    </row>
    <row r="149" spans="2:12" ht="30" customHeight="1" x14ac:dyDescent="0.25">
      <c r="B149" s="64">
        <v>6</v>
      </c>
      <c r="C149" s="38" t="str">
        <f>IFERROR(INDEX(Références!$A$2:$A$201,MATCH("5-6",Références!$AY$2:$AY$201,0)),"")</f>
        <v>BIB-090</v>
      </c>
      <c r="D149" s="3" t="str">
        <f>IF($C149="","",INDEX(Références!$C$2:$C$201,MATCH($C149,Références!$A$2:$A$201,0)))</f>
        <v>Hopman (1996)</v>
      </c>
      <c r="E149" s="3" t="str">
        <f>IF($C149="","",INDEX(Références!$D$2:$D$201,MATCH($C149,Références!$A$2:$A$201,0)))</f>
        <v>VEROAD: A viscoelastic multilayer computer program</v>
      </c>
      <c r="F149" s="38" t="str">
        <f>IF($C149="","",INDEX(Références!$H$2:$H$201,MATCH($C149,Références!$A$2:$A$201,0)))</f>
        <v>Important</v>
      </c>
      <c r="G149" s="64">
        <f>IF($C149="","",INDEX(Références!$G$2:$G$201,MATCH($C149,Références!$A$2:$A$201,0)))</f>
        <v>5</v>
      </c>
      <c r="H149" s="38" t="str">
        <f>IF($C149="","",INDEX(Références!$J$2:$J$201,MATCH($C149,Références!$A$2:$A$201,0)))</f>
        <v>À lire</v>
      </c>
      <c r="I149" s="38" t="str">
        <f ca="1">IF($C149="","",INDEX(Références!$K$2:$K$201,MATCH($C149,Références!$A$2:$A$201,0)))</f>
        <v>À venir</v>
      </c>
      <c r="J149" s="64">
        <f>IF($C149="","",INDEX(Références!$AT$2:$AT$201,MATCH($C149,Références!$A$2:$A$201,0)))</f>
        <v>3</v>
      </c>
      <c r="K149" s="65" t="str">
        <f>IF($C149="","",HYPERLINK(INDEX(Références!$AF$2:$AF$201,MATCH($C149,Références!$A$2:$A$201,0)),"Ouvrir"))</f>
        <v>Ouvrir</v>
      </c>
      <c r="L149" s="65" t="str">
        <f>IF($C149="","",IF(INDEX(Références!$BB$2:$BB$201,MATCH($C149,Références!$A$2:$A$201,0))="","",HYPERLINK(DossierPDF&amp;INDEX(Références!$BB$2:$BB$201,MATCH($C149,Références!$A$2:$A$201,0)),"PDF")))</f>
        <v/>
      </c>
    </row>
    <row r="150" spans="2:12" ht="30" customHeight="1" x14ac:dyDescent="0.25">
      <c r="B150" s="64">
        <v>7</v>
      </c>
      <c r="C150" s="38" t="str">
        <f>IFERROR(INDEX(Références!$A$2:$A$201,MATCH("5-7",Références!$AY$2:$AY$201,0)),"")</f>
        <v>BIB-091</v>
      </c>
      <c r="D150" s="3" t="str">
        <f>IF($C150="","",INDEX(Références!$C$2:$C$201,MATCH($C150,Références!$A$2:$A$201,0)))</f>
        <v>Jacq et al. (2002)</v>
      </c>
      <c r="E150" s="3" t="str">
        <f>IF($C150="","",INDEX(Références!$D$2:$D$201,MATCH($C150,Références!$A$2:$A$201,0)))</f>
        <v>Development of a three-dimensional semi-analytical elastic-plastic contact code</v>
      </c>
      <c r="F150" s="38" t="str">
        <f>IF($C150="","",INDEX(Références!$H$2:$H$201,MATCH($C150,Références!$A$2:$A$201,0)))</f>
        <v>Important</v>
      </c>
      <c r="G150" s="64">
        <f>IF($C150="","",INDEX(Références!$G$2:$G$201,MATCH($C150,Références!$A$2:$A$201,0)))</f>
        <v>5</v>
      </c>
      <c r="H150" s="38" t="str">
        <f>IF($C150="","",INDEX(Références!$J$2:$J$201,MATCH($C150,Références!$A$2:$A$201,0)))</f>
        <v>À lire</v>
      </c>
      <c r="I150" s="38" t="str">
        <f ca="1">IF($C150="","",INDEX(Références!$K$2:$K$201,MATCH($C150,Références!$A$2:$A$201,0)))</f>
        <v>À venir</v>
      </c>
      <c r="J150" s="64">
        <f>IF($C150="","",INDEX(Références!$AT$2:$AT$201,MATCH($C150,Références!$A$2:$A$201,0)))</f>
        <v>3</v>
      </c>
      <c r="K150" s="65" t="str">
        <f>IF($C150="","",HYPERLINK(INDEX(Références!$AF$2:$AF$201,MATCH($C150,Références!$A$2:$A$201,0)),"Ouvrir"))</f>
        <v>Ouvrir</v>
      </c>
      <c r="L150" s="65" t="str">
        <f>IF($C150="","",IF(INDEX(Références!$BB$2:$BB$201,MATCH($C150,Références!$A$2:$A$201,0))="","",HYPERLINK(DossierPDF&amp;INDEX(Références!$BB$2:$BB$201,MATCH($C150,Références!$A$2:$A$201,0)),"PDF")))</f>
        <v/>
      </c>
    </row>
    <row r="151" spans="2:12" ht="30" customHeight="1" x14ac:dyDescent="0.25">
      <c r="B151" s="64">
        <v>8</v>
      </c>
      <c r="C151" s="38" t="str">
        <f>IFERROR(INDEX(Références!$A$2:$A$201,MATCH("5-8",Références!$AY$2:$AY$201,0)),"")</f>
        <v>BIB-092</v>
      </c>
      <c r="D151" s="3" t="str">
        <f>IF($C151="","",INDEX(Références!$C$2:$C$201,MATCH($C151,Références!$A$2:$A$201,0)))</f>
        <v>Johnson (1985)</v>
      </c>
      <c r="E151" s="3" t="str">
        <f>IF($C151="","",INDEX(Références!$D$2:$D$201,MATCH($C151,Références!$A$2:$A$201,0)))</f>
        <v>Contact mechanics</v>
      </c>
      <c r="F151" s="38" t="str">
        <f>IF($C151="","",INDEX(Références!$H$2:$H$201,MATCH($C151,Références!$A$2:$A$201,0)))</f>
        <v>Important</v>
      </c>
      <c r="G151" s="64">
        <f>IF($C151="","",INDEX(Références!$G$2:$G$201,MATCH($C151,Références!$A$2:$A$201,0)))</f>
        <v>5</v>
      </c>
      <c r="H151" s="38" t="str">
        <f>IF($C151="","",INDEX(Références!$J$2:$J$201,MATCH($C151,Références!$A$2:$A$201,0)))</f>
        <v>À lire</v>
      </c>
      <c r="I151" s="38" t="str">
        <f ca="1">IF($C151="","",INDEX(Références!$K$2:$K$201,MATCH($C151,Références!$A$2:$A$201,0)))</f>
        <v>À venir</v>
      </c>
      <c r="J151" s="64">
        <f>IF($C151="","",INDEX(Références!$AT$2:$AT$201,MATCH($C151,Références!$A$2:$A$201,0)))</f>
        <v>3</v>
      </c>
      <c r="K151" s="65" t="str">
        <f>IF($C151="","",HYPERLINK(INDEX(Références!$AF$2:$AF$201,MATCH($C151,Références!$A$2:$A$201,0)),"Ouvrir"))</f>
        <v>Ouvrir</v>
      </c>
      <c r="L151" s="65" t="str">
        <f>IF($C151="","",IF(INDEX(Références!$BB$2:$BB$201,MATCH($C151,Références!$A$2:$A$201,0))="","",HYPERLINK(DossierPDF&amp;INDEX(Références!$BB$2:$BB$201,MATCH($C151,Références!$A$2:$A$201,0)),"PDF")))</f>
        <v/>
      </c>
    </row>
    <row r="152" spans="2:12" ht="30" customHeight="1" x14ac:dyDescent="0.25">
      <c r="B152" s="64">
        <v>9</v>
      </c>
      <c r="C152" s="38" t="str">
        <f>IFERROR(INDEX(Références!$A$2:$A$201,MATCH("5-9",Références!$AY$2:$AY$201,0)),"")</f>
        <v>BIB-093</v>
      </c>
      <c r="D152" s="3" t="str">
        <f>IF($C152="","",INDEX(Références!$C$2:$C$201,MATCH($C152,Références!$A$2:$A$201,0)))</f>
        <v>Love (1929)</v>
      </c>
      <c r="E152" s="3" t="str">
        <f>IF($C152="","",INDEX(Références!$D$2:$D$201,MATCH($C152,Références!$A$2:$A$201,0)))</f>
        <v>The stress produced in a semi-infinite solid by pressure on part of the boundary</v>
      </c>
      <c r="F152" s="38" t="str">
        <f>IF($C152="","",INDEX(Références!$H$2:$H$201,MATCH($C152,Références!$A$2:$A$201,0)))</f>
        <v>Important</v>
      </c>
      <c r="G152" s="64">
        <f>IF($C152="","",INDEX(Références!$G$2:$G$201,MATCH($C152,Références!$A$2:$A$201,0)))</f>
        <v>5</v>
      </c>
      <c r="H152" s="38" t="str">
        <f>IF($C152="","",INDEX(Références!$J$2:$J$201,MATCH($C152,Références!$A$2:$A$201,0)))</f>
        <v>À lire</v>
      </c>
      <c r="I152" s="38" t="str">
        <f ca="1">IF($C152="","",INDEX(Références!$K$2:$K$201,MATCH($C152,Références!$A$2:$A$201,0)))</f>
        <v>À venir</v>
      </c>
      <c r="J152" s="64">
        <f>IF($C152="","",INDEX(Références!$AT$2:$AT$201,MATCH($C152,Références!$A$2:$A$201,0)))</f>
        <v>3</v>
      </c>
      <c r="K152" s="65" t="str">
        <f>IF($C152="","",HYPERLINK(INDEX(Références!$AF$2:$AF$201,MATCH($C152,Références!$A$2:$A$201,0)),"Ouvrir"))</f>
        <v>Ouvrir</v>
      </c>
      <c r="L152" s="65" t="str">
        <f>IF($C152="","",IF(INDEX(Références!$BB$2:$BB$201,MATCH($C152,Références!$A$2:$A$201,0))="","",HYPERLINK(DossierPDF&amp;INDEX(Références!$BB$2:$BB$201,MATCH($C152,Références!$A$2:$A$201,0)),"PDF")))</f>
        <v/>
      </c>
    </row>
    <row r="153" spans="2:12" ht="30" customHeight="1" x14ac:dyDescent="0.25">
      <c r="B153" s="64">
        <v>10</v>
      </c>
      <c r="C153" s="38" t="str">
        <f>IFERROR(INDEX(Références!$A$2:$A$201,MATCH("5-10",Références!$AY$2:$AY$201,0)),"")</f>
        <v>BIB-094</v>
      </c>
      <c r="D153" s="3" t="str">
        <f>IF($C153="","",INDEX(Références!$C$2:$C$201,MATCH($C153,Références!$A$2:$A$201,0)))</f>
        <v>Manyo et al. (2021)</v>
      </c>
      <c r="E153" s="3" t="str">
        <f>IF($C153="","",INDEX(Références!$D$2:$D$201,MATCH($C153,Références!$A$2:$A$201,0)))</f>
        <v>Approach of pavement surface layer degradation caused by tire contact using semi-analytical model</v>
      </c>
      <c r="F153" s="38" t="str">
        <f>IF($C153="","",INDEX(Références!$H$2:$H$201,MATCH($C153,Références!$A$2:$A$201,0)))</f>
        <v>Important</v>
      </c>
      <c r="G153" s="64">
        <f>IF($C153="","",INDEX(Références!$G$2:$G$201,MATCH($C153,Références!$A$2:$A$201,0)))</f>
        <v>5</v>
      </c>
      <c r="H153" s="38" t="str">
        <f>IF($C153="","",INDEX(Références!$J$2:$J$201,MATCH($C153,Références!$A$2:$A$201,0)))</f>
        <v>À lire</v>
      </c>
      <c r="I153" s="38" t="str">
        <f ca="1">IF($C153="","",INDEX(Références!$K$2:$K$201,MATCH($C153,Références!$A$2:$A$201,0)))</f>
        <v>À venir</v>
      </c>
      <c r="J153" s="64">
        <f>IF($C153="","",INDEX(Références!$AT$2:$AT$201,MATCH($C153,Références!$A$2:$A$201,0)))</f>
        <v>3</v>
      </c>
      <c r="K153" s="65" t="str">
        <f>IF($C153="","",HYPERLINK(INDEX(Références!$AF$2:$AF$201,MATCH($C153,Références!$A$2:$A$201,0)),"Ouvrir"))</f>
        <v>Ouvrir</v>
      </c>
      <c r="L153" s="65" t="str">
        <f>IF($C153="","",IF(INDEX(Références!$BB$2:$BB$201,MATCH($C153,Références!$A$2:$A$201,0))="","",HYPERLINK(DossierPDF&amp;INDEX(Références!$BB$2:$BB$201,MATCH($C153,Références!$A$2:$A$201,0)),"PDF")))</f>
        <v/>
      </c>
    </row>
    <row r="154" spans="2:12" ht="30" customHeight="1" x14ac:dyDescent="0.25">
      <c r="B154" s="64">
        <v>11</v>
      </c>
      <c r="C154" s="38" t="str">
        <f>IFERROR(INDEX(Références!$A$2:$A$201,MATCH("5-11",Références!$AY$2:$AY$201,0)),"")</f>
        <v>BIB-095</v>
      </c>
      <c r="D154" s="3" t="str">
        <f>IF($C154="","",INDEX(Références!$C$2:$C$201,MATCH($C154,Références!$A$2:$A$201,0)))</f>
        <v>Roussel et al. (2020)</v>
      </c>
      <c r="E154" s="3" t="str">
        <f>IF($C154="","",INDEX(Références!$D$2:$D$201,MATCH($C154,Références!$A$2:$A$201,0)))</f>
        <v>Simulation of heavy weight deflectometer test: spectral element method vs finite element method</v>
      </c>
      <c r="F154" s="38" t="str">
        <f>IF($C154="","",INDEX(Références!$H$2:$H$201,MATCH($C154,Références!$A$2:$A$201,0)))</f>
        <v>Important</v>
      </c>
      <c r="G154" s="64">
        <f>IF($C154="","",INDEX(Références!$G$2:$G$201,MATCH($C154,Références!$A$2:$A$201,0)))</f>
        <v>5</v>
      </c>
      <c r="H154" s="38" t="str">
        <f>IF($C154="","",INDEX(Références!$J$2:$J$201,MATCH($C154,Références!$A$2:$A$201,0)))</f>
        <v>À lire</v>
      </c>
      <c r="I154" s="38" t="str">
        <f ca="1">IF($C154="","",INDEX(Références!$K$2:$K$201,MATCH($C154,Références!$A$2:$A$201,0)))</f>
        <v>À venir</v>
      </c>
      <c r="J154" s="64">
        <f>IF($C154="","",INDEX(Références!$AT$2:$AT$201,MATCH($C154,Références!$A$2:$A$201,0)))</f>
        <v>3</v>
      </c>
      <c r="K154" s="65" t="str">
        <f>IF($C154="","",HYPERLINK(INDEX(Références!$AF$2:$AF$201,MATCH($C154,Références!$A$2:$A$201,0)),"Ouvrir"))</f>
        <v>Ouvrir</v>
      </c>
      <c r="L154" s="65" t="str">
        <f>IF($C154="","",IF(INDEX(Références!$BB$2:$BB$201,MATCH($C154,Références!$A$2:$A$201,0))="","",HYPERLINK(DossierPDF&amp;INDEX(Références!$BB$2:$BB$201,MATCH($C154,Références!$A$2:$A$201,0)),"PDF")))</f>
        <v/>
      </c>
    </row>
    <row r="155" spans="2:12" ht="30" customHeight="1" x14ac:dyDescent="0.25">
      <c r="B155" s="64">
        <v>12</v>
      </c>
      <c r="C155" s="38" t="str">
        <f>IFERROR(INDEX(Références!$A$2:$A$201,MATCH("5-12",Références!$AY$2:$AY$201,0)),"")</f>
        <v>BIB-096</v>
      </c>
      <c r="D155" s="3" t="str">
        <f>IF($C155="","",INDEX(Références!$C$2:$C$201,MATCH($C155,Références!$A$2:$A$201,0)))</f>
        <v>Siddharthan et al. (1998)</v>
      </c>
      <c r="E155" s="3" t="str">
        <f>IF($C155="","",INDEX(Références!$D$2:$D$201,MATCH($C155,Références!$A$2:$A$201,0)))</f>
        <v>Pavement strain from moving dynamic 3D load distribution</v>
      </c>
      <c r="F155" s="38" t="str">
        <f>IF($C155="","",INDEX(Références!$H$2:$H$201,MATCH($C155,Références!$A$2:$A$201,0)))</f>
        <v>Important</v>
      </c>
      <c r="G155" s="64">
        <f>IF($C155="","",INDEX(Références!$G$2:$G$201,MATCH($C155,Références!$A$2:$A$201,0)))</f>
        <v>5</v>
      </c>
      <c r="H155" s="38" t="str">
        <f>IF($C155="","",INDEX(Références!$J$2:$J$201,MATCH($C155,Références!$A$2:$A$201,0)))</f>
        <v>À lire</v>
      </c>
      <c r="I155" s="38" t="str">
        <f ca="1">IF($C155="","",INDEX(Références!$K$2:$K$201,MATCH($C155,Références!$A$2:$A$201,0)))</f>
        <v>À venir</v>
      </c>
      <c r="J155" s="64">
        <f>IF($C155="","",INDEX(Références!$AT$2:$AT$201,MATCH($C155,Références!$A$2:$A$201,0)))</f>
        <v>3</v>
      </c>
      <c r="K155" s="65" t="str">
        <f>IF($C155="","",HYPERLINK(INDEX(Références!$AF$2:$AF$201,MATCH($C155,Références!$A$2:$A$201,0)),"Ouvrir"))</f>
        <v>Ouvrir</v>
      </c>
      <c r="L155" s="65" t="str">
        <f>IF($C155="","",IF(INDEX(Références!$BB$2:$BB$201,MATCH($C155,Références!$A$2:$A$201,0))="","",HYPERLINK(DossierPDF&amp;INDEX(Références!$BB$2:$BB$201,MATCH($C155,Références!$A$2:$A$201,0)),"PDF")))</f>
        <v/>
      </c>
    </row>
    <row r="156" spans="2:12" ht="30" customHeight="1" x14ac:dyDescent="0.25">
      <c r="B156" s="64">
        <v>13</v>
      </c>
      <c r="C156" s="38" t="str">
        <f>IFERROR(INDEX(Références!$A$2:$A$201,MATCH("5-13",Références!$AY$2:$AY$201,0)),"")</f>
        <v>BIB-097</v>
      </c>
      <c r="D156" s="3" t="str">
        <f>IF($C156="","",INDEX(Références!$C$2:$C$201,MATCH($C156,Références!$A$2:$A$201,0)))</f>
        <v>Siddharthan et al. (2002)</v>
      </c>
      <c r="E156" s="3" t="str">
        <f>IF($C156="","",INDEX(Références!$D$2:$D$201,MATCH($C156,Références!$A$2:$A$201,0)))</f>
        <v>Investigation of tire contact stress distributions on pavement response</v>
      </c>
      <c r="F156" s="38" t="str">
        <f>IF($C156="","",INDEX(Références!$H$2:$H$201,MATCH($C156,Références!$A$2:$A$201,0)))</f>
        <v>Important</v>
      </c>
      <c r="G156" s="64">
        <f>IF($C156="","",INDEX(Références!$G$2:$G$201,MATCH($C156,Références!$A$2:$A$201,0)))</f>
        <v>5</v>
      </c>
      <c r="H156" s="38" t="str">
        <f>IF($C156="","",INDEX(Références!$J$2:$J$201,MATCH($C156,Références!$A$2:$A$201,0)))</f>
        <v>À lire</v>
      </c>
      <c r="I156" s="38" t="str">
        <f ca="1">IF($C156="","",INDEX(Références!$K$2:$K$201,MATCH($C156,Références!$A$2:$A$201,0)))</f>
        <v>À venir</v>
      </c>
      <c r="J156" s="64">
        <f>IF($C156="","",INDEX(Références!$AT$2:$AT$201,MATCH($C156,Références!$A$2:$A$201,0)))</f>
        <v>3</v>
      </c>
      <c r="K156" s="65" t="str">
        <f>IF($C156="","",HYPERLINK(INDEX(Références!$AF$2:$AF$201,MATCH($C156,Références!$A$2:$A$201,0)),"Ouvrir"))</f>
        <v>Ouvrir</v>
      </c>
      <c r="L156" s="65" t="str">
        <f>IF($C156="","",IF(INDEX(Références!$BB$2:$BB$201,MATCH($C156,Références!$A$2:$A$201,0))="","",HYPERLINK(DossierPDF&amp;INDEX(Références!$BB$2:$BB$201,MATCH($C156,Références!$A$2:$A$201,0)),"PDF")))</f>
        <v/>
      </c>
    </row>
    <row r="157" spans="2:12" ht="30" customHeight="1" x14ac:dyDescent="0.25">
      <c r="B157" s="64">
        <v>14</v>
      </c>
      <c r="C157" s="38" t="str">
        <f>IFERROR(INDEX(Références!$A$2:$A$201,MATCH("5-14",Références!$AY$2:$AY$201,0)),"")</f>
        <v>BIB-098</v>
      </c>
      <c r="D157" s="3" t="str">
        <f>IF($C157="","",INDEX(Références!$C$2:$C$201,MATCH($C157,Références!$A$2:$A$201,0)))</f>
        <v>Chupin et al. (2010)</v>
      </c>
      <c r="E157" s="3" t="str">
        <f>IF($C157="","",INDEX(Références!$D$2:$D$201,MATCH($C157,Références!$A$2:$A$201,0)))</f>
        <v>Influence of sliding interfaces on the response of a layered viscoelastic medium under a moving load</v>
      </c>
      <c r="F157" s="38" t="str">
        <f>IF($C157="","",INDEX(Références!$H$2:$H$201,MATCH($C157,Références!$A$2:$A$201,0)))</f>
        <v>A consulter</v>
      </c>
      <c r="G157" s="64">
        <f>IF($C157="","",INDEX(Références!$G$2:$G$201,MATCH($C157,Références!$A$2:$A$201,0)))</f>
        <v>5</v>
      </c>
      <c r="H157" s="38" t="str">
        <f>IF($C157="","",INDEX(Références!$J$2:$J$201,MATCH($C157,Références!$A$2:$A$201,0)))</f>
        <v>À lire</v>
      </c>
      <c r="I157" s="38" t="str">
        <f ca="1">IF($C157="","",INDEX(Références!$K$2:$K$201,MATCH($C157,Références!$A$2:$A$201,0)))</f>
        <v>À venir</v>
      </c>
      <c r="J157" s="64">
        <f>IF($C157="","",INDEX(Références!$AT$2:$AT$201,MATCH($C157,Références!$A$2:$A$201,0)))</f>
        <v>1</v>
      </c>
      <c r="K157" s="65" t="str">
        <f>IF($C157="","",HYPERLINK(INDEX(Références!$AF$2:$AF$201,MATCH($C157,Références!$A$2:$A$201,0)),"Ouvrir"))</f>
        <v>Ouvrir</v>
      </c>
      <c r="L157" s="65" t="str">
        <f>IF($C157="","",IF(INDEX(Références!$BB$2:$BB$201,MATCH($C157,Références!$A$2:$A$201,0))="","",HYPERLINK(DossierPDF&amp;INDEX(Références!$BB$2:$BB$201,MATCH($C157,Références!$A$2:$A$201,0)),"PDF")))</f>
        <v/>
      </c>
    </row>
    <row r="158" spans="2:12" ht="30" customHeight="1" x14ac:dyDescent="0.25">
      <c r="B158" s="64">
        <v>15</v>
      </c>
      <c r="C158" s="38" t="str">
        <f>IFERROR(INDEX(Références!$A$2:$A$201,MATCH("5-15",Références!$AY$2:$AY$201,0)),"")</f>
        <v>BIB-099</v>
      </c>
      <c r="D158" s="3" t="str">
        <f>IF($C158="","",INDEX(Références!$C$2:$C$201,MATCH($C158,Références!$A$2:$A$201,0)))</f>
        <v>Duhamel et al. (2005)</v>
      </c>
      <c r="E158" s="3" t="str">
        <f>IF($C158="","",INDEX(Références!$D$2:$D$201,MATCH($C158,Références!$A$2:$A$201,0)))</f>
        <v>ViscoRoute : modélisation des chaussées bitumineuses</v>
      </c>
      <c r="F158" s="38" t="str">
        <f>IF($C158="","",INDEX(Références!$H$2:$H$201,MATCH($C158,Références!$A$2:$A$201,0)))</f>
        <v>A consulter</v>
      </c>
      <c r="G158" s="64">
        <f>IF($C158="","",INDEX(Références!$G$2:$G$201,MATCH($C158,Références!$A$2:$A$201,0)))</f>
        <v>5</v>
      </c>
      <c r="H158" s="38" t="str">
        <f>IF($C158="","",INDEX(Références!$J$2:$J$201,MATCH($C158,Références!$A$2:$A$201,0)))</f>
        <v>À lire</v>
      </c>
      <c r="I158" s="38" t="str">
        <f ca="1">IF($C158="","",INDEX(Références!$K$2:$K$201,MATCH($C158,Références!$A$2:$A$201,0)))</f>
        <v>À venir</v>
      </c>
      <c r="J158" s="64">
        <f>IF($C158="","",INDEX(Références!$AT$2:$AT$201,MATCH($C158,Références!$A$2:$A$201,0)))</f>
        <v>1</v>
      </c>
      <c r="K158" s="65" t="str">
        <f>IF($C158="","",HYPERLINK(INDEX(Références!$AF$2:$AF$201,MATCH($C158,Références!$A$2:$A$201,0)),"Ouvrir"))</f>
        <v>Ouvrir</v>
      </c>
      <c r="L158" s="65" t="str">
        <f>IF($C158="","",IF(INDEX(Références!$BB$2:$BB$201,MATCH($C158,Références!$A$2:$A$201,0))="","",HYPERLINK(DossierPDF&amp;INDEX(Références!$BB$2:$BB$201,MATCH($C158,Références!$A$2:$A$201,0)),"PDF")))</f>
        <v/>
      </c>
    </row>
    <row r="159" spans="2:12" ht="30" customHeight="1" x14ac:dyDescent="0.25">
      <c r="B159" s="64">
        <v>16</v>
      </c>
      <c r="C159" s="38" t="str">
        <f>IFERROR(INDEX(Références!$A$2:$A$201,MATCH("5-16",Références!$AY$2:$AY$201,0)),"")</f>
        <v>BIB-100</v>
      </c>
      <c r="D159" s="3" t="str">
        <f>IF($C159="","",INDEX(Références!$C$2:$C$201,MATCH($C159,Références!$A$2:$A$201,0)))</f>
        <v>Grenier et al. (2009)</v>
      </c>
      <c r="E159" s="3" t="str">
        <f>IF($C159="","",INDEX(Références!$D$2:$D$201,MATCH($C159,Références!$A$2:$A$201,0)))</f>
        <v>Dynamic simulation of falling weight deflectometer tests on flexible pavements using the spectral element method: forward calculations</v>
      </c>
      <c r="F159" s="38" t="str">
        <f>IF($C159="","",INDEX(Références!$H$2:$H$201,MATCH($C159,Références!$A$2:$A$201,0)))</f>
        <v>A consulter</v>
      </c>
      <c r="G159" s="64">
        <f>IF($C159="","",INDEX(Références!$G$2:$G$201,MATCH($C159,Références!$A$2:$A$201,0)))</f>
        <v>5</v>
      </c>
      <c r="H159" s="38" t="str">
        <f>IF($C159="","",INDEX(Références!$J$2:$J$201,MATCH($C159,Références!$A$2:$A$201,0)))</f>
        <v>À lire</v>
      </c>
      <c r="I159" s="38" t="str">
        <f ca="1">IF($C159="","",INDEX(Références!$K$2:$K$201,MATCH($C159,Références!$A$2:$A$201,0)))</f>
        <v>À venir</v>
      </c>
      <c r="J159" s="64">
        <f>IF($C159="","",INDEX(Références!$AT$2:$AT$201,MATCH($C159,Références!$A$2:$A$201,0)))</f>
        <v>1</v>
      </c>
      <c r="K159" s="65" t="str">
        <f>IF($C159="","",HYPERLINK(INDEX(Références!$AF$2:$AF$201,MATCH($C159,Références!$A$2:$A$201,0)),"Ouvrir"))</f>
        <v>Ouvrir</v>
      </c>
      <c r="L159" s="65" t="str">
        <f>IF($C159="","",IF(INDEX(Références!$BB$2:$BB$201,MATCH($C159,Références!$A$2:$A$201,0))="","",HYPERLINK(DossierPDF&amp;INDEX(Références!$BB$2:$BB$201,MATCH($C159,Références!$A$2:$A$201,0)),"PDF")))</f>
        <v/>
      </c>
    </row>
    <row r="160" spans="2:12" ht="30" customHeight="1" x14ac:dyDescent="0.25">
      <c r="B160" s="64">
        <v>17</v>
      </c>
      <c r="C160" s="38" t="str">
        <f>IFERROR(INDEX(Références!$A$2:$A$201,MATCH("5-17",Références!$AY$2:$AY$201,0)),"")</f>
        <v>BIB-101</v>
      </c>
      <c r="D160" s="3" t="str">
        <f>IF($C160="","",INDEX(Références!$C$2:$C$201,MATCH($C160,Références!$A$2:$A$201,0)))</f>
        <v>Maina &amp; Matsui (2004)</v>
      </c>
      <c r="E160" s="3" t="str">
        <f>IF($C160="","",INDEX(Références!$D$2:$D$201,MATCH($C160,Références!$A$2:$A$201,0)))</f>
        <v>Developing software for elastic analysis of pavement structure responses to vertical and horizontal surface loadings</v>
      </c>
      <c r="F160" s="38" t="str">
        <f>IF($C160="","",INDEX(Références!$H$2:$H$201,MATCH($C160,Références!$A$2:$A$201,0)))</f>
        <v>A consulter</v>
      </c>
      <c r="G160" s="64">
        <f>IF($C160="","",INDEX(Références!$G$2:$G$201,MATCH($C160,Références!$A$2:$A$201,0)))</f>
        <v>5</v>
      </c>
      <c r="H160" s="38" t="str">
        <f>IF($C160="","",INDEX(Références!$J$2:$J$201,MATCH($C160,Références!$A$2:$A$201,0)))</f>
        <v>À lire</v>
      </c>
      <c r="I160" s="38" t="str">
        <f ca="1">IF($C160="","",INDEX(Références!$K$2:$K$201,MATCH($C160,Références!$A$2:$A$201,0)))</f>
        <v>À venir</v>
      </c>
      <c r="J160" s="64">
        <f>IF($C160="","",INDEX(Références!$AT$2:$AT$201,MATCH($C160,Références!$A$2:$A$201,0)))</f>
        <v>1</v>
      </c>
      <c r="K160" s="65" t="str">
        <f>IF($C160="","",HYPERLINK(INDEX(Références!$AF$2:$AF$201,MATCH($C160,Références!$A$2:$A$201,0)),"Ouvrir"))</f>
        <v>Ouvrir</v>
      </c>
      <c r="L160" s="65" t="str">
        <f>IF($C160="","",IF(INDEX(Références!$BB$2:$BB$201,MATCH($C160,Références!$A$2:$A$201,0))="","",HYPERLINK(DossierPDF&amp;INDEX(Références!$BB$2:$BB$201,MATCH($C160,Références!$A$2:$A$201,0)),"PDF")))</f>
        <v/>
      </c>
    </row>
    <row r="161" spans="2:12" ht="30" customHeight="1" x14ac:dyDescent="0.25">
      <c r="B161" s="64">
        <v>18</v>
      </c>
      <c r="C161" s="38" t="str">
        <f>IFERROR(INDEX(Références!$A$2:$A$201,MATCH("5-18",Références!$AY$2:$AY$201,0)),"")</f>
        <v>BIB-123</v>
      </c>
      <c r="D161" s="3" t="str">
        <f>IF($C161="","",INDEX(Références!$C$2:$C$201,MATCH($C161,Références!$A$2:$A$201,0)))</f>
        <v>Kausel &amp; Roësset (1981)</v>
      </c>
      <c r="E161" s="3" t="str">
        <f>IF($C161="","",INDEX(Références!$D$2:$D$201,MATCH($C161,Références!$A$2:$A$201,0)))</f>
        <v>Stiffness matrices for layered soils</v>
      </c>
      <c r="F161" s="38" t="str">
        <f>IF($C161="","",INDEX(Références!$H$2:$H$201,MATCH($C161,Références!$A$2:$A$201,0)))</f>
        <v>INCONTOURNABLE</v>
      </c>
      <c r="G161" s="64">
        <f>IF($C161="","",INDEX(Références!$G$2:$G$201,MATCH($C161,Références!$A$2:$A$201,0)))</f>
        <v>5</v>
      </c>
      <c r="H161" s="38" t="str">
        <f>IF($C161="","",INDEX(Références!$J$2:$J$201,MATCH($C161,Références!$A$2:$A$201,0)))</f>
        <v>À lire</v>
      </c>
      <c r="I161" s="38" t="str">
        <f ca="1">IF($C161="","",INDEX(Références!$K$2:$K$201,MATCH($C161,Références!$A$2:$A$201,0)))</f>
        <v>À venir</v>
      </c>
      <c r="J161" s="64">
        <f>IF($C161="","",INDEX(Références!$AT$2:$AT$201,MATCH($C161,Références!$A$2:$A$201,0)))</f>
        <v>6</v>
      </c>
      <c r="K161" s="65" t="str">
        <f>IF($C161="","",HYPERLINK(INDEX(Références!$AF$2:$AF$201,MATCH($C161,Références!$A$2:$A$201,0)),"Ouvrir"))</f>
        <v>Ouvrir</v>
      </c>
      <c r="L161" s="65" t="str">
        <f>IF($C161="","",IF(INDEX(Références!$BB$2:$BB$201,MATCH($C161,Références!$A$2:$A$201,0))="","",HYPERLINK(DossierPDF&amp;INDEX(Références!$BB$2:$BB$201,MATCH($C161,Références!$A$2:$A$201,0)),"PDF")))</f>
        <v/>
      </c>
    </row>
    <row r="162" spans="2:12" ht="30" customHeight="1" x14ac:dyDescent="0.25">
      <c r="B162" s="64">
        <v>19</v>
      </c>
      <c r="C162" s="38" t="str">
        <f>IFERROR(INDEX(Références!$A$2:$A$201,MATCH("5-19",Références!$AY$2:$AY$201,0)),"")</f>
        <v>BIB-125</v>
      </c>
      <c r="D162" s="3" t="str">
        <f>IF($C162="","",INDEX(Références!$C$2:$C$201,MATCH($C162,Références!$A$2:$A$201,0)))</f>
        <v>Thomson (1950)</v>
      </c>
      <c r="E162" s="3" t="str">
        <f>IF($C162="","",INDEX(Références!$D$2:$D$201,MATCH($C162,Références!$A$2:$A$201,0)))</f>
        <v>Transmission of elastic waves through a stratified solid medium</v>
      </c>
      <c r="F162" s="38" t="str">
        <f>IF($C162="","",INDEX(Références!$H$2:$H$201,MATCH($C162,Références!$A$2:$A$201,0)))</f>
        <v>A consulter</v>
      </c>
      <c r="G162" s="64">
        <f>IF($C162="","",INDEX(Références!$G$2:$G$201,MATCH($C162,Références!$A$2:$A$201,0)))</f>
        <v>5</v>
      </c>
      <c r="H162" s="38" t="str">
        <f>IF($C162="","",INDEX(Références!$J$2:$J$201,MATCH($C162,Références!$A$2:$A$201,0)))</f>
        <v>À lire</v>
      </c>
      <c r="I162" s="38" t="str">
        <f ca="1">IF($C162="","",INDEX(Références!$K$2:$K$201,MATCH($C162,Références!$A$2:$A$201,0)))</f>
        <v>À venir</v>
      </c>
      <c r="J162" s="64">
        <f>IF($C162="","",INDEX(Références!$AT$2:$AT$201,MATCH($C162,Références!$A$2:$A$201,0)))</f>
        <v>1</v>
      </c>
      <c r="K162" s="65" t="str">
        <f>IF($C162="","",HYPERLINK(INDEX(Références!$AF$2:$AF$201,MATCH($C162,Références!$A$2:$A$201,0)),"Ouvrir"))</f>
        <v>Ouvrir</v>
      </c>
      <c r="L162" s="65" t="str">
        <f>IF($C162="","",IF(INDEX(Références!$BB$2:$BB$201,MATCH($C162,Références!$A$2:$A$201,0))="","",HYPERLINK(DossierPDF&amp;INDEX(Références!$BB$2:$BB$201,MATCH($C162,Références!$A$2:$A$201,0)),"PDF")))</f>
        <v/>
      </c>
    </row>
    <row r="163" spans="2:12" ht="30" customHeight="1" x14ac:dyDescent="0.25">
      <c r="B163" s="64">
        <v>20</v>
      </c>
      <c r="C163" s="38" t="str">
        <f>IFERROR(INDEX(Références!$A$2:$A$201,MATCH("5-20",Références!$AY$2:$AY$201,0)),"")</f>
        <v>BIB-126</v>
      </c>
      <c r="D163" s="3" t="str">
        <f>IF($C163="","",INDEX(Références!$C$2:$C$201,MATCH($C163,Références!$A$2:$A$201,0)))</f>
        <v>Haskell (1953)</v>
      </c>
      <c r="E163" s="3" t="str">
        <f>IF($C163="","",INDEX(Références!$D$2:$D$201,MATCH($C163,Références!$A$2:$A$201,0)))</f>
        <v>The dispersion of surface waves on multilayered media</v>
      </c>
      <c r="F163" s="38" t="str">
        <f>IF($C163="","",INDEX(Références!$H$2:$H$201,MATCH($C163,Références!$A$2:$A$201,0)))</f>
        <v>A consulter</v>
      </c>
      <c r="G163" s="64">
        <f>IF($C163="","",INDEX(Références!$G$2:$G$201,MATCH($C163,Références!$A$2:$A$201,0)))</f>
        <v>5</v>
      </c>
      <c r="H163" s="38" t="str">
        <f>IF($C163="","",INDEX(Références!$J$2:$J$201,MATCH($C163,Références!$A$2:$A$201,0)))</f>
        <v>À lire</v>
      </c>
      <c r="I163" s="38" t="str">
        <f ca="1">IF($C163="","",INDEX(Références!$K$2:$K$201,MATCH($C163,Références!$A$2:$A$201,0)))</f>
        <v>À venir</v>
      </c>
      <c r="J163" s="64">
        <f>IF($C163="","",INDEX(Références!$AT$2:$AT$201,MATCH($C163,Références!$A$2:$A$201,0)))</f>
        <v>1</v>
      </c>
      <c r="K163" s="65" t="str">
        <f>IF($C163="","",HYPERLINK(INDEX(Références!$AF$2:$AF$201,MATCH($C163,Références!$A$2:$A$201,0)),"Ouvrir"))</f>
        <v>Ouvrir</v>
      </c>
      <c r="L163" s="65" t="str">
        <f>IF($C163="","",IF(INDEX(Références!$BB$2:$BB$201,MATCH($C163,Références!$A$2:$A$201,0))="","",HYPERLINK(DossierPDF&amp;INDEX(Références!$BB$2:$BB$201,MATCH($C163,Références!$A$2:$A$201,0)),"PDF")))</f>
        <v/>
      </c>
    </row>
    <row r="164" spans="2:12" ht="30" customHeight="1" x14ac:dyDescent="0.25">
      <c r="B164" s="64">
        <v>21</v>
      </c>
      <c r="C164" s="38" t="str">
        <f>IFERROR(INDEX(Références!$A$2:$A$201,MATCH("5-21",Références!$AY$2:$AY$201,0)),"")</f>
        <v>BIB-127</v>
      </c>
      <c r="D164" s="3" t="str">
        <f>IF($C164="","",INDEX(Références!$C$2:$C$201,MATCH($C164,Références!$A$2:$A$201,0)))</f>
        <v>Kausel &amp; Peek (1982)</v>
      </c>
      <c r="E164" s="3" t="str">
        <f>IF($C164="","",INDEX(Références!$D$2:$D$201,MATCH($C164,Références!$A$2:$A$201,0)))</f>
        <v>Dynamic loads in the interior of a layered stratum: an explicit solution</v>
      </c>
      <c r="F164" s="38" t="str">
        <f>IF($C164="","",INDEX(Références!$H$2:$H$201,MATCH($C164,Références!$A$2:$A$201,0)))</f>
        <v>A consulter</v>
      </c>
      <c r="G164" s="64">
        <f>IF($C164="","",INDEX(Références!$G$2:$G$201,MATCH($C164,Références!$A$2:$A$201,0)))</f>
        <v>5</v>
      </c>
      <c r="H164" s="38" t="str">
        <f>IF($C164="","",INDEX(Références!$J$2:$J$201,MATCH($C164,Références!$A$2:$A$201,0)))</f>
        <v>À lire</v>
      </c>
      <c r="I164" s="38" t="str">
        <f ca="1">IF($C164="","",INDEX(Références!$K$2:$K$201,MATCH($C164,Références!$A$2:$A$201,0)))</f>
        <v>À venir</v>
      </c>
      <c r="J164" s="64">
        <f>IF($C164="","",INDEX(Références!$AT$2:$AT$201,MATCH($C164,Références!$A$2:$A$201,0)))</f>
        <v>1</v>
      </c>
      <c r="K164" s="65" t="str">
        <f>IF($C164="","",HYPERLINK(INDEX(Références!$AF$2:$AF$201,MATCH($C164,Références!$A$2:$A$201,0)),"Ouvrir"))</f>
        <v>Ouvrir</v>
      </c>
      <c r="L164" s="65" t="str">
        <f>IF($C164="","",IF(INDEX(Références!$BB$2:$BB$201,MATCH($C164,Références!$A$2:$A$201,0))="","",HYPERLINK(DossierPDF&amp;INDEX(Références!$BB$2:$BB$201,MATCH($C164,Références!$A$2:$A$201,0)),"PDF")))</f>
        <v/>
      </c>
    </row>
    <row r="165" spans="2:12" ht="30" customHeight="1" x14ac:dyDescent="0.25">
      <c r="B165" s="64">
        <v>22</v>
      </c>
      <c r="C165" s="38" t="str">
        <f>IFERROR(INDEX(Références!$A$2:$A$201,MATCH("5-22",Références!$AY$2:$AY$201,0)),"")</f>
        <v>BIB-128</v>
      </c>
      <c r="D165" s="3" t="str">
        <f>IF($C165="","",INDEX(Références!$C$2:$C$201,MATCH($C165,Références!$A$2:$A$201,0)))</f>
        <v>Kausel (2006)</v>
      </c>
      <c r="E165" s="3" t="str">
        <f>IF($C165="","",INDEX(Références!$D$2:$D$201,MATCH($C165,Références!$A$2:$A$201,0)))</f>
        <v>Fundamental solutions in elastodynamics: a compendium</v>
      </c>
      <c r="F165" s="38" t="str">
        <f>IF($C165="","",INDEX(Références!$H$2:$H$201,MATCH($C165,Références!$A$2:$A$201,0)))</f>
        <v>A consulter</v>
      </c>
      <c r="G165" s="64">
        <f>IF($C165="","",INDEX(Références!$G$2:$G$201,MATCH($C165,Références!$A$2:$A$201,0)))</f>
        <v>5</v>
      </c>
      <c r="H165" s="38" t="str">
        <f>IF($C165="","",INDEX(Références!$J$2:$J$201,MATCH($C165,Références!$A$2:$A$201,0)))</f>
        <v>À lire</v>
      </c>
      <c r="I165" s="38" t="str">
        <f ca="1">IF($C165="","",INDEX(Références!$K$2:$K$201,MATCH($C165,Références!$A$2:$A$201,0)))</f>
        <v>À venir</v>
      </c>
      <c r="J165" s="64">
        <f>IF($C165="","",INDEX(Références!$AT$2:$AT$201,MATCH($C165,Références!$A$2:$A$201,0)))</f>
        <v>1</v>
      </c>
      <c r="K165" s="65" t="str">
        <f>IF($C165="","",HYPERLINK(INDEX(Références!$AF$2:$AF$201,MATCH($C165,Références!$A$2:$A$201,0)),"Ouvrir"))</f>
        <v>Ouvrir</v>
      </c>
      <c r="L165" s="65" t="str">
        <f>IF($C165="","",IF(INDEX(Références!$BB$2:$BB$201,MATCH($C165,Références!$A$2:$A$201,0))="","",HYPERLINK(DossierPDF&amp;INDEX(Références!$BB$2:$BB$201,MATCH($C165,Références!$A$2:$A$201,0)),"PDF")))</f>
        <v/>
      </c>
    </row>
    <row r="166" spans="2:12" ht="30" customHeight="1" x14ac:dyDescent="0.25">
      <c r="B166" s="64">
        <v>23</v>
      </c>
      <c r="C166" s="38" t="str">
        <f>IFERROR(INDEX(Références!$A$2:$A$201,MATCH("5-23",Références!$AY$2:$AY$201,0)),"")</f>
        <v>BIB-131</v>
      </c>
      <c r="D166" s="3" t="str">
        <f>IF($C166="","",INDEX(Références!$C$2:$C$201,MATCH($C166,Références!$A$2:$A$201,0)))</f>
        <v>Nakhaei (2023)</v>
      </c>
      <c r="E166" s="3" t="str">
        <f>IF($C166="","",INDEX(Références!$D$2:$D$201,MATCH($C166,Références!$A$2:$A$201,0)))</f>
        <v>PyMastic — Python multilayer elastic pavement analysis (code source)</v>
      </c>
      <c r="F166" s="38" t="str">
        <f>IF($C166="","",INDEX(Références!$H$2:$H$201,MATCH($C166,Références!$A$2:$A$201,0)))</f>
        <v>Important</v>
      </c>
      <c r="G166" s="64">
        <f>IF($C166="","",INDEX(Références!$G$2:$G$201,MATCH($C166,Références!$A$2:$A$201,0)))</f>
        <v>5</v>
      </c>
      <c r="H166" s="38" t="str">
        <f>IF($C166="","",INDEX(Références!$J$2:$J$201,MATCH($C166,Références!$A$2:$A$201,0)))</f>
        <v>À lire</v>
      </c>
      <c r="I166" s="38" t="str">
        <f ca="1">IF($C166="","",INDEX(Références!$K$2:$K$201,MATCH($C166,Références!$A$2:$A$201,0)))</f>
        <v>À venir</v>
      </c>
      <c r="J166" s="64">
        <f>IF($C166="","",INDEX(Références!$AT$2:$AT$201,MATCH($C166,Références!$A$2:$A$201,0)))</f>
        <v>3</v>
      </c>
      <c r="K166" s="65" t="str">
        <f>IF($C166="","",HYPERLINK(INDEX(Références!$AF$2:$AF$201,MATCH($C166,Références!$A$2:$A$201,0)),"Ouvrir"))</f>
        <v>Ouvrir</v>
      </c>
      <c r="L166" s="65" t="str">
        <f>IF($C166="","",IF(INDEX(Références!$BB$2:$BB$201,MATCH($C166,Références!$A$2:$A$201,0))="","",HYPERLINK(DossierPDF&amp;INDEX(Références!$BB$2:$BB$201,MATCH($C166,Références!$A$2:$A$201,0)),"PDF")))</f>
        <v/>
      </c>
    </row>
    <row r="167" spans="2:12" ht="30" customHeight="1" x14ac:dyDescent="0.25">
      <c r="B167" s="64">
        <v>24</v>
      </c>
      <c r="C167" s="38" t="str">
        <f>IFERROR(INDEX(Références!$A$2:$A$201,MATCH("5-24",Références!$AY$2:$AY$201,0)),"")</f>
        <v>BIB-132</v>
      </c>
      <c r="D167" s="3" t="str">
        <f>IF($C167="","",INDEX(Références!$C$2:$C$201,MATCH($C167,Références!$A$2:$A$201,0)))</f>
        <v>Muki (1956)</v>
      </c>
      <c r="E167" s="3" t="str">
        <f>IF($C167="","",INDEX(Références!$D$2:$D$201,MATCH($C167,Références!$A$2:$A$201,0)))</f>
        <v>Three dimensional problem of elasticity for a semi-infinite solid with a tangential load on its surface</v>
      </c>
      <c r="F167" s="38" t="str">
        <f>IF($C167="","",INDEX(Références!$H$2:$H$201,MATCH($C167,Références!$A$2:$A$201,0)))</f>
        <v>A consulter</v>
      </c>
      <c r="G167" s="64">
        <f>IF($C167="","",INDEX(Références!$G$2:$G$201,MATCH($C167,Références!$A$2:$A$201,0)))</f>
        <v>5</v>
      </c>
      <c r="H167" s="38" t="str">
        <f>IF($C167="","",INDEX(Références!$J$2:$J$201,MATCH($C167,Références!$A$2:$A$201,0)))</f>
        <v>À lire</v>
      </c>
      <c r="I167" s="38" t="str">
        <f ca="1">IF($C167="","",INDEX(Références!$K$2:$K$201,MATCH($C167,Références!$A$2:$A$201,0)))</f>
        <v>À venir</v>
      </c>
      <c r="J167" s="64">
        <f>IF($C167="","",INDEX(Références!$AT$2:$AT$201,MATCH($C167,Références!$A$2:$A$201,0)))</f>
        <v>1</v>
      </c>
      <c r="K167" s="65" t="str">
        <f>IF($C167="","",HYPERLINK(INDEX(Références!$AF$2:$AF$201,MATCH($C167,Références!$A$2:$A$201,0)),"Ouvrir"))</f>
        <v>Ouvrir</v>
      </c>
      <c r="L167" s="65" t="str">
        <f>IF($C167="","",IF(INDEX(Références!$BB$2:$BB$201,MATCH($C167,Références!$A$2:$A$201,0))="","",HYPERLINK(DossierPDF&amp;INDEX(Références!$BB$2:$BB$201,MATCH($C167,Références!$A$2:$A$201,0)),"PDF")))</f>
        <v/>
      </c>
    </row>
    <row r="168" spans="2:12" ht="30" customHeight="1" x14ac:dyDescent="0.25">
      <c r="B168" s="64">
        <v>25</v>
      </c>
      <c r="C168" s="38" t="str">
        <f>IFERROR(INDEX(Références!$A$2:$A$201,MATCH("5-25",Références!$AY$2:$AY$201,0)),"")</f>
        <v>BIB-133</v>
      </c>
      <c r="D168" s="3" t="str">
        <f>IF($C168="","",INDEX(Références!$C$2:$C$201,MATCH($C168,Références!$A$2:$A$201,0)))</f>
        <v>Khazanovich &amp; Wang (2007)</v>
      </c>
      <c r="E168" s="3" t="str">
        <f>IF($C168="","",INDEX(Références!$D$2:$D$201,MATCH($C168,Références!$A$2:$A$201,0)))</f>
        <v>MnLayer: high-performance layered elastic analysis program</v>
      </c>
      <c r="F168" s="38" t="str">
        <f>IF($C168="","",INDEX(Références!$H$2:$H$201,MATCH($C168,Références!$A$2:$A$201,0)))</f>
        <v>Important</v>
      </c>
      <c r="G168" s="64">
        <f>IF($C168="","",INDEX(Références!$G$2:$G$201,MATCH($C168,Références!$A$2:$A$201,0)))</f>
        <v>5</v>
      </c>
      <c r="H168" s="38" t="str">
        <f>IF($C168="","",INDEX(Références!$J$2:$J$201,MATCH($C168,Références!$A$2:$A$201,0)))</f>
        <v>À lire</v>
      </c>
      <c r="I168" s="38" t="str">
        <f ca="1">IF($C168="","",INDEX(Références!$K$2:$K$201,MATCH($C168,Références!$A$2:$A$201,0)))</f>
        <v>À venir</v>
      </c>
      <c r="J168" s="64">
        <f>IF($C168="","",INDEX(Références!$AT$2:$AT$201,MATCH($C168,Références!$A$2:$A$201,0)))</f>
        <v>3</v>
      </c>
      <c r="K168" s="65" t="str">
        <f>IF($C168="","",HYPERLINK(INDEX(Références!$AF$2:$AF$201,MATCH($C168,Références!$A$2:$A$201,0)),"Ouvrir"))</f>
        <v>Ouvrir</v>
      </c>
      <c r="L168" s="65" t="str">
        <f>IF($C168="","",IF(INDEX(Références!$BB$2:$BB$201,MATCH($C168,Références!$A$2:$A$201,0))="","",HYPERLINK(DossierPDF&amp;INDEX(Références!$BB$2:$BB$201,MATCH($C168,Références!$A$2:$A$201,0)),"PDF")))</f>
        <v/>
      </c>
    </row>
    <row r="169" spans="2:12" ht="30" customHeight="1" x14ac:dyDescent="0.25">
      <c r="B169" s="64">
        <v>26</v>
      </c>
      <c r="C169" s="38" t="str">
        <f>IFERROR(INDEX(Références!$A$2:$A$201,MATCH("5-26",Références!$AY$2:$AY$201,0)),"")</f>
        <v>BIB-137</v>
      </c>
      <c r="D169" s="3" t="str">
        <f>IF($C169="","",INDEX(Références!$C$2:$C$201,MATCH($C169,Références!$A$2:$A$201,0)))</f>
        <v>Bornert et al. (2001)</v>
      </c>
      <c r="E169" s="3" t="str">
        <f>IF($C169="","",INDEX(Références!$D$2:$D$201,MATCH($C169,Références!$A$2:$A$201,0)))</f>
        <v>Homogénéisation en mécanique des matériaux (2 volumes)</v>
      </c>
      <c r="F169" s="38" t="str">
        <f>IF($C169="","",INDEX(Références!$H$2:$H$201,MATCH($C169,Références!$A$2:$A$201,0)))</f>
        <v>Important</v>
      </c>
      <c r="G169" s="64">
        <f>IF($C169="","",INDEX(Références!$G$2:$G$201,MATCH($C169,Références!$A$2:$A$201,0)))</f>
        <v>5</v>
      </c>
      <c r="H169" s="38" t="str">
        <f>IF($C169="","",INDEX(Références!$J$2:$J$201,MATCH($C169,Références!$A$2:$A$201,0)))</f>
        <v>À lire</v>
      </c>
      <c r="I169" s="38" t="str">
        <f ca="1">IF($C169="","",INDEX(Références!$K$2:$K$201,MATCH($C169,Références!$A$2:$A$201,0)))</f>
        <v>À venir</v>
      </c>
      <c r="J169" s="64">
        <f>IF($C169="","",INDEX(Références!$AT$2:$AT$201,MATCH($C169,Références!$A$2:$A$201,0)))</f>
        <v>3</v>
      </c>
      <c r="K169" s="65" t="str">
        <f>IF($C169="","",HYPERLINK(INDEX(Références!$AF$2:$AF$201,MATCH($C169,Références!$A$2:$A$201,0)),"Ouvrir"))</f>
        <v>Ouvrir</v>
      </c>
      <c r="L169" s="65" t="str">
        <f>IF($C169="","",IF(INDEX(Références!$BB$2:$BB$201,MATCH($C169,Références!$A$2:$A$201,0))="","",HYPERLINK(DossierPDF&amp;INDEX(Références!$BB$2:$BB$201,MATCH($C169,Références!$A$2:$A$201,0)),"PDF")))</f>
        <v/>
      </c>
    </row>
    <row r="170" spans="2:12" ht="30" customHeight="1" x14ac:dyDescent="0.25">
      <c r="B170" s="64">
        <v>27</v>
      </c>
      <c r="C170" s="38" t="str">
        <f>IFERROR(INDEX(Références!$A$2:$A$201,MATCH("5-27",Références!$AY$2:$AY$201,0)),"")</f>
        <v>BIB-138</v>
      </c>
      <c r="D170" s="3" t="str">
        <f>IF($C170="","",INDEX(Références!$C$2:$C$201,MATCH($C170,Références!$A$2:$A$201,0)))</f>
        <v>Moulinec &amp; Suquet (1998)</v>
      </c>
      <c r="E170" s="3" t="str">
        <f>IF($C170="","",INDEX(Références!$D$2:$D$201,MATCH($C170,Références!$A$2:$A$201,0)))</f>
        <v>A numerical method for computing the overall response of nonlinear composites with complex microstructure</v>
      </c>
      <c r="F170" s="38" t="str">
        <f>IF($C170="","",INDEX(Références!$H$2:$H$201,MATCH($C170,Références!$A$2:$A$201,0)))</f>
        <v>A consulter</v>
      </c>
      <c r="G170" s="64">
        <f>IF($C170="","",INDEX(Références!$G$2:$G$201,MATCH($C170,Références!$A$2:$A$201,0)))</f>
        <v>5</v>
      </c>
      <c r="H170" s="38" t="str">
        <f>IF($C170="","",INDEX(Références!$J$2:$J$201,MATCH($C170,Références!$A$2:$A$201,0)))</f>
        <v>À lire</v>
      </c>
      <c r="I170" s="38" t="str">
        <f ca="1">IF($C170="","",INDEX(Références!$K$2:$K$201,MATCH($C170,Références!$A$2:$A$201,0)))</f>
        <v>À venir</v>
      </c>
      <c r="J170" s="64">
        <f>IF($C170="","",INDEX(Références!$AT$2:$AT$201,MATCH($C170,Références!$A$2:$A$201,0)))</f>
        <v>1</v>
      </c>
      <c r="K170" s="65" t="str">
        <f>IF($C170="","",HYPERLINK(INDEX(Références!$AF$2:$AF$201,MATCH($C170,Références!$A$2:$A$201,0)),"Ouvrir"))</f>
        <v>Ouvrir</v>
      </c>
      <c r="L170" s="65" t="str">
        <f>IF($C170="","",IF(INDEX(Références!$BB$2:$BB$201,MATCH($C170,Références!$A$2:$A$201,0))="","",HYPERLINK(DossierPDF&amp;INDEX(Références!$BB$2:$BB$201,MATCH($C170,Références!$A$2:$A$201,0)),"PDF")))</f>
        <v/>
      </c>
    </row>
    <row r="171" spans="2:12" ht="30" customHeight="1" x14ac:dyDescent="0.25">
      <c r="B171" s="64">
        <v>28</v>
      </c>
      <c r="C171" s="38" t="str">
        <f>IFERROR(INDEX(Références!$A$2:$A$201,MATCH("5-28",Références!$AY$2:$AY$201,0)),"")</f>
        <v>BIB-142</v>
      </c>
      <c r="D171" s="3" t="str">
        <f>IF($C171="","",INDEX(Références!$C$2:$C$201,MATCH($C171,Références!$A$2:$A$201,0)))</f>
        <v>Polonsky &amp; Keer (1999)</v>
      </c>
      <c r="E171" s="3" t="str">
        <f>IF($C171="","",INDEX(Références!$D$2:$D$201,MATCH($C171,Références!$A$2:$A$201,0)))</f>
        <v>A numerical method for solving rough contact problems based on the multi-level multi-summation and conjugate gradient techniques</v>
      </c>
      <c r="F171" s="38" t="str">
        <f>IF($C171="","",INDEX(Références!$H$2:$H$201,MATCH($C171,Références!$A$2:$A$201,0)))</f>
        <v>INCONTOURNABLE</v>
      </c>
      <c r="G171" s="64">
        <f>IF($C171="","",INDEX(Références!$G$2:$G$201,MATCH($C171,Références!$A$2:$A$201,0)))</f>
        <v>2</v>
      </c>
      <c r="H171" s="38" t="str">
        <f>IF($C171="","",INDEX(Références!$J$2:$J$201,MATCH($C171,Références!$A$2:$A$201,0)))</f>
        <v>À lire</v>
      </c>
      <c r="I171" s="38" t="str">
        <f ca="1">IF($C171="","",INDEX(Références!$K$2:$K$201,MATCH($C171,Références!$A$2:$A$201,0)))</f>
        <v>À venir</v>
      </c>
      <c r="J171" s="64">
        <f>IF($C171="","",INDEX(Références!$AT$2:$AT$201,MATCH($C171,Références!$A$2:$A$201,0)))</f>
        <v>6</v>
      </c>
      <c r="K171" s="65" t="str">
        <f>IF($C171="","",HYPERLINK(INDEX(Références!$AF$2:$AF$201,MATCH($C171,Références!$A$2:$A$201,0)),"Ouvrir"))</f>
        <v>Ouvrir</v>
      </c>
      <c r="L171" s="65" t="str">
        <f>IF($C171="","",IF(INDEX(Références!$BB$2:$BB$201,MATCH($C171,Références!$A$2:$A$201,0))="","",HYPERLINK(DossierPDF&amp;INDEX(Références!$BB$2:$BB$201,MATCH($C171,Références!$A$2:$A$201,0)),"PDF")))</f>
        <v/>
      </c>
    </row>
    <row r="172" spans="2:12" ht="30" customHeight="1" x14ac:dyDescent="0.25">
      <c r="B172" s="64">
        <v>29</v>
      </c>
      <c r="C172" s="38" t="str">
        <f>IFERROR(INDEX(Références!$A$2:$A$201,MATCH("5-29",Références!$AY$2:$AY$201,0)),"")</f>
        <v>BIB-143</v>
      </c>
      <c r="D172" s="3" t="str">
        <f>IF($C172="","",INDEX(Références!$C$2:$C$201,MATCH($C172,Références!$A$2:$A$201,0)))</f>
        <v>Polonsky &amp; Keer (2000)</v>
      </c>
      <c r="E172" s="3" t="str">
        <f>IF($C172="","",INDEX(Références!$D$2:$D$201,MATCH($C172,Références!$A$2:$A$201,0)))</f>
        <v>A fast and accurate method for numerical analysis of elastic layered contacts</v>
      </c>
      <c r="F172" s="38" t="str">
        <f>IF($C172="","",INDEX(Références!$H$2:$H$201,MATCH($C172,Références!$A$2:$A$201,0)))</f>
        <v>Important</v>
      </c>
      <c r="G172" s="64">
        <f>IF($C172="","",INDEX(Références!$G$2:$G$201,MATCH($C172,Références!$A$2:$A$201,0)))</f>
        <v>2</v>
      </c>
      <c r="H172" s="38" t="str">
        <f>IF($C172="","",INDEX(Références!$J$2:$J$201,MATCH($C172,Références!$A$2:$A$201,0)))</f>
        <v>À lire</v>
      </c>
      <c r="I172" s="38" t="str">
        <f ca="1">IF($C172="","",INDEX(Références!$K$2:$K$201,MATCH($C172,Références!$A$2:$A$201,0)))</f>
        <v>À venir</v>
      </c>
      <c r="J172" s="64">
        <f>IF($C172="","",INDEX(Références!$AT$2:$AT$201,MATCH($C172,Références!$A$2:$A$201,0)))</f>
        <v>3</v>
      </c>
      <c r="K172" s="65" t="str">
        <f>IF($C172="","",HYPERLINK(INDEX(Références!$AF$2:$AF$201,MATCH($C172,Références!$A$2:$A$201,0)),"Ouvrir"))</f>
        <v>Ouvrir</v>
      </c>
      <c r="L172" s="65" t="str">
        <f>IF($C172="","",IF(INDEX(Références!$BB$2:$BB$201,MATCH($C172,Références!$A$2:$A$201,0))="","",HYPERLINK(DossierPDF&amp;INDEX(Références!$BB$2:$BB$201,MATCH($C172,Références!$A$2:$A$201,0)),"PDF")))</f>
        <v/>
      </c>
    </row>
    <row r="173" spans="2:12" ht="30" customHeight="1" x14ac:dyDescent="0.25">
      <c r="B173" s="64">
        <v>30</v>
      </c>
      <c r="C173" s="38" t="str">
        <f>IFERROR(INDEX(Références!$A$2:$A$201,MATCH("5-30",Références!$AY$2:$AY$201,0)),"")</f>
        <v>BIB-144</v>
      </c>
      <c r="D173" s="3" t="str">
        <f>IF($C173="","",INDEX(Références!$C$2:$C$201,MATCH($C173,Références!$A$2:$A$201,0)))</f>
        <v>Westergaard (1939)</v>
      </c>
      <c r="E173" s="3" t="str">
        <f>IF($C173="","",INDEX(Références!$D$2:$D$201,MATCH($C173,Références!$A$2:$A$201,0)))</f>
        <v>Bearing pressures and cracks</v>
      </c>
      <c r="F173" s="38" t="str">
        <f>IF($C173="","",INDEX(Références!$H$2:$H$201,MATCH($C173,Références!$A$2:$A$201,0)))</f>
        <v>Important</v>
      </c>
      <c r="G173" s="64">
        <f>IF($C173="","",INDEX(Références!$G$2:$G$201,MATCH($C173,Références!$A$2:$A$201,0)))</f>
        <v>2</v>
      </c>
      <c r="H173" s="38" t="str">
        <f>IF($C173="","",INDEX(Références!$J$2:$J$201,MATCH($C173,Références!$A$2:$A$201,0)))</f>
        <v>À lire</v>
      </c>
      <c r="I173" s="38" t="str">
        <f ca="1">IF($C173="","",INDEX(Références!$K$2:$K$201,MATCH($C173,Références!$A$2:$A$201,0)))</f>
        <v>À venir</v>
      </c>
      <c r="J173" s="64">
        <f>IF($C173="","",INDEX(Références!$AT$2:$AT$201,MATCH($C173,Références!$A$2:$A$201,0)))</f>
        <v>3</v>
      </c>
      <c r="K173" s="65" t="str">
        <f>IF($C173="","",HYPERLINK(INDEX(Références!$AF$2:$AF$201,MATCH($C173,Références!$A$2:$A$201,0)),"Ouvrir"))</f>
        <v>Ouvrir</v>
      </c>
      <c r="L173" s="65" t="str">
        <f>IF($C173="","",IF(INDEX(Références!$BB$2:$BB$201,MATCH($C173,Références!$A$2:$A$201,0))="","",HYPERLINK(DossierPDF&amp;INDEX(Références!$BB$2:$BB$201,MATCH($C173,Références!$A$2:$A$201,0)),"PDF")))</f>
        <v/>
      </c>
    </row>
    <row r="174" spans="2:12" ht="30" customHeight="1" x14ac:dyDescent="0.25">
      <c r="B174" s="64">
        <v>31</v>
      </c>
      <c r="C174" s="38" t="str">
        <f>IFERROR(INDEX(Références!$A$2:$A$201,MATCH("5-31",Références!$AY$2:$AY$201,0)),"")</f>
        <v>BIB-145</v>
      </c>
      <c r="D174" s="3" t="str">
        <f>IF($C174="","",INDEX(Références!$C$2:$C$201,MATCH($C174,Références!$A$2:$A$201,0)))</f>
        <v>Johnson et al. (1985)</v>
      </c>
      <c r="E174" s="3" t="str">
        <f>IF($C174="","",INDEX(Références!$D$2:$D$201,MATCH($C174,Références!$A$2:$A$201,0)))</f>
        <v>The contact of elastic regular wavy surfaces</v>
      </c>
      <c r="F174" s="38" t="str">
        <f>IF($C174="","",INDEX(Références!$H$2:$H$201,MATCH($C174,Références!$A$2:$A$201,0)))</f>
        <v>A consulter</v>
      </c>
      <c r="G174" s="64">
        <f>IF($C174="","",INDEX(Références!$G$2:$G$201,MATCH($C174,Références!$A$2:$A$201,0)))</f>
        <v>2</v>
      </c>
      <c r="H174" s="38" t="str">
        <f>IF($C174="","",INDEX(Références!$J$2:$J$201,MATCH($C174,Références!$A$2:$A$201,0)))</f>
        <v>À lire</v>
      </c>
      <c r="I174" s="38" t="str">
        <f ca="1">IF($C174="","",INDEX(Références!$K$2:$K$201,MATCH($C174,Références!$A$2:$A$201,0)))</f>
        <v>À venir</v>
      </c>
      <c r="J174" s="64">
        <f>IF($C174="","",INDEX(Références!$AT$2:$AT$201,MATCH($C174,Références!$A$2:$A$201,0)))</f>
        <v>1</v>
      </c>
      <c r="K174" s="65" t="str">
        <f>IF($C174="","",HYPERLINK(INDEX(Références!$AF$2:$AF$201,MATCH($C174,Références!$A$2:$A$201,0)),"Ouvrir"))</f>
        <v>Ouvrir</v>
      </c>
      <c r="L174" s="65" t="str">
        <f>IF($C174="","",IF(INDEX(Références!$BB$2:$BB$201,MATCH($C174,Références!$A$2:$A$201,0))="","",HYPERLINK(DossierPDF&amp;INDEX(Références!$BB$2:$BB$201,MATCH($C174,Références!$A$2:$A$201,0)),"PDF")))</f>
        <v/>
      </c>
    </row>
    <row r="175" spans="2:12" ht="30" customHeight="1" x14ac:dyDescent="0.25">
      <c r="B175" s="64">
        <v>32</v>
      </c>
      <c r="C175" s="38" t="str">
        <f>IFERROR(INDEX(Références!$A$2:$A$201,MATCH("5-32",Références!$AY$2:$AY$201,0)),"")</f>
        <v>BIB-146</v>
      </c>
      <c r="D175" s="3" t="str">
        <f>IF($C175="","",INDEX(Références!$C$2:$C$201,MATCH($C175,Références!$A$2:$A$201,0)))</f>
        <v>Greenwood &amp; Williamson (1966)</v>
      </c>
      <c r="E175" s="3" t="str">
        <f>IF($C175="","",INDEX(Références!$D$2:$D$201,MATCH($C175,Références!$A$2:$A$201,0)))</f>
        <v>Contact of nominally flat surfaces</v>
      </c>
      <c r="F175" s="38" t="str">
        <f>IF($C175="","",INDEX(Références!$H$2:$H$201,MATCH($C175,Références!$A$2:$A$201,0)))</f>
        <v>Important</v>
      </c>
      <c r="G175" s="64">
        <f>IF($C175="","",INDEX(Références!$G$2:$G$201,MATCH($C175,Références!$A$2:$A$201,0)))</f>
        <v>2</v>
      </c>
      <c r="H175" s="38" t="str">
        <f>IF($C175="","",INDEX(Références!$J$2:$J$201,MATCH($C175,Références!$A$2:$A$201,0)))</f>
        <v>À lire</v>
      </c>
      <c r="I175" s="38" t="str">
        <f ca="1">IF($C175="","",INDEX(Références!$K$2:$K$201,MATCH($C175,Références!$A$2:$A$201,0)))</f>
        <v>À venir</v>
      </c>
      <c r="J175" s="64">
        <f>IF($C175="","",INDEX(Références!$AT$2:$AT$201,MATCH($C175,Références!$A$2:$A$201,0)))</f>
        <v>3</v>
      </c>
      <c r="K175" s="65" t="str">
        <f>IF($C175="","",HYPERLINK(INDEX(Références!$AF$2:$AF$201,MATCH($C175,Références!$A$2:$A$201,0)),"Ouvrir"))</f>
        <v>Ouvrir</v>
      </c>
      <c r="L175" s="65" t="str">
        <f>IF($C175="","",IF(INDEX(Références!$BB$2:$BB$201,MATCH($C175,Références!$A$2:$A$201,0))="","",HYPERLINK(DossierPDF&amp;INDEX(Références!$BB$2:$BB$201,MATCH($C175,Références!$A$2:$A$201,0)),"PDF")))</f>
        <v/>
      </c>
    </row>
    <row r="176" spans="2:12" ht="30" customHeight="1" x14ac:dyDescent="0.25">
      <c r="B176" s="64">
        <v>33</v>
      </c>
      <c r="C176" s="38" t="str">
        <f>IFERROR(INDEX(Références!$A$2:$A$201,MATCH("5-33",Références!$AY$2:$AY$201,0)),"")</f>
        <v>BIB-147</v>
      </c>
      <c r="D176" s="3" t="str">
        <f>IF($C176="","",INDEX(Références!$C$2:$C$201,MATCH($C176,Références!$A$2:$A$201,0)))</f>
        <v>Persson (2001)</v>
      </c>
      <c r="E176" s="3" t="str">
        <f>IF($C176="","",INDEX(Références!$D$2:$D$201,MATCH($C176,Références!$A$2:$A$201,0)))</f>
        <v>Theory of rubber friction and contact mechanics</v>
      </c>
      <c r="F176" s="38" t="str">
        <f>IF($C176="","",INDEX(Références!$H$2:$H$201,MATCH($C176,Références!$A$2:$A$201,0)))</f>
        <v>Important</v>
      </c>
      <c r="G176" s="64">
        <f>IF($C176="","",INDEX(Références!$G$2:$G$201,MATCH($C176,Références!$A$2:$A$201,0)))</f>
        <v>2</v>
      </c>
      <c r="H176" s="38" t="str">
        <f>IF($C176="","",INDEX(Références!$J$2:$J$201,MATCH($C176,Références!$A$2:$A$201,0)))</f>
        <v>À lire</v>
      </c>
      <c r="I176" s="38" t="str">
        <f ca="1">IF($C176="","",INDEX(Références!$K$2:$K$201,MATCH($C176,Références!$A$2:$A$201,0)))</f>
        <v>À venir</v>
      </c>
      <c r="J176" s="64">
        <f>IF($C176="","",INDEX(Références!$AT$2:$AT$201,MATCH($C176,Références!$A$2:$A$201,0)))</f>
        <v>3</v>
      </c>
      <c r="K176" s="65" t="str">
        <f>IF($C176="","",HYPERLINK(INDEX(Références!$AF$2:$AF$201,MATCH($C176,Références!$A$2:$A$201,0)),"Ouvrir"))</f>
        <v>Ouvrir</v>
      </c>
      <c r="L176" s="65" t="str">
        <f>IF($C176="","",IF(INDEX(Références!$BB$2:$BB$201,MATCH($C176,Références!$A$2:$A$201,0))="","",HYPERLINK(DossierPDF&amp;INDEX(Références!$BB$2:$BB$201,MATCH($C176,Références!$A$2:$A$201,0)),"PDF")))</f>
        <v/>
      </c>
    </row>
    <row r="177" spans="2:12" ht="30" customHeight="1" x14ac:dyDescent="0.25">
      <c r="B177" s="64">
        <v>34</v>
      </c>
      <c r="C177" s="38" t="str">
        <f>IFERROR(INDEX(Références!$A$2:$A$201,MATCH("5-34",Références!$AY$2:$AY$201,0)),"")</f>
        <v>BIB-148</v>
      </c>
      <c r="D177" s="3" t="str">
        <f>IF($C177="","",INDEX(Références!$C$2:$C$201,MATCH($C177,Références!$A$2:$A$201,0)))</f>
        <v>Persson (2006)</v>
      </c>
      <c r="E177" s="3" t="str">
        <f>IF($C177="","",INDEX(Références!$D$2:$D$201,MATCH($C177,Références!$A$2:$A$201,0)))</f>
        <v>Contact mechanics for randomly rough surfaces</v>
      </c>
      <c r="F177" s="38" t="str">
        <f>IF($C177="","",INDEX(Références!$H$2:$H$201,MATCH($C177,Références!$A$2:$A$201,0)))</f>
        <v>INCONTOURNABLE</v>
      </c>
      <c r="G177" s="64">
        <f>IF($C177="","",INDEX(Références!$G$2:$G$201,MATCH($C177,Références!$A$2:$A$201,0)))</f>
        <v>2</v>
      </c>
      <c r="H177" s="38" t="str">
        <f>IF($C177="","",INDEX(Références!$J$2:$J$201,MATCH($C177,Références!$A$2:$A$201,0)))</f>
        <v>À lire</v>
      </c>
      <c r="I177" s="38" t="str">
        <f ca="1">IF($C177="","",INDEX(Références!$K$2:$K$201,MATCH($C177,Références!$A$2:$A$201,0)))</f>
        <v>À venir</v>
      </c>
      <c r="J177" s="64">
        <f>IF($C177="","",INDEX(Références!$AT$2:$AT$201,MATCH($C177,Références!$A$2:$A$201,0)))</f>
        <v>6</v>
      </c>
      <c r="K177" s="65" t="str">
        <f>IF($C177="","",HYPERLINK(INDEX(Références!$AF$2:$AF$201,MATCH($C177,Références!$A$2:$A$201,0)),"Ouvrir"))</f>
        <v>Ouvrir</v>
      </c>
      <c r="L177" s="65" t="str">
        <f>IF($C177="","",IF(INDEX(Références!$BB$2:$BB$201,MATCH($C177,Références!$A$2:$A$201,0))="","",HYPERLINK(DossierPDF&amp;INDEX(Références!$BB$2:$BB$201,MATCH($C177,Références!$A$2:$A$201,0)),"PDF")))</f>
        <v/>
      </c>
    </row>
    <row r="178" spans="2:12" ht="30" customHeight="1" x14ac:dyDescent="0.25">
      <c r="B178" s="64">
        <v>35</v>
      </c>
      <c r="C178" s="38" t="str">
        <f>IFERROR(INDEX(Références!$A$2:$A$201,MATCH("5-35",Références!$AY$2:$AY$201,0)),"")</f>
        <v>BIB-153</v>
      </c>
      <c r="D178" s="3" t="str">
        <f>IF($C178="","",INDEX(Références!$C$2:$C$201,MATCH($C178,Références!$A$2:$A$201,0)))</f>
        <v>Yastrebov (2013)</v>
      </c>
      <c r="E178" s="3" t="str">
        <f>IF($C178="","",INDEX(Références!$D$2:$D$201,MATCH($C178,Références!$A$2:$A$201,0)))</f>
        <v>Numerical methods in contact mechanics</v>
      </c>
      <c r="F178" s="38" t="str">
        <f>IF($C178="","",INDEX(Références!$H$2:$H$201,MATCH($C178,Références!$A$2:$A$201,0)))</f>
        <v>Important</v>
      </c>
      <c r="G178" s="64">
        <f>IF($C178="","",INDEX(Références!$G$2:$G$201,MATCH($C178,Références!$A$2:$A$201,0)))</f>
        <v>2</v>
      </c>
      <c r="H178" s="38" t="str">
        <f>IF($C178="","",INDEX(Références!$J$2:$J$201,MATCH($C178,Références!$A$2:$A$201,0)))</f>
        <v>À lire</v>
      </c>
      <c r="I178" s="38" t="str">
        <f ca="1">IF($C178="","",INDEX(Références!$K$2:$K$201,MATCH($C178,Références!$A$2:$A$201,0)))</f>
        <v>À venir</v>
      </c>
      <c r="J178" s="64">
        <f>IF($C178="","",INDEX(Références!$AT$2:$AT$201,MATCH($C178,Références!$A$2:$A$201,0)))</f>
        <v>3</v>
      </c>
      <c r="K178" s="65" t="str">
        <f>IF($C178="","",HYPERLINK(INDEX(Références!$AF$2:$AF$201,MATCH($C178,Références!$A$2:$A$201,0)),"Ouvrir"))</f>
        <v>Ouvrir</v>
      </c>
      <c r="L178" s="65" t="str">
        <f>IF($C178="","",IF(INDEX(Références!$BB$2:$BB$201,MATCH($C178,Références!$A$2:$A$201,0))="","",HYPERLINK(DossierPDF&amp;INDEX(Références!$BB$2:$BB$201,MATCH($C178,Références!$A$2:$A$201,0)),"PDF")))</f>
        <v/>
      </c>
    </row>
    <row r="179" spans="2:12" ht="30" customHeight="1" x14ac:dyDescent="0.25">
      <c r="B179" s="64">
        <v>36</v>
      </c>
      <c r="C179" s="38" t="str">
        <f>IFERROR(INDEX(Références!$A$2:$A$201,MATCH("5-36",Références!$AY$2:$AY$201,0)),"")</f>
        <v>BIB-154</v>
      </c>
      <c r="D179" s="3" t="str">
        <f>IF($C179="","",INDEX(Références!$C$2:$C$201,MATCH($C179,Références!$A$2:$A$201,0)))</f>
        <v>Barber (2018)</v>
      </c>
      <c r="E179" s="3" t="str">
        <f>IF($C179="","",INDEX(Références!$D$2:$D$201,MATCH($C179,Références!$A$2:$A$201,0)))</f>
        <v>Contact mechanics</v>
      </c>
      <c r="F179" s="38" t="str">
        <f>IF($C179="","",INDEX(Références!$H$2:$H$201,MATCH($C179,Références!$A$2:$A$201,0)))</f>
        <v>A consulter</v>
      </c>
      <c r="G179" s="64">
        <f>IF($C179="","",INDEX(Références!$G$2:$G$201,MATCH($C179,Références!$A$2:$A$201,0)))</f>
        <v>2</v>
      </c>
      <c r="H179" s="38" t="str">
        <f>IF($C179="","",INDEX(Références!$J$2:$J$201,MATCH($C179,Références!$A$2:$A$201,0)))</f>
        <v>À lire</v>
      </c>
      <c r="I179" s="38" t="str">
        <f ca="1">IF($C179="","",INDEX(Références!$K$2:$K$201,MATCH($C179,Références!$A$2:$A$201,0)))</f>
        <v>À venir</v>
      </c>
      <c r="J179" s="64">
        <f>IF($C179="","",INDEX(Références!$AT$2:$AT$201,MATCH($C179,Références!$A$2:$A$201,0)))</f>
        <v>1</v>
      </c>
      <c r="K179" s="65" t="str">
        <f>IF($C179="","",HYPERLINK(INDEX(Références!$AF$2:$AF$201,MATCH($C179,Références!$A$2:$A$201,0)),"Ouvrir"))</f>
        <v>Ouvrir</v>
      </c>
      <c r="L179" s="65" t="str">
        <f>IF($C179="","",IF(INDEX(Références!$BB$2:$BB$201,MATCH($C179,Références!$A$2:$A$201,0))="","",HYPERLINK(DossierPDF&amp;INDEX(Références!$BB$2:$BB$201,MATCH($C179,Références!$A$2:$A$201,0)),"PDF")))</f>
        <v/>
      </c>
    </row>
    <row r="180" spans="2:12" ht="30" customHeight="1" x14ac:dyDescent="0.25">
      <c r="B180" s="64">
        <v>37</v>
      </c>
      <c r="C180" s="38" t="str">
        <f>IFERROR(INDEX(Références!$A$2:$A$201,MATCH("5-37",Références!$AY$2:$AY$201,0)),"")</f>
        <v>BIB-156</v>
      </c>
      <c r="D180" s="3" t="str">
        <f>IF($C180="","",INDEX(Références!$C$2:$C$201,MATCH($C180,Références!$A$2:$A$201,0)))</f>
        <v>Müser et al. (2017)</v>
      </c>
      <c r="E180" s="3" t="str">
        <f>IF($C180="","",INDEX(Références!$D$2:$D$201,MATCH($C180,Références!$A$2:$A$201,0)))</f>
        <v>Meeting the contact-mechanics challenge</v>
      </c>
      <c r="F180" s="38" t="str">
        <f>IF($C180="","",INDEX(Références!$H$2:$H$201,MATCH($C180,Références!$A$2:$A$201,0)))</f>
        <v>Important</v>
      </c>
      <c r="G180" s="64">
        <f>IF($C180="","",INDEX(Références!$G$2:$G$201,MATCH($C180,Références!$A$2:$A$201,0)))</f>
        <v>2</v>
      </c>
      <c r="H180" s="38" t="str">
        <f>IF($C180="","",INDEX(Références!$J$2:$J$201,MATCH($C180,Références!$A$2:$A$201,0)))</f>
        <v>À lire</v>
      </c>
      <c r="I180" s="38" t="str">
        <f ca="1">IF($C180="","",INDEX(Références!$K$2:$K$201,MATCH($C180,Références!$A$2:$A$201,0)))</f>
        <v>À venir</v>
      </c>
      <c r="J180" s="64">
        <f>IF($C180="","",INDEX(Références!$AT$2:$AT$201,MATCH($C180,Références!$A$2:$A$201,0)))</f>
        <v>3</v>
      </c>
      <c r="K180" s="65" t="str">
        <f>IF($C180="","",HYPERLINK(INDEX(Références!$AF$2:$AF$201,MATCH($C180,Références!$A$2:$A$201,0)),"Ouvrir"))</f>
        <v>Ouvrir</v>
      </c>
      <c r="L180" s="65" t="str">
        <f>IF($C180="","",IF(INDEX(Références!$BB$2:$BB$201,MATCH($C180,Références!$A$2:$A$201,0))="","",HYPERLINK(DossierPDF&amp;INDEX(Références!$BB$2:$BB$201,MATCH($C180,Références!$A$2:$A$201,0)),"PDF")))</f>
        <v/>
      </c>
    </row>
    <row r="181" spans="2:12" ht="30" customHeight="1" x14ac:dyDescent="0.25">
      <c r="B181" s="64">
        <v>38</v>
      </c>
      <c r="C181" s="38" t="str">
        <f>IFERROR(INDEX(Références!$A$2:$A$201,MATCH("5-38",Références!$AY$2:$AY$201,0)),"")</f>
        <v>BIB-157</v>
      </c>
      <c r="D181" s="3" t="str">
        <f>IF($C181="","",INDEX(Références!$C$2:$C$201,MATCH($C181,Références!$A$2:$A$201,0)))</f>
        <v>Yastrebov et al. (2014)</v>
      </c>
      <c r="E181" s="3" t="str">
        <f>IF($C181="","",INDEX(Références!$D$2:$D$201,MATCH($C181,Références!$A$2:$A$201,0)))</f>
        <v>From infinitesimal to full contact between rough surfaces: evolution of the contact area</v>
      </c>
      <c r="F181" s="38" t="str">
        <f>IF($C181="","",INDEX(Références!$H$2:$H$201,MATCH($C181,Références!$A$2:$A$201,0)))</f>
        <v>A consulter</v>
      </c>
      <c r="G181" s="64">
        <f>IF($C181="","",INDEX(Références!$G$2:$G$201,MATCH($C181,Références!$A$2:$A$201,0)))</f>
        <v>2</v>
      </c>
      <c r="H181" s="38" t="str">
        <f>IF($C181="","",INDEX(Références!$J$2:$J$201,MATCH($C181,Références!$A$2:$A$201,0)))</f>
        <v>À lire</v>
      </c>
      <c r="I181" s="38" t="str">
        <f ca="1">IF($C181="","",INDEX(Références!$K$2:$K$201,MATCH($C181,Références!$A$2:$A$201,0)))</f>
        <v>À venir</v>
      </c>
      <c r="J181" s="64">
        <f>IF($C181="","",INDEX(Références!$AT$2:$AT$201,MATCH($C181,Références!$A$2:$A$201,0)))</f>
        <v>1</v>
      </c>
      <c r="K181" s="65" t="str">
        <f>IF($C181="","",HYPERLINK(INDEX(Références!$AF$2:$AF$201,MATCH($C181,Références!$A$2:$A$201,0)),"Ouvrir"))</f>
        <v>Ouvrir</v>
      </c>
      <c r="L181" s="65" t="str">
        <f>IF($C181="","",IF(INDEX(Références!$BB$2:$BB$201,MATCH($C181,Références!$A$2:$A$201,0))="","",HYPERLINK(DossierPDF&amp;INDEX(Références!$BB$2:$BB$201,MATCH($C181,Références!$A$2:$A$201,0)),"PDF")))</f>
        <v/>
      </c>
    </row>
    <row r="182" spans="2:12" ht="30" customHeight="1" x14ac:dyDescent="0.25">
      <c r="B182" s="64">
        <v>39</v>
      </c>
      <c r="C182" s="38" t="str">
        <f>IFERROR(INDEX(Références!$A$2:$A$201,MATCH("5-39",Références!$AY$2:$AY$201,0)),"")</f>
        <v>BIB-158</v>
      </c>
      <c r="D182" s="3" t="str">
        <f>IF($C182="","",INDEX(Références!$C$2:$C$201,MATCH($C182,Références!$A$2:$A$201,0)))</f>
        <v>Dapp et al. (2014)</v>
      </c>
      <c r="E182" s="3" t="str">
        <f>IF($C182="","",INDEX(Références!$D$2:$D$201,MATCH($C182,Références!$A$2:$A$201,0)))</f>
        <v>Systematic analysis of Persson's contact mechanics theory of randomly rough elastic surfaces</v>
      </c>
      <c r="F182" s="38" t="str">
        <f>IF($C182="","",INDEX(Références!$H$2:$H$201,MATCH($C182,Références!$A$2:$A$201,0)))</f>
        <v>A consulter</v>
      </c>
      <c r="G182" s="64">
        <f>IF($C182="","",INDEX(Références!$G$2:$G$201,MATCH($C182,Références!$A$2:$A$201,0)))</f>
        <v>2</v>
      </c>
      <c r="H182" s="38" t="str">
        <f>IF($C182="","",INDEX(Références!$J$2:$J$201,MATCH($C182,Références!$A$2:$A$201,0)))</f>
        <v>À lire</v>
      </c>
      <c r="I182" s="38" t="str">
        <f ca="1">IF($C182="","",INDEX(Références!$K$2:$K$201,MATCH($C182,Références!$A$2:$A$201,0)))</f>
        <v>À venir</v>
      </c>
      <c r="J182" s="64">
        <f>IF($C182="","",INDEX(Références!$AT$2:$AT$201,MATCH($C182,Références!$A$2:$A$201,0)))</f>
        <v>1</v>
      </c>
      <c r="K182" s="65" t="str">
        <f>IF($C182="","",HYPERLINK(INDEX(Références!$AF$2:$AF$201,MATCH($C182,Références!$A$2:$A$201,0)),"Ouvrir"))</f>
        <v>Ouvrir</v>
      </c>
      <c r="L182" s="65" t="str">
        <f>IF($C182="","",IF(INDEX(Références!$BB$2:$BB$201,MATCH($C182,Références!$A$2:$A$201,0))="","",HYPERLINK(DossierPDF&amp;INDEX(Références!$BB$2:$BB$201,MATCH($C182,Références!$A$2:$A$201,0)),"PDF")))</f>
        <v/>
      </c>
    </row>
    <row r="183" spans="2:12" ht="30" customHeight="1" x14ac:dyDescent="0.25">
      <c r="B183" s="64">
        <v>40</v>
      </c>
      <c r="C183" s="38" t="str">
        <f>IFERROR(INDEX(Références!$A$2:$A$201,MATCH("5-40",Références!$AY$2:$AY$201,0)),"")</f>
        <v>BIB-159</v>
      </c>
      <c r="D183" s="3" t="str">
        <f>IF($C183="","",INDEX(Références!$C$2:$C$201,MATCH($C183,Références!$A$2:$A$201,0)))</f>
        <v>Bemporad &amp; Paggi (2015)</v>
      </c>
      <c r="E183" s="3" t="str">
        <f>IF($C183="","",INDEX(Références!$D$2:$D$201,MATCH($C183,Références!$A$2:$A$201,0)))</f>
        <v>Optimization algorithms for the solution of the frictionless normal contact between rough surfaces</v>
      </c>
      <c r="F183" s="38" t="str">
        <f>IF($C183="","",INDEX(Références!$H$2:$H$201,MATCH($C183,Références!$A$2:$A$201,0)))</f>
        <v>A consulter</v>
      </c>
      <c r="G183" s="64">
        <f>IF($C183="","",INDEX(Références!$G$2:$G$201,MATCH($C183,Références!$A$2:$A$201,0)))</f>
        <v>2</v>
      </c>
      <c r="H183" s="38" t="str">
        <f>IF($C183="","",INDEX(Références!$J$2:$J$201,MATCH($C183,Références!$A$2:$A$201,0)))</f>
        <v>À lire</v>
      </c>
      <c r="I183" s="38" t="str">
        <f ca="1">IF($C183="","",INDEX(Références!$K$2:$K$201,MATCH($C183,Références!$A$2:$A$201,0)))</f>
        <v>À venir</v>
      </c>
      <c r="J183" s="64">
        <f>IF($C183="","",INDEX(Références!$AT$2:$AT$201,MATCH($C183,Références!$A$2:$A$201,0)))</f>
        <v>1</v>
      </c>
      <c r="K183" s="65" t="str">
        <f>IF($C183="","",HYPERLINK(INDEX(Références!$AF$2:$AF$201,MATCH($C183,Références!$A$2:$A$201,0)),"Ouvrir"))</f>
        <v>Ouvrir</v>
      </c>
      <c r="L183" s="65" t="str">
        <f>IF($C183="","",IF(INDEX(Références!$BB$2:$BB$201,MATCH($C183,Références!$A$2:$A$201,0))="","",HYPERLINK(DossierPDF&amp;INDEX(Références!$BB$2:$BB$201,MATCH($C183,Références!$A$2:$A$201,0)),"PDF")))</f>
        <v/>
      </c>
    </row>
    <row r="184" spans="2:12" ht="30" customHeight="1" x14ac:dyDescent="0.25">
      <c r="B184" s="64">
        <v>41</v>
      </c>
      <c r="C184" s="38" t="str">
        <f>IFERROR(INDEX(Références!$A$2:$A$201,MATCH("5-41",Références!$AY$2:$AY$201,0)),"")</f>
        <v>BIB-160</v>
      </c>
      <c r="D184" s="3" t="str">
        <f>IF($C184="","",INDEX(Références!$C$2:$C$201,MATCH($C184,Références!$A$2:$A$201,0)))</f>
        <v>Pohrt &amp; Li (2014)</v>
      </c>
      <c r="E184" s="3" t="str">
        <f>IF($C184="","",INDEX(Références!$D$2:$D$201,MATCH($C184,Références!$A$2:$A$201,0)))</f>
        <v>Complete boundary element formulation for normal and tangential contact problems</v>
      </c>
      <c r="F184" s="38" t="str">
        <f>IF($C184="","",INDEX(Références!$H$2:$H$201,MATCH($C184,Références!$A$2:$A$201,0)))</f>
        <v>A consulter</v>
      </c>
      <c r="G184" s="64">
        <f>IF($C184="","",INDEX(Références!$G$2:$G$201,MATCH($C184,Références!$A$2:$A$201,0)))</f>
        <v>2</v>
      </c>
      <c r="H184" s="38" t="str">
        <f>IF($C184="","",INDEX(Références!$J$2:$J$201,MATCH($C184,Références!$A$2:$A$201,0)))</f>
        <v>À lire</v>
      </c>
      <c r="I184" s="38" t="str">
        <f ca="1">IF($C184="","",INDEX(Références!$K$2:$K$201,MATCH($C184,Références!$A$2:$A$201,0)))</f>
        <v>À venir</v>
      </c>
      <c r="J184" s="64">
        <f>IF($C184="","",INDEX(Références!$AT$2:$AT$201,MATCH($C184,Références!$A$2:$A$201,0)))</f>
        <v>1</v>
      </c>
      <c r="K184" s="65" t="str">
        <f>IF($C184="","",HYPERLINK(INDEX(Références!$AF$2:$AF$201,MATCH($C184,Références!$A$2:$A$201,0)),"Ouvrir"))</f>
        <v>Ouvrir</v>
      </c>
      <c r="L184" s="65" t="str">
        <f>IF($C184="","",IF(INDEX(Références!$BB$2:$BB$201,MATCH($C184,Références!$A$2:$A$201,0))="","",HYPERLINK(DossierPDF&amp;INDEX(Références!$BB$2:$BB$201,MATCH($C184,Références!$A$2:$A$201,0)),"PDF")))</f>
        <v/>
      </c>
    </row>
    <row r="185" spans="2:12" ht="30" customHeight="1" x14ac:dyDescent="0.25">
      <c r="B185" s="64">
        <v>42</v>
      </c>
      <c r="C185" s="38" t="str">
        <f>IFERROR(INDEX(Références!$A$2:$A$201,MATCH("5-42",Références!$AY$2:$AY$201,0)),"")</f>
        <v/>
      </c>
      <c r="D185" s="3" t="str">
        <f>IF($C185="","",INDEX(Références!$C$2:$C$201,MATCH($C185,Références!$A$2:$A$201,0)))</f>
        <v/>
      </c>
      <c r="E185" s="3" t="str">
        <f>IF($C185="","",INDEX(Références!$D$2:$D$201,MATCH($C185,Références!$A$2:$A$201,0)))</f>
        <v/>
      </c>
      <c r="F185" s="38" t="str">
        <f>IF($C185="","",INDEX(Références!$H$2:$H$201,MATCH($C185,Références!$A$2:$A$201,0)))</f>
        <v/>
      </c>
      <c r="G185" s="64" t="str">
        <f>IF($C185="","",INDEX(Références!$G$2:$G$201,MATCH($C185,Références!$A$2:$A$201,0)))</f>
        <v/>
      </c>
      <c r="H185" s="38" t="str">
        <f>IF($C185="","",INDEX(Références!$J$2:$J$201,MATCH($C185,Références!$A$2:$A$201,0)))</f>
        <v/>
      </c>
      <c r="I185" s="38" t="str">
        <f>IF($C185="","",INDEX(Références!$K$2:$K$201,MATCH($C185,Références!$A$2:$A$201,0)))</f>
        <v/>
      </c>
      <c r="J185" s="64" t="str">
        <f>IF($C185="","",INDEX(Références!$AT$2:$AT$201,MATCH($C185,Références!$A$2:$A$201,0)))</f>
        <v/>
      </c>
      <c r="K185" s="65" t="str">
        <f>IF($C185="","",HYPERLINK(INDEX(Références!$AF$2:$AF$201,MATCH($C185,Références!$A$2:$A$201,0)),"Ouvrir"))</f>
        <v/>
      </c>
      <c r="L185" s="65" t="str">
        <f>IF($C185="","",IF(INDEX(Références!$BB$2:$BB$201,MATCH($C185,Références!$A$2:$A$201,0))="","",HYPERLINK(DossierPDF&amp;INDEX(Références!$BB$2:$BB$201,MATCH($C185,Références!$A$2:$A$201,0)),"PDF")))</f>
        <v/>
      </c>
    </row>
    <row r="186" spans="2:12" ht="30" customHeight="1" x14ac:dyDescent="0.25">
      <c r="B186" s="64">
        <v>43</v>
      </c>
      <c r="C186" s="38" t="str">
        <f>IFERROR(INDEX(Références!$A$2:$A$201,MATCH("5-43",Références!$AY$2:$AY$201,0)),"")</f>
        <v/>
      </c>
      <c r="D186" s="3" t="str">
        <f>IF($C186="","",INDEX(Références!$C$2:$C$201,MATCH($C186,Références!$A$2:$A$201,0)))</f>
        <v/>
      </c>
      <c r="E186" s="3" t="str">
        <f>IF($C186="","",INDEX(Références!$D$2:$D$201,MATCH($C186,Références!$A$2:$A$201,0)))</f>
        <v/>
      </c>
      <c r="F186" s="38" t="str">
        <f>IF($C186="","",INDEX(Références!$H$2:$H$201,MATCH($C186,Références!$A$2:$A$201,0)))</f>
        <v/>
      </c>
      <c r="G186" s="64" t="str">
        <f>IF($C186="","",INDEX(Références!$G$2:$G$201,MATCH($C186,Références!$A$2:$A$201,0)))</f>
        <v/>
      </c>
      <c r="H186" s="38" t="str">
        <f>IF($C186="","",INDEX(Références!$J$2:$J$201,MATCH($C186,Références!$A$2:$A$201,0)))</f>
        <v/>
      </c>
      <c r="I186" s="38" t="str">
        <f>IF($C186="","",INDEX(Références!$K$2:$K$201,MATCH($C186,Références!$A$2:$A$201,0)))</f>
        <v/>
      </c>
      <c r="J186" s="64" t="str">
        <f>IF($C186="","",INDEX(Références!$AT$2:$AT$201,MATCH($C186,Références!$A$2:$A$201,0)))</f>
        <v/>
      </c>
      <c r="K186" s="65" t="str">
        <f>IF($C186="","",HYPERLINK(INDEX(Références!$AF$2:$AF$201,MATCH($C186,Références!$A$2:$A$201,0)),"Ouvrir"))</f>
        <v/>
      </c>
      <c r="L186" s="65" t="str">
        <f>IF($C186="","",IF(INDEX(Références!$BB$2:$BB$201,MATCH($C186,Références!$A$2:$A$201,0))="","",HYPERLINK(DossierPDF&amp;INDEX(Références!$BB$2:$BB$201,MATCH($C186,Références!$A$2:$A$201,0)),"PDF")))</f>
        <v/>
      </c>
    </row>
    <row r="187" spans="2:12" ht="30" customHeight="1" x14ac:dyDescent="0.25">
      <c r="B187" s="64">
        <v>44</v>
      </c>
      <c r="C187" s="38" t="str">
        <f>IFERROR(INDEX(Références!$A$2:$A$201,MATCH("5-44",Références!$AY$2:$AY$201,0)),"")</f>
        <v/>
      </c>
      <c r="D187" s="3" t="str">
        <f>IF($C187="","",INDEX(Références!$C$2:$C$201,MATCH($C187,Références!$A$2:$A$201,0)))</f>
        <v/>
      </c>
      <c r="E187" s="3" t="str">
        <f>IF($C187="","",INDEX(Références!$D$2:$D$201,MATCH($C187,Références!$A$2:$A$201,0)))</f>
        <v/>
      </c>
      <c r="F187" s="38" t="str">
        <f>IF($C187="","",INDEX(Références!$H$2:$H$201,MATCH($C187,Références!$A$2:$A$201,0)))</f>
        <v/>
      </c>
      <c r="G187" s="64" t="str">
        <f>IF($C187="","",INDEX(Références!$G$2:$G$201,MATCH($C187,Références!$A$2:$A$201,0)))</f>
        <v/>
      </c>
      <c r="H187" s="38" t="str">
        <f>IF($C187="","",INDEX(Références!$J$2:$J$201,MATCH($C187,Références!$A$2:$A$201,0)))</f>
        <v/>
      </c>
      <c r="I187" s="38" t="str">
        <f>IF($C187="","",INDEX(Références!$K$2:$K$201,MATCH($C187,Références!$A$2:$A$201,0)))</f>
        <v/>
      </c>
      <c r="J187" s="64" t="str">
        <f>IF($C187="","",INDEX(Références!$AT$2:$AT$201,MATCH($C187,Références!$A$2:$A$201,0)))</f>
        <v/>
      </c>
      <c r="K187" s="65" t="str">
        <f>IF($C187="","",HYPERLINK(INDEX(Références!$AF$2:$AF$201,MATCH($C187,Références!$A$2:$A$201,0)),"Ouvrir"))</f>
        <v/>
      </c>
      <c r="L187" s="65" t="str">
        <f>IF($C187="","",IF(INDEX(Références!$BB$2:$BB$201,MATCH($C187,Références!$A$2:$A$201,0))="","",HYPERLINK(DossierPDF&amp;INDEX(Références!$BB$2:$BB$201,MATCH($C187,Références!$A$2:$A$201,0)),"PDF")))</f>
        <v/>
      </c>
    </row>
    <row r="189" spans="2:12" ht="21.75" customHeight="1" x14ac:dyDescent="0.25">
      <c r="B189" s="77" t="s">
        <v>2921</v>
      </c>
      <c r="C189" s="77"/>
      <c r="D189" s="77"/>
      <c r="E189" s="77"/>
      <c r="F189" s="77"/>
      <c r="G189" s="77"/>
      <c r="H189" s="77"/>
      <c r="I189" s="77"/>
      <c r="J189" s="77"/>
      <c r="K189" s="77"/>
    </row>
    <row r="190" spans="2:12" ht="57.95" customHeight="1" x14ac:dyDescent="0.25">
      <c r="B190" s="60" t="s">
        <v>2909</v>
      </c>
      <c r="C190" s="78" t="s">
        <v>4101</v>
      </c>
      <c r="D190" s="78"/>
      <c r="E190" s="78"/>
      <c r="F190" s="78"/>
      <c r="G190" s="78"/>
      <c r="H190" s="78"/>
      <c r="I190" s="78"/>
      <c r="J190" s="78"/>
      <c r="K190" s="78"/>
    </row>
    <row r="191" spans="2:12" ht="57.95" customHeight="1" x14ac:dyDescent="0.25">
      <c r="B191" s="60" t="s">
        <v>2910</v>
      </c>
      <c r="C191" s="78" t="s">
        <v>4102</v>
      </c>
      <c r="D191" s="78"/>
      <c r="E191" s="78"/>
      <c r="F191" s="78"/>
      <c r="G191" s="78"/>
      <c r="H191" s="78"/>
      <c r="I191" s="78"/>
      <c r="J191" s="78"/>
      <c r="K191" s="78"/>
    </row>
    <row r="192" spans="2:12" x14ac:dyDescent="0.25">
      <c r="B192" s="61" t="s">
        <v>2912</v>
      </c>
      <c r="C192" s="79" t="str">
        <f>COUNTIF(Références!$I$2:$I$201,6)&amp;" références, "&amp;COUNTIFS(Références!$I$2:$I$201,6,Références!$J$2:$J$201,"Lu")&amp;" lues"</f>
        <v>40 références, 0 lues</v>
      </c>
      <c r="D192" s="79"/>
      <c r="E192" s="1" t="str">
        <f>"Heures restantes : "&amp;(SUMIFS(Références!$AT$2:$AT$201,Références!$I$2:$I$201,6)-SUMIFS(Références!$AT$2:$AT$201,Références!$I$2:$I$201,6,Références!$J$2:$J$201,"Lu")-SUMIFS(Références!$AT$2:$AT$201,Références!$I$2:$I$201,6,Références!$J$2:$J$201,"Écarté"))&amp;" h sur "&amp;SUMIFS(Références!$AT$2:$AT$201,Références!$I$2:$I$201,6)&amp;" h prévues"</f>
        <v>Heures restantes : 103 h sur 103 h prévues</v>
      </c>
      <c r="F192" s="62" t="str">
        <f ca="1">IF(COUNTIF(Références!$I$2:$I$201,6)-COUNTIFS(Références!$I$2:$I$201,6,Références!$J$2:$J$201,"Lu")-COUNTIFS(Références!$I$2:$I$201,6,Références!$J$2:$J$201,"Écarté")=0,"Terminé",IF(6&lt;Paramètres!$C$8,"En retard",IF(6=Paramètres!$C$8,"En cours","À venir")))</f>
        <v>À venir</v>
      </c>
    </row>
    <row r="193" spans="2:12" ht="18" customHeight="1" x14ac:dyDescent="0.25">
      <c r="B193" s="63" t="s">
        <v>205</v>
      </c>
      <c r="C193" s="63" t="s">
        <v>51</v>
      </c>
      <c r="D193" s="63" t="s">
        <v>169</v>
      </c>
      <c r="E193" s="63" t="s">
        <v>173</v>
      </c>
      <c r="F193" s="63" t="s">
        <v>170</v>
      </c>
      <c r="G193" s="63" t="s">
        <v>119</v>
      </c>
      <c r="H193" s="63" t="s">
        <v>1662</v>
      </c>
      <c r="I193" s="63" t="s">
        <v>152</v>
      </c>
      <c r="J193" s="63" t="s">
        <v>2913</v>
      </c>
      <c r="K193" s="63" t="s">
        <v>172</v>
      </c>
      <c r="L193" s="63" t="s">
        <v>64</v>
      </c>
    </row>
    <row r="194" spans="2:12" ht="30" customHeight="1" x14ac:dyDescent="0.25">
      <c r="B194" s="64">
        <v>1</v>
      </c>
      <c r="C194" s="38" t="str">
        <f>IFERROR(INDEX(Références!$A$2:$A$201,MATCH("6-1",Références!$AY$2:$AY$201,0)),"")</f>
        <v>BIB-102</v>
      </c>
      <c r="D194" s="3" t="str">
        <f>IF($C194="","",INDEX(Références!$C$2:$C$201,MATCH($C194,Références!$A$2:$A$201,0)))</f>
        <v>Canestrari &amp; Ingrassia (2020)</v>
      </c>
      <c r="E194" s="3" t="str">
        <f>IF($C194="","",INDEX(Références!$D$2:$D$201,MATCH($C194,Références!$A$2:$A$201,0)))</f>
        <v>A review of top-down cracking in asphalt pavements: Causes, models, experimental tools and future challenges</v>
      </c>
      <c r="F194" s="38" t="str">
        <f>IF($C194="","",INDEX(Références!$H$2:$H$201,MATCH($C194,Références!$A$2:$A$201,0)))</f>
        <v>INCONTOURNABLE</v>
      </c>
      <c r="G194" s="64">
        <f>IF($C194="","",INDEX(Références!$G$2:$G$201,MATCH($C194,Références!$A$2:$A$201,0)))</f>
        <v>6</v>
      </c>
      <c r="H194" s="38" t="str">
        <f>IF($C194="","",INDEX(Références!$J$2:$J$201,MATCH($C194,Références!$A$2:$A$201,0)))</f>
        <v>À lire</v>
      </c>
      <c r="I194" s="38" t="str">
        <f ca="1">IF($C194="","",INDEX(Références!$K$2:$K$201,MATCH($C194,Références!$A$2:$A$201,0)))</f>
        <v>À venir</v>
      </c>
      <c r="J194" s="64">
        <f>IF($C194="","",INDEX(Références!$AT$2:$AT$201,MATCH($C194,Références!$A$2:$A$201,0)))</f>
        <v>6</v>
      </c>
      <c r="K194" s="65" t="str">
        <f>IF($C194="","",HYPERLINK(INDEX(Références!$AF$2:$AF$201,MATCH($C194,Références!$A$2:$A$201,0)),"Ouvrir"))</f>
        <v>Ouvrir</v>
      </c>
      <c r="L194" s="65" t="str">
        <f>IF($C194="","",IF(INDEX(Références!$BB$2:$BB$201,MATCH($C194,Références!$A$2:$A$201,0))="","",HYPERLINK(DossierPDF&amp;INDEX(Références!$BB$2:$BB$201,MATCH($C194,Références!$A$2:$A$201,0)),"PDF")))</f>
        <v/>
      </c>
    </row>
    <row r="195" spans="2:12" ht="30" customHeight="1" x14ac:dyDescent="0.25">
      <c r="B195" s="64">
        <v>2</v>
      </c>
      <c r="C195" s="38" t="str">
        <f>IFERROR(INDEX(Références!$A$2:$A$201,MATCH("6-2",Références!$AY$2:$AY$201,0)),"")</f>
        <v>BIB-103</v>
      </c>
      <c r="D195" s="3" t="str">
        <f>IF($C195="","",INDEX(Références!$C$2:$C$201,MATCH($C195,Références!$A$2:$A$201,0)))</f>
        <v>Wang &amp; Al-Qadi (2010)</v>
      </c>
      <c r="E195" s="3" t="str">
        <f>IF($C195="","",INDEX(Références!$D$2:$D$201,MATCH($C195,Références!$A$2:$A$201,0)))</f>
        <v>Near-surface pavement failure under multiaxial stress state in thick asphalt pavement</v>
      </c>
      <c r="F195" s="38" t="str">
        <f>IF($C195="","",INDEX(Références!$H$2:$H$201,MATCH($C195,Références!$A$2:$A$201,0)))</f>
        <v>INCONTOURNABLE</v>
      </c>
      <c r="G195" s="64">
        <f>IF($C195="","",INDEX(Références!$G$2:$G$201,MATCH($C195,Références!$A$2:$A$201,0)))</f>
        <v>6</v>
      </c>
      <c r="H195" s="38" t="str">
        <f>IF($C195="","",INDEX(Références!$J$2:$J$201,MATCH($C195,Références!$A$2:$A$201,0)))</f>
        <v>À lire</v>
      </c>
      <c r="I195" s="38" t="str">
        <f ca="1">IF($C195="","",INDEX(Références!$K$2:$K$201,MATCH($C195,Références!$A$2:$A$201,0)))</f>
        <v>À venir</v>
      </c>
      <c r="J195" s="64">
        <f>IF($C195="","",INDEX(Références!$AT$2:$AT$201,MATCH($C195,Références!$A$2:$A$201,0)))</f>
        <v>6</v>
      </c>
      <c r="K195" s="65" t="str">
        <f>IF($C195="","",HYPERLINK(INDEX(Références!$AF$2:$AF$201,MATCH($C195,Références!$A$2:$A$201,0)),"Ouvrir"))</f>
        <v>Ouvrir</v>
      </c>
      <c r="L195" s="65" t="str">
        <f>IF($C195="","",IF(INDEX(Références!$BB$2:$BB$201,MATCH($C195,Références!$A$2:$A$201,0))="","",HYPERLINK(DossierPDF&amp;INDEX(Références!$BB$2:$BB$201,MATCH($C195,Références!$A$2:$A$201,0)),"PDF")))</f>
        <v/>
      </c>
    </row>
    <row r="196" spans="2:12" ht="30" customHeight="1" x14ac:dyDescent="0.25">
      <c r="B196" s="64">
        <v>3</v>
      </c>
      <c r="C196" s="38" t="str">
        <f>IFERROR(INDEX(Références!$A$2:$A$201,MATCH("6-3",Références!$AY$2:$AY$201,0)),"")</f>
        <v>BIB-104</v>
      </c>
      <c r="D196" s="3" t="str">
        <f>IF($C196="","",INDEX(Références!$C$2:$C$201,MATCH($C196,Références!$A$2:$A$201,0)))</f>
        <v>Di Benedetto et al. (2004)</v>
      </c>
      <c r="E196" s="3" t="str">
        <f>IF($C196="","",INDEX(Références!$D$2:$D$201,MATCH($C196,Références!$A$2:$A$201,0)))</f>
        <v>Fatigue of bituminous mixtures</v>
      </c>
      <c r="F196" s="38" t="str">
        <f>IF($C196="","",INDEX(Références!$H$2:$H$201,MATCH($C196,Références!$A$2:$A$201,0)))</f>
        <v>Important</v>
      </c>
      <c r="G196" s="64">
        <f>IF($C196="","",INDEX(Références!$G$2:$G$201,MATCH($C196,Références!$A$2:$A$201,0)))</f>
        <v>6</v>
      </c>
      <c r="H196" s="38" t="str">
        <f>IF($C196="","",INDEX(Références!$J$2:$J$201,MATCH($C196,Références!$A$2:$A$201,0)))</f>
        <v>À lire</v>
      </c>
      <c r="I196" s="38" t="str">
        <f ca="1">IF($C196="","",INDEX(Références!$K$2:$K$201,MATCH($C196,Références!$A$2:$A$201,0)))</f>
        <v>À venir</v>
      </c>
      <c r="J196" s="64">
        <f>IF($C196="","",INDEX(Références!$AT$2:$AT$201,MATCH($C196,Références!$A$2:$A$201,0)))</f>
        <v>3</v>
      </c>
      <c r="K196" s="65" t="str">
        <f>IF($C196="","",HYPERLINK(INDEX(Références!$AF$2:$AF$201,MATCH($C196,Références!$A$2:$A$201,0)),"Ouvrir"))</f>
        <v>Ouvrir</v>
      </c>
      <c r="L196" s="65" t="str">
        <f>IF($C196="","",IF(INDEX(Références!$BB$2:$BB$201,MATCH($C196,Références!$A$2:$A$201,0))="","",HYPERLINK(DossierPDF&amp;INDEX(Références!$BB$2:$BB$201,MATCH($C196,Références!$A$2:$A$201,0)),"PDF")))</f>
        <v/>
      </c>
    </row>
    <row r="197" spans="2:12" ht="30" customHeight="1" x14ac:dyDescent="0.25">
      <c r="B197" s="64">
        <v>4</v>
      </c>
      <c r="C197" s="38" t="str">
        <f>IFERROR(INDEX(Références!$A$2:$A$201,MATCH("6-4",Références!$AY$2:$AY$201,0)),"")</f>
        <v>BIB-105</v>
      </c>
      <c r="D197" s="3" t="str">
        <f>IF($C197="","",INDEX(Références!$C$2:$C$201,MATCH($C197,Références!$A$2:$A$201,0)))</f>
        <v>Kim et al. (2009)</v>
      </c>
      <c r="E197" s="3" t="str">
        <f>IF($C197="","",INDEX(Références!$D$2:$D$201,MATCH($C197,Références!$A$2:$A$201,0)))</f>
        <v>Viscoelastic analysis of flexible pavements and its effects on top-down cracking</v>
      </c>
      <c r="F197" s="38" t="str">
        <f>IF($C197="","",INDEX(Références!$H$2:$H$201,MATCH($C197,Références!$A$2:$A$201,0)))</f>
        <v>Important</v>
      </c>
      <c r="G197" s="64">
        <f>IF($C197="","",INDEX(Références!$G$2:$G$201,MATCH($C197,Références!$A$2:$A$201,0)))</f>
        <v>6</v>
      </c>
      <c r="H197" s="38" t="str">
        <f>IF($C197="","",INDEX(Références!$J$2:$J$201,MATCH($C197,Références!$A$2:$A$201,0)))</f>
        <v>À lire</v>
      </c>
      <c r="I197" s="38" t="str">
        <f ca="1">IF($C197="","",INDEX(Références!$K$2:$K$201,MATCH($C197,Références!$A$2:$A$201,0)))</f>
        <v>À venir</v>
      </c>
      <c r="J197" s="64">
        <f>IF($C197="","",INDEX(Références!$AT$2:$AT$201,MATCH($C197,Références!$A$2:$A$201,0)))</f>
        <v>3</v>
      </c>
      <c r="K197" s="65" t="str">
        <f>IF($C197="","",HYPERLINK(INDEX(Références!$AF$2:$AF$201,MATCH($C197,Références!$A$2:$A$201,0)),"Ouvrir"))</f>
        <v>Ouvrir</v>
      </c>
      <c r="L197" s="65" t="str">
        <f>IF($C197="","",IF(INDEX(Références!$BB$2:$BB$201,MATCH($C197,Références!$A$2:$A$201,0))="","",HYPERLINK(DossierPDF&amp;INDEX(Références!$BB$2:$BB$201,MATCH($C197,Références!$A$2:$A$201,0)),"PDF")))</f>
        <v/>
      </c>
    </row>
    <row r="198" spans="2:12" ht="30" customHeight="1" x14ac:dyDescent="0.25">
      <c r="B198" s="64">
        <v>5</v>
      </c>
      <c r="C198" s="38" t="str">
        <f>IFERROR(INDEX(Références!$A$2:$A$201,MATCH("6-5",Références!$AY$2:$AY$201,0)),"")</f>
        <v>BIB-106</v>
      </c>
      <c r="D198" s="3" t="str">
        <f>IF($C198="","",INDEX(Références!$C$2:$C$201,MATCH($C198,Références!$A$2:$A$201,0)))</f>
        <v>Myers et al. (2001)</v>
      </c>
      <c r="E198" s="3" t="str">
        <f>IF($C198="","",INDEX(Références!$D$2:$D$201,MATCH($C198,Références!$A$2:$A$201,0)))</f>
        <v>Propagation mechanisms for surface-initiated longitudinal wheelpath cracks</v>
      </c>
      <c r="F198" s="38" t="str">
        <f>IF($C198="","",INDEX(Références!$H$2:$H$201,MATCH($C198,Références!$A$2:$A$201,0)))</f>
        <v>Important</v>
      </c>
      <c r="G198" s="64">
        <f>IF($C198="","",INDEX(Références!$G$2:$G$201,MATCH($C198,Références!$A$2:$A$201,0)))</f>
        <v>6</v>
      </c>
      <c r="H198" s="38" t="str">
        <f>IF($C198="","",INDEX(Références!$J$2:$J$201,MATCH($C198,Références!$A$2:$A$201,0)))</f>
        <v>À lire</v>
      </c>
      <c r="I198" s="38" t="str">
        <f ca="1">IF($C198="","",INDEX(Références!$K$2:$K$201,MATCH($C198,Références!$A$2:$A$201,0)))</f>
        <v>À venir</v>
      </c>
      <c r="J198" s="64">
        <f>IF($C198="","",INDEX(Références!$AT$2:$AT$201,MATCH($C198,Références!$A$2:$A$201,0)))</f>
        <v>3</v>
      </c>
      <c r="K198" s="65" t="str">
        <f>IF($C198="","",HYPERLINK(INDEX(Références!$AF$2:$AF$201,MATCH($C198,Références!$A$2:$A$201,0)),"Ouvrir"))</f>
        <v>Ouvrir</v>
      </c>
      <c r="L198" s="65" t="str">
        <f>IF($C198="","",IF(INDEX(Références!$BB$2:$BB$201,MATCH($C198,Références!$A$2:$A$201,0))="","",HYPERLINK(DossierPDF&amp;INDEX(Références!$BB$2:$BB$201,MATCH($C198,Références!$A$2:$A$201,0)),"PDF")))</f>
        <v/>
      </c>
    </row>
    <row r="199" spans="2:12" ht="30" customHeight="1" x14ac:dyDescent="0.25">
      <c r="B199" s="64">
        <v>6</v>
      </c>
      <c r="C199" s="38" t="str">
        <f>IFERROR(INDEX(Références!$A$2:$A$201,MATCH("6-6",Références!$AY$2:$AY$201,0)),"")</f>
        <v>BIB-107</v>
      </c>
      <c r="D199" s="3" t="str">
        <f>IF($C199="","",INDEX(Références!$C$2:$C$201,MATCH($C199,Références!$A$2:$A$201,0)))</f>
        <v>Oubahdou et al. (2021)</v>
      </c>
      <c r="E199" s="3" t="str">
        <f>IF($C199="","",INDEX(Références!$D$2:$D$201,MATCH($C199,Références!$A$2:$A$201,0)))</f>
        <v>Effect of the tire – pavement contact at the surface layer when the tire is tilted in bend</v>
      </c>
      <c r="F199" s="38" t="str">
        <f>IF($C199="","",INDEX(Références!$H$2:$H$201,MATCH($C199,Références!$A$2:$A$201,0)))</f>
        <v>Important</v>
      </c>
      <c r="G199" s="64">
        <f>IF($C199="","",INDEX(Références!$G$2:$G$201,MATCH($C199,Références!$A$2:$A$201,0)))</f>
        <v>6</v>
      </c>
      <c r="H199" s="38" t="str">
        <f>IF($C199="","",INDEX(Références!$J$2:$J$201,MATCH($C199,Références!$A$2:$A$201,0)))</f>
        <v>À lire</v>
      </c>
      <c r="I199" s="38" t="str">
        <f ca="1">IF($C199="","",INDEX(Références!$K$2:$K$201,MATCH($C199,Références!$A$2:$A$201,0)))</f>
        <v>À venir</v>
      </c>
      <c r="J199" s="64">
        <f>IF($C199="","",INDEX(Références!$AT$2:$AT$201,MATCH($C199,Références!$A$2:$A$201,0)))</f>
        <v>3</v>
      </c>
      <c r="K199" s="65" t="str">
        <f>IF($C199="","",HYPERLINK(INDEX(Références!$AF$2:$AF$201,MATCH($C199,Références!$A$2:$A$201,0)),"Ouvrir"))</f>
        <v>Ouvrir</v>
      </c>
      <c r="L199" s="65" t="str">
        <f>IF($C199="","",IF(INDEX(Références!$BB$2:$BB$201,MATCH($C199,Références!$A$2:$A$201,0))="","",HYPERLINK(DossierPDF&amp;INDEX(Références!$BB$2:$BB$201,MATCH($C199,Références!$A$2:$A$201,0)),"PDF")))</f>
        <v/>
      </c>
    </row>
    <row r="200" spans="2:12" ht="30" customHeight="1" x14ac:dyDescent="0.25">
      <c r="B200" s="64">
        <v>7</v>
      </c>
      <c r="C200" s="38" t="str">
        <f>IFERROR(INDEX(Références!$A$2:$A$201,MATCH("6-7",Références!$AY$2:$AY$201,0)),"")</f>
        <v>BIB-108</v>
      </c>
      <c r="D200" s="3" t="str">
        <f>IF($C200="","",INDEX(Références!$C$2:$C$201,MATCH($C200,Références!$A$2:$A$201,0)))</f>
        <v>Roque et al. (2010)</v>
      </c>
      <c r="E200" s="3" t="str">
        <f>IF($C200="","",INDEX(Références!$D$2:$D$201,MATCH($C200,Références!$A$2:$A$201,0)))</f>
        <v>Top-down cracking of hot-mix asphalt layers: Models for initiation and propagation</v>
      </c>
      <c r="F200" s="38" t="str">
        <f>IF($C200="","",INDEX(Références!$H$2:$H$201,MATCH($C200,Références!$A$2:$A$201,0)))</f>
        <v>Important</v>
      </c>
      <c r="G200" s="64">
        <f>IF($C200="","",INDEX(Références!$G$2:$G$201,MATCH($C200,Références!$A$2:$A$201,0)))</f>
        <v>6</v>
      </c>
      <c r="H200" s="38" t="str">
        <f>IF($C200="","",INDEX(Références!$J$2:$J$201,MATCH($C200,Références!$A$2:$A$201,0)))</f>
        <v>À lire</v>
      </c>
      <c r="I200" s="38" t="str">
        <f ca="1">IF($C200="","",INDEX(Références!$K$2:$K$201,MATCH($C200,Références!$A$2:$A$201,0)))</f>
        <v>À venir</v>
      </c>
      <c r="J200" s="64">
        <f>IF($C200="","",INDEX(Références!$AT$2:$AT$201,MATCH($C200,Références!$A$2:$A$201,0)))</f>
        <v>3</v>
      </c>
      <c r="K200" s="65" t="str">
        <f>IF($C200="","",HYPERLINK(INDEX(Références!$AF$2:$AF$201,MATCH($C200,Références!$A$2:$A$201,0)),"Ouvrir"))</f>
        <v>Ouvrir</v>
      </c>
      <c r="L200" s="65" t="str">
        <f>IF($C200="","",IF(INDEX(Références!$BB$2:$BB$201,MATCH($C200,Références!$A$2:$A$201,0))="","",HYPERLINK(DossierPDF&amp;INDEX(Références!$BB$2:$BB$201,MATCH($C200,Références!$A$2:$A$201,0)),"PDF")))</f>
        <v/>
      </c>
    </row>
    <row r="201" spans="2:12" ht="30" customHeight="1" x14ac:dyDescent="0.25">
      <c r="B201" s="64">
        <v>8</v>
      </c>
      <c r="C201" s="38" t="str">
        <f>IFERROR(INDEX(Références!$A$2:$A$201,MATCH("6-8",Références!$AY$2:$AY$201,0)),"")</f>
        <v>BIB-109</v>
      </c>
      <c r="D201" s="3" t="str">
        <f>IF($C201="","",INDEX(Références!$C$2:$C$201,MATCH($C201,Références!$A$2:$A$201,0)))</f>
        <v>Weissman (1999)</v>
      </c>
      <c r="E201" s="3" t="str">
        <f>IF($C201="","",INDEX(Références!$D$2:$D$201,MATCH($C201,Références!$A$2:$A$201,0)))</f>
        <v>Influence of tire-pavement contact stress distribution on development of distress mechanisms in pavements</v>
      </c>
      <c r="F201" s="38" t="str">
        <f>IF($C201="","",INDEX(Références!$H$2:$H$201,MATCH($C201,Références!$A$2:$A$201,0)))</f>
        <v>Important</v>
      </c>
      <c r="G201" s="64">
        <f>IF($C201="","",INDEX(Références!$G$2:$G$201,MATCH($C201,Références!$A$2:$A$201,0)))</f>
        <v>6</v>
      </c>
      <c r="H201" s="38" t="str">
        <f>IF($C201="","",INDEX(Références!$J$2:$J$201,MATCH($C201,Références!$A$2:$A$201,0)))</f>
        <v>À lire</v>
      </c>
      <c r="I201" s="38" t="str">
        <f ca="1">IF($C201="","",INDEX(Références!$K$2:$K$201,MATCH($C201,Références!$A$2:$A$201,0)))</f>
        <v>À venir</v>
      </c>
      <c r="J201" s="64">
        <f>IF($C201="","",INDEX(Références!$AT$2:$AT$201,MATCH($C201,Références!$A$2:$A$201,0)))</f>
        <v>3</v>
      </c>
      <c r="K201" s="65" t="str">
        <f>IF($C201="","",HYPERLINK(INDEX(Références!$AF$2:$AF$201,MATCH($C201,Références!$A$2:$A$201,0)),"Ouvrir"))</f>
        <v>Ouvrir</v>
      </c>
      <c r="L201" s="65" t="str">
        <f>IF($C201="","",IF(INDEX(Références!$BB$2:$BB$201,MATCH($C201,Références!$A$2:$A$201,0))="","",HYPERLINK(DossierPDF&amp;INDEX(Références!$BB$2:$BB$201,MATCH($C201,Références!$A$2:$A$201,0)),"PDF")))</f>
        <v/>
      </c>
    </row>
    <row r="202" spans="2:12" ht="30" customHeight="1" x14ac:dyDescent="0.25">
      <c r="B202" s="64">
        <v>9</v>
      </c>
      <c r="C202" s="38" t="str">
        <f>IFERROR(INDEX(Références!$A$2:$A$201,MATCH("6-9",Références!$AY$2:$AY$201,0)),"")</f>
        <v>BIB-110</v>
      </c>
      <c r="D202" s="3" t="str">
        <f>IF($C202="","",INDEX(Références!$C$2:$C$201,MATCH($C202,Références!$A$2:$A$201,0)))</f>
        <v>FAA (2021)</v>
      </c>
      <c r="E202" s="3" t="str">
        <f>IF($C202="","",INDEX(Références!$D$2:$D$201,MATCH($C202,Références!$A$2:$A$201,0)))</f>
        <v>Airport Pavement Design and Evaluation</v>
      </c>
      <c r="F202" s="38" t="str">
        <f>IF($C202="","",INDEX(Références!$H$2:$H$201,MATCH($C202,Références!$A$2:$A$201,0)))</f>
        <v>Important</v>
      </c>
      <c r="G202" s="64">
        <f>IF($C202="","",INDEX(Références!$G$2:$G$201,MATCH($C202,Références!$A$2:$A$201,0)))</f>
        <v>7</v>
      </c>
      <c r="H202" s="38" t="str">
        <f>IF($C202="","",INDEX(Références!$J$2:$J$201,MATCH($C202,Références!$A$2:$A$201,0)))</f>
        <v>À lire</v>
      </c>
      <c r="I202" s="38" t="str">
        <f ca="1">IF($C202="","",INDEX(Références!$K$2:$K$201,MATCH($C202,Références!$A$2:$A$201,0)))</f>
        <v>À venir</v>
      </c>
      <c r="J202" s="64">
        <f>IF($C202="","",INDEX(Références!$AT$2:$AT$201,MATCH($C202,Références!$A$2:$A$201,0)))</f>
        <v>3</v>
      </c>
      <c r="K202" s="65" t="str">
        <f>IF($C202="","",HYPERLINK(INDEX(Références!$AF$2:$AF$201,MATCH($C202,Références!$A$2:$A$201,0)),"Ouvrir"))</f>
        <v>Ouvrir</v>
      </c>
      <c r="L202" s="65" t="str">
        <f>IF($C202="","",IF(INDEX(Références!$BB$2:$BB$201,MATCH($C202,Références!$A$2:$A$201,0))="","",HYPERLINK(DossierPDF&amp;INDEX(Références!$BB$2:$BB$201,MATCH($C202,Références!$A$2:$A$201,0)),"PDF")))</f>
        <v/>
      </c>
    </row>
    <row r="203" spans="2:12" ht="30" customHeight="1" x14ac:dyDescent="0.25">
      <c r="B203" s="64">
        <v>10</v>
      </c>
      <c r="C203" s="38" t="str">
        <f>IFERROR(INDEX(Références!$A$2:$A$201,MATCH("6-10",Références!$AY$2:$AY$201,0)),"")</f>
        <v>BIB-111</v>
      </c>
      <c r="D203" s="3" t="str">
        <f>IF($C203="","",INDEX(Références!$C$2:$C$201,MATCH($C203,Références!$A$2:$A$201,0)))</f>
        <v>FAA (2022)</v>
      </c>
      <c r="E203" s="3" t="str">
        <f>IF($C203="","",INDEX(Références!$D$2:$D$201,MATCH($C203,Références!$A$2:$A$201,0)))</f>
        <v>Standardized Method of Reporting Airport Pavement Strength – PCR</v>
      </c>
      <c r="F203" s="38" t="str">
        <f>IF($C203="","",INDEX(Références!$H$2:$H$201,MATCH($C203,Références!$A$2:$A$201,0)))</f>
        <v>Important</v>
      </c>
      <c r="G203" s="64">
        <f>IF($C203="","",INDEX(Références!$G$2:$G$201,MATCH($C203,Références!$A$2:$A$201,0)))</f>
        <v>7</v>
      </c>
      <c r="H203" s="38" t="str">
        <f>IF($C203="","",INDEX(Références!$J$2:$J$201,MATCH($C203,Références!$A$2:$A$201,0)))</f>
        <v>À lire</v>
      </c>
      <c r="I203" s="38" t="str">
        <f ca="1">IF($C203="","",INDEX(Références!$K$2:$K$201,MATCH($C203,Références!$A$2:$A$201,0)))</f>
        <v>À venir</v>
      </c>
      <c r="J203" s="64">
        <f>IF($C203="","",INDEX(Références!$AT$2:$AT$201,MATCH($C203,Références!$A$2:$A$201,0)))</f>
        <v>3</v>
      </c>
      <c r="K203" s="65" t="str">
        <f>IF($C203="","",HYPERLINK(INDEX(Références!$AF$2:$AF$201,MATCH($C203,Références!$A$2:$A$201,0)),"Ouvrir"))</f>
        <v>Ouvrir</v>
      </c>
      <c r="L203" s="65" t="str">
        <f>IF($C203="","",IF(INDEX(Références!$BB$2:$BB$201,MATCH($C203,Références!$A$2:$A$201,0))="","",HYPERLINK(DossierPDF&amp;INDEX(Références!$BB$2:$BB$201,MATCH($C203,Références!$A$2:$A$201,0)),"PDF")))</f>
        <v/>
      </c>
    </row>
    <row r="204" spans="2:12" ht="30" customHeight="1" x14ac:dyDescent="0.25">
      <c r="B204" s="64">
        <v>11</v>
      </c>
      <c r="C204" s="38" t="str">
        <f>IFERROR(INDEX(Références!$A$2:$A$201,MATCH("6-11",Références!$AY$2:$AY$201,0)),"")</f>
        <v>BIB-112</v>
      </c>
      <c r="D204" s="3" t="str">
        <f>IF($C204="","",INDEX(Références!$C$2:$C$201,MATCH($C204,Références!$A$2:$A$201,0)))</f>
        <v>HoSang (1975)</v>
      </c>
      <c r="E204" s="3" t="str">
        <f>IF($C204="","",INDEX(Références!$D$2:$D$201,MATCH($C204,Références!$A$2:$A$201,0)))</f>
        <v>Field survey and analysis of aircraft distribution on airport pavements</v>
      </c>
      <c r="F204" s="38" t="str">
        <f>IF($C204="","",INDEX(Références!$H$2:$H$201,MATCH($C204,Références!$A$2:$A$201,0)))</f>
        <v>Important</v>
      </c>
      <c r="G204" s="64">
        <f>IF($C204="","",INDEX(Références!$G$2:$G$201,MATCH($C204,Références!$A$2:$A$201,0)))</f>
        <v>7</v>
      </c>
      <c r="H204" s="38" t="str">
        <f>IF($C204="","",INDEX(Références!$J$2:$J$201,MATCH($C204,Références!$A$2:$A$201,0)))</f>
        <v>À lire</v>
      </c>
      <c r="I204" s="38" t="str">
        <f ca="1">IF($C204="","",INDEX(Références!$K$2:$K$201,MATCH($C204,Références!$A$2:$A$201,0)))</f>
        <v>À venir</v>
      </c>
      <c r="J204" s="64">
        <f>IF($C204="","",INDEX(Références!$AT$2:$AT$201,MATCH($C204,Références!$A$2:$A$201,0)))</f>
        <v>3</v>
      </c>
      <c r="K204" s="65" t="str">
        <f>IF($C204="","",HYPERLINK(INDEX(Références!$AF$2:$AF$201,MATCH($C204,Références!$A$2:$A$201,0)),"Ouvrir"))</f>
        <v>Ouvrir</v>
      </c>
      <c r="L204" s="65" t="str">
        <f>IF($C204="","",IF(INDEX(Références!$BB$2:$BB$201,MATCH($C204,Références!$A$2:$A$201,0))="","",HYPERLINK(DossierPDF&amp;INDEX(Références!$BB$2:$BB$201,MATCH($C204,Références!$A$2:$A$201,0)),"PDF")))</f>
        <v/>
      </c>
    </row>
    <row r="205" spans="2:12" ht="30" customHeight="1" x14ac:dyDescent="0.25">
      <c r="B205" s="64">
        <v>12</v>
      </c>
      <c r="C205" s="38" t="str">
        <f>IFERROR(INDEX(Références!$A$2:$A$201,MATCH("6-12",Références!$AY$2:$AY$201,0)),"")</f>
        <v>BIB-113</v>
      </c>
      <c r="D205" s="3" t="str">
        <f>IF($C205="","",INDEX(Références!$C$2:$C$201,MATCH($C205,Références!$A$2:$A$201,0)))</f>
        <v>OACI (2022)</v>
      </c>
      <c r="E205" s="3" t="str">
        <f>IF($C205="","",INDEX(Références!$D$2:$D$201,MATCH($C205,Références!$A$2:$A$201,0)))</f>
        <v>Annexe 14 — Aérodromes, Volume I : Conception et exploitation technique des aérodromes (9e édition)</v>
      </c>
      <c r="F205" s="38" t="str">
        <f>IF($C205="","",INDEX(Références!$H$2:$H$201,MATCH($C205,Références!$A$2:$A$201,0)))</f>
        <v>Important</v>
      </c>
      <c r="G205" s="64">
        <f>IF($C205="","",INDEX(Références!$G$2:$G$201,MATCH($C205,Références!$A$2:$A$201,0)))</f>
        <v>7</v>
      </c>
      <c r="H205" s="38" t="str">
        <f>IF($C205="","",INDEX(Références!$J$2:$J$201,MATCH($C205,Références!$A$2:$A$201,0)))</f>
        <v>À lire</v>
      </c>
      <c r="I205" s="38" t="str">
        <f ca="1">IF($C205="","",INDEX(Références!$K$2:$K$201,MATCH($C205,Références!$A$2:$A$201,0)))</f>
        <v>À venir</v>
      </c>
      <c r="J205" s="64">
        <f>IF($C205="","",INDEX(Références!$AT$2:$AT$201,MATCH($C205,Références!$A$2:$A$201,0)))</f>
        <v>3</v>
      </c>
      <c r="K205" s="65" t="str">
        <f>IF($C205="","",HYPERLINK(INDEX(Références!$AF$2:$AF$201,MATCH($C205,Références!$A$2:$A$201,0)),"Ouvrir"))</f>
        <v>Ouvrir</v>
      </c>
      <c r="L205" s="65" t="str">
        <f>IF($C205="","",IF(INDEX(Références!$BB$2:$BB$201,MATCH($C205,Références!$A$2:$A$201,0))="","",HYPERLINK(DossierPDF&amp;INDEX(Références!$BB$2:$BB$201,MATCH($C205,Références!$A$2:$A$201,0)),"PDF")))</f>
        <v/>
      </c>
    </row>
    <row r="206" spans="2:12" ht="30" customHeight="1" x14ac:dyDescent="0.25">
      <c r="B206" s="64">
        <v>13</v>
      </c>
      <c r="C206" s="38" t="str">
        <f>IFERROR(INDEX(Références!$A$2:$A$201,MATCH("6-13",Références!$AY$2:$AY$201,0)),"")</f>
        <v>BIB-114</v>
      </c>
      <c r="D206" s="3" t="str">
        <f>IF($C206="","",INDEX(Références!$C$2:$C$201,MATCH($C206,Références!$A$2:$A$201,0)))</f>
        <v>OACI (2022)</v>
      </c>
      <c r="E206" s="3" t="str">
        <f>IF($C206="","",INDEX(Références!$D$2:$D$201,MATCH($C206,Références!$A$2:$A$201,0)))</f>
        <v>Aerodrome Design Manual, Part 3 — Pavements (3rd edition)</v>
      </c>
      <c r="F206" s="38" t="str">
        <f>IF($C206="","",INDEX(Références!$H$2:$H$201,MATCH($C206,Références!$A$2:$A$201,0)))</f>
        <v>Important</v>
      </c>
      <c r="G206" s="64">
        <f>IF($C206="","",INDEX(Références!$G$2:$G$201,MATCH($C206,Références!$A$2:$A$201,0)))</f>
        <v>7</v>
      </c>
      <c r="H206" s="38" t="str">
        <f>IF($C206="","",INDEX(Références!$J$2:$J$201,MATCH($C206,Références!$A$2:$A$201,0)))</f>
        <v>À lire</v>
      </c>
      <c r="I206" s="38" t="str">
        <f ca="1">IF($C206="","",INDEX(Références!$K$2:$K$201,MATCH($C206,Références!$A$2:$A$201,0)))</f>
        <v>À venir</v>
      </c>
      <c r="J206" s="64">
        <f>IF($C206="","",INDEX(Références!$AT$2:$AT$201,MATCH($C206,Références!$A$2:$A$201,0)))</f>
        <v>3</v>
      </c>
      <c r="K206" s="65" t="str">
        <f>IF($C206="","",HYPERLINK(INDEX(Références!$AF$2:$AF$201,MATCH($C206,Références!$A$2:$A$201,0)),"Ouvrir"))</f>
        <v>Ouvrir</v>
      </c>
      <c r="L206" s="65" t="str">
        <f>IF($C206="","",IF(INDEX(Références!$BB$2:$BB$201,MATCH($C206,Références!$A$2:$A$201,0))="","",HYPERLINK(DossierPDF&amp;INDEX(Références!$BB$2:$BB$201,MATCH($C206,Références!$A$2:$A$201,0)),"PDF")))</f>
        <v/>
      </c>
    </row>
    <row r="207" spans="2:12" ht="30" customHeight="1" x14ac:dyDescent="0.25">
      <c r="B207" s="64">
        <v>14</v>
      </c>
      <c r="C207" s="38" t="str">
        <f>IFERROR(INDEX(Références!$A$2:$A$201,MATCH("6-14",Références!$AY$2:$AY$201,0)),"")</f>
        <v>BIB-115</v>
      </c>
      <c r="D207" s="3" t="str">
        <f>IF($C207="","",INDEX(Références!$C$2:$C$201,MATCH($C207,Références!$A$2:$A$201,0)))</f>
        <v>Roginski (2007)</v>
      </c>
      <c r="E207" s="3" t="str">
        <f>IF($C207="","",INDEX(Références!$D$2:$D$201,MATCH($C207,Références!$A$2:$A$201,0)))</f>
        <v>Effects of aircraft tire pressures on flexible pavements</v>
      </c>
      <c r="F207" s="38" t="str">
        <f>IF($C207="","",INDEX(Références!$H$2:$H$201,MATCH($C207,Références!$A$2:$A$201,0)))</f>
        <v>Important</v>
      </c>
      <c r="G207" s="64">
        <f>IF($C207="","",INDEX(Références!$G$2:$G$201,MATCH($C207,Références!$A$2:$A$201,0)))</f>
        <v>7</v>
      </c>
      <c r="H207" s="38" t="str">
        <f>IF($C207="","",INDEX(Références!$J$2:$J$201,MATCH($C207,Références!$A$2:$A$201,0)))</f>
        <v>À lire</v>
      </c>
      <c r="I207" s="38" t="str">
        <f ca="1">IF($C207="","",INDEX(Références!$K$2:$K$201,MATCH($C207,Références!$A$2:$A$201,0)))</f>
        <v>À venir</v>
      </c>
      <c r="J207" s="64">
        <f>IF($C207="","",INDEX(Références!$AT$2:$AT$201,MATCH($C207,Références!$A$2:$A$201,0)))</f>
        <v>3</v>
      </c>
      <c r="K207" s="65" t="str">
        <f>IF($C207="","",HYPERLINK(INDEX(Références!$AF$2:$AF$201,MATCH($C207,Références!$A$2:$A$201,0)),"Ouvrir"))</f>
        <v>Ouvrir</v>
      </c>
      <c r="L207" s="65" t="str">
        <f>IF($C207="","",IF(INDEX(Références!$BB$2:$BB$201,MATCH($C207,Références!$A$2:$A$201,0))="","",HYPERLINK(DossierPDF&amp;INDEX(Références!$BB$2:$BB$201,MATCH($C207,Références!$A$2:$A$201,0)),"PDF")))</f>
        <v/>
      </c>
    </row>
    <row r="208" spans="2:12" ht="30" customHeight="1" x14ac:dyDescent="0.25">
      <c r="B208" s="64">
        <v>15</v>
      </c>
      <c r="C208" s="38" t="str">
        <f>IFERROR(INDEX(Références!$A$2:$A$201,MATCH("6-15",Références!$AY$2:$AY$201,0)),"")</f>
        <v>BIB-116</v>
      </c>
      <c r="D208" s="3" t="str">
        <f>IF($C208="","",INDEX(Références!$C$2:$C$201,MATCH($C208,Références!$A$2:$A$201,0)))</f>
        <v>Travailleur &amp; Broutin (2022)</v>
      </c>
      <c r="E208" s="3" t="str">
        <f>IF($C208="","",INDEX(Références!$D$2:$D$201,MATCH($C208,Références!$A$2:$A$201,0)))</f>
        <v>Méthode ACR/PCR d'admissibilité des aéronefs</v>
      </c>
      <c r="F208" s="38" t="str">
        <f>IF($C208="","",INDEX(Références!$H$2:$H$201,MATCH($C208,Références!$A$2:$A$201,0)))</f>
        <v>Important</v>
      </c>
      <c r="G208" s="64">
        <f>IF($C208="","",INDEX(Références!$G$2:$G$201,MATCH($C208,Références!$A$2:$A$201,0)))</f>
        <v>7</v>
      </c>
      <c r="H208" s="38" t="str">
        <f>IF($C208="","",INDEX(Références!$J$2:$J$201,MATCH($C208,Références!$A$2:$A$201,0)))</f>
        <v>À lire</v>
      </c>
      <c r="I208" s="38" t="str">
        <f ca="1">IF($C208="","",INDEX(Références!$K$2:$K$201,MATCH($C208,Références!$A$2:$A$201,0)))</f>
        <v>À venir</v>
      </c>
      <c r="J208" s="64">
        <f>IF($C208="","",INDEX(Références!$AT$2:$AT$201,MATCH($C208,Références!$A$2:$A$201,0)))</f>
        <v>3</v>
      </c>
      <c r="K208" s="65" t="str">
        <f>IF($C208="","",HYPERLINK(INDEX(Références!$AF$2:$AF$201,MATCH($C208,Références!$A$2:$A$201,0)),"Ouvrir"))</f>
        <v>Ouvrir</v>
      </c>
      <c r="L208" s="65" t="str">
        <f>IF($C208="","",IF(INDEX(Références!$BB$2:$BB$201,MATCH($C208,Références!$A$2:$A$201,0))="","",HYPERLINK(DossierPDF&amp;INDEX(Références!$BB$2:$BB$201,MATCH($C208,Références!$A$2:$A$201,0)),"PDF")))</f>
        <v/>
      </c>
    </row>
    <row r="209" spans="2:12" ht="30" customHeight="1" x14ac:dyDescent="0.25">
      <c r="B209" s="64">
        <v>16</v>
      </c>
      <c r="C209" s="38" t="str">
        <f>IFERROR(INDEX(Références!$A$2:$A$201,MATCH("6-16",Références!$AY$2:$AY$201,0)),"")</f>
        <v>BIB-117</v>
      </c>
      <c r="D209" s="3" t="str">
        <f>IF($C209="","",INDEX(Références!$C$2:$C$201,MATCH($C209,Références!$A$2:$A$201,0)))</f>
        <v>AFNOR (2019)</v>
      </c>
      <c r="E209" s="3" t="str">
        <f>IF($C209="","",INDEX(Références!$D$2:$D$201,MATCH($C209,Références!$A$2:$A$201,0)))</f>
        <v>NF EN 12697-24 — Mélanges bitumineux — Méthodes d'essai — Partie 24 : résistance à la fatigue</v>
      </c>
      <c r="F209" s="38" t="str">
        <f>IF($C209="","",INDEX(Références!$H$2:$H$201,MATCH($C209,Références!$A$2:$A$201,0)))</f>
        <v>A consulter</v>
      </c>
      <c r="G209" s="64">
        <f>IF($C209="","",INDEX(Références!$G$2:$G$201,MATCH($C209,Références!$A$2:$A$201,0)))</f>
        <v>6</v>
      </c>
      <c r="H209" s="38" t="str">
        <f>IF($C209="","",INDEX(Références!$J$2:$J$201,MATCH($C209,Références!$A$2:$A$201,0)))</f>
        <v>À lire</v>
      </c>
      <c r="I209" s="38" t="str">
        <f ca="1">IF($C209="","",INDEX(Références!$K$2:$K$201,MATCH($C209,Références!$A$2:$A$201,0)))</f>
        <v>À venir</v>
      </c>
      <c r="J209" s="64">
        <f>IF($C209="","",INDEX(Références!$AT$2:$AT$201,MATCH($C209,Références!$A$2:$A$201,0)))</f>
        <v>1</v>
      </c>
      <c r="K209" s="65" t="str">
        <f>IF($C209="","",HYPERLINK(INDEX(Références!$AF$2:$AF$201,MATCH($C209,Références!$A$2:$A$201,0)),"Ouvrir"))</f>
        <v>Ouvrir</v>
      </c>
      <c r="L209" s="65" t="str">
        <f>IF($C209="","",IF(INDEX(Références!$BB$2:$BB$201,MATCH($C209,Références!$A$2:$A$201,0))="","",HYPERLINK(DossierPDF&amp;INDEX(Références!$BB$2:$BB$201,MATCH($C209,Références!$A$2:$A$201,0)),"PDF")))</f>
        <v/>
      </c>
    </row>
    <row r="210" spans="2:12" ht="30" customHeight="1" x14ac:dyDescent="0.25">
      <c r="B210" s="64">
        <v>17</v>
      </c>
      <c r="C210" s="38" t="str">
        <f>IFERROR(INDEX(Références!$A$2:$A$201,MATCH("6-17",Références!$AY$2:$AY$201,0)),"")</f>
        <v>BIB-118</v>
      </c>
      <c r="D210" s="3" t="str">
        <f>IF($C210="","",INDEX(Références!$C$2:$C$201,MATCH($C210,Références!$A$2:$A$201,0)))</f>
        <v>Garg et al. (2018)</v>
      </c>
      <c r="E210" s="3" t="str">
        <f>IF($C210="","",INDEX(Références!$D$2:$D$201,MATCH($C210,Références!$A$2:$A$201,0)))</f>
        <v>Rutting evaluation of hot and warm mix asphalt concrete under high aircraft tire pressure and temperature at National Airport Pavement and Materials Research Center</v>
      </c>
      <c r="F210" s="38" t="str">
        <f>IF($C210="","",INDEX(Références!$H$2:$H$201,MATCH($C210,Références!$A$2:$A$201,0)))</f>
        <v>A consulter</v>
      </c>
      <c r="G210" s="64">
        <f>IF($C210="","",INDEX(Références!$G$2:$G$201,MATCH($C210,Références!$A$2:$A$201,0)))</f>
        <v>6</v>
      </c>
      <c r="H210" s="38" t="str">
        <f>IF($C210="","",INDEX(Références!$J$2:$J$201,MATCH($C210,Références!$A$2:$A$201,0)))</f>
        <v>À lire</v>
      </c>
      <c r="I210" s="38" t="str">
        <f ca="1">IF($C210="","",INDEX(Références!$K$2:$K$201,MATCH($C210,Références!$A$2:$A$201,0)))</f>
        <v>À venir</v>
      </c>
      <c r="J210" s="64">
        <f>IF($C210="","",INDEX(Références!$AT$2:$AT$201,MATCH($C210,Références!$A$2:$A$201,0)))</f>
        <v>1</v>
      </c>
      <c r="K210" s="65" t="str">
        <f>IF($C210="","",HYPERLINK(INDEX(Références!$AF$2:$AF$201,MATCH($C210,Références!$A$2:$A$201,0)),"Ouvrir"))</f>
        <v>Ouvrir</v>
      </c>
      <c r="L210" s="65" t="str">
        <f>IF($C210="","",IF(INDEX(Références!$BB$2:$BB$201,MATCH($C210,Références!$A$2:$A$201,0))="","",HYPERLINK(DossierPDF&amp;INDEX(Références!$BB$2:$BB$201,MATCH($C210,Références!$A$2:$A$201,0)),"PDF")))</f>
        <v/>
      </c>
    </row>
    <row r="211" spans="2:12" ht="30" customHeight="1" x14ac:dyDescent="0.25">
      <c r="B211" s="64">
        <v>18</v>
      </c>
      <c r="C211" s="38" t="str">
        <f>IFERROR(INDEX(Références!$A$2:$A$201,MATCH("6-18",Références!$AY$2:$AY$201,0)),"")</f>
        <v>BIB-119</v>
      </c>
      <c r="D211" s="3" t="str">
        <f>IF($C211="","",INDEX(Références!$C$2:$C$201,MATCH($C211,Références!$A$2:$A$201,0)))</f>
        <v>Guo et al. (2025)</v>
      </c>
      <c r="E211" s="3" t="str">
        <f>IF($C211="","",INDEX(Références!$D$2:$D$201,MATCH($C211,Références!$A$2:$A$201,0)))</f>
        <v>Analysis of tire contact stresses and asphalt pavement rutting under gradient temperature and typical driving conditions</v>
      </c>
      <c r="F211" s="38" t="str">
        <f>IF($C211="","",INDEX(Références!$H$2:$H$201,MATCH($C211,Références!$A$2:$A$201,0)))</f>
        <v>A consulter</v>
      </c>
      <c r="G211" s="64">
        <f>IF($C211="","",INDEX(Références!$G$2:$G$201,MATCH($C211,Références!$A$2:$A$201,0)))</f>
        <v>6</v>
      </c>
      <c r="H211" s="38" t="str">
        <f>IF($C211="","",INDEX(Références!$J$2:$J$201,MATCH($C211,Références!$A$2:$A$201,0)))</f>
        <v>À lire</v>
      </c>
      <c r="I211" s="38" t="str">
        <f ca="1">IF($C211="","",INDEX(Références!$K$2:$K$201,MATCH($C211,Références!$A$2:$A$201,0)))</f>
        <v>À venir</v>
      </c>
      <c r="J211" s="64">
        <f>IF($C211="","",INDEX(Références!$AT$2:$AT$201,MATCH($C211,Références!$A$2:$A$201,0)))</f>
        <v>1</v>
      </c>
      <c r="K211" s="65" t="str">
        <f>IF($C211="","",HYPERLINK(INDEX(Références!$AF$2:$AF$201,MATCH($C211,Références!$A$2:$A$201,0)),"Ouvrir"))</f>
        <v>Ouvrir</v>
      </c>
      <c r="L211" s="65" t="str">
        <f>IF($C211="","",IF(INDEX(Références!$BB$2:$BB$201,MATCH($C211,Références!$A$2:$A$201,0))="","",HYPERLINK(DossierPDF&amp;INDEX(Références!$BB$2:$BB$201,MATCH($C211,Références!$A$2:$A$201,0)),"PDF")))</f>
        <v/>
      </c>
    </row>
    <row r="212" spans="2:12" ht="30" customHeight="1" x14ac:dyDescent="0.25">
      <c r="B212" s="64">
        <v>19</v>
      </c>
      <c r="C212" s="38" t="str">
        <f>IFERROR(INDEX(Références!$A$2:$A$201,MATCH("6-19",Références!$AY$2:$AY$201,0)),"")</f>
        <v>BIB-120</v>
      </c>
      <c r="D212" s="3" t="str">
        <f>IF($C212="","",INDEX(Références!$C$2:$C$201,MATCH($C212,Références!$A$2:$A$201,0)))</f>
        <v>Miner (1945)</v>
      </c>
      <c r="E212" s="3" t="str">
        <f>IF($C212="","",INDEX(Références!$D$2:$D$201,MATCH($C212,Références!$A$2:$A$201,0)))</f>
        <v>Cumulative damage in fatigue</v>
      </c>
      <c r="F212" s="38" t="str">
        <f>IF($C212="","",INDEX(Références!$H$2:$H$201,MATCH($C212,Références!$A$2:$A$201,0)))</f>
        <v>A consulter</v>
      </c>
      <c r="G212" s="64">
        <f>IF($C212="","",INDEX(Références!$G$2:$G$201,MATCH($C212,Références!$A$2:$A$201,0)))</f>
        <v>6</v>
      </c>
      <c r="H212" s="38" t="str">
        <f>IF($C212="","",INDEX(Références!$J$2:$J$201,MATCH($C212,Références!$A$2:$A$201,0)))</f>
        <v>À lire</v>
      </c>
      <c r="I212" s="38" t="str">
        <f ca="1">IF($C212="","",INDEX(Références!$K$2:$K$201,MATCH($C212,Références!$A$2:$A$201,0)))</f>
        <v>À venir</v>
      </c>
      <c r="J212" s="64">
        <f>IF($C212="","",INDEX(Références!$AT$2:$AT$201,MATCH($C212,Références!$A$2:$A$201,0)))</f>
        <v>1</v>
      </c>
      <c r="K212" s="65" t="str">
        <f>IF($C212="","",HYPERLINK(INDEX(Références!$AF$2:$AF$201,MATCH($C212,Références!$A$2:$A$201,0)),"Ouvrir"))</f>
        <v>Ouvrir</v>
      </c>
      <c r="L212" s="65" t="str">
        <f>IF($C212="","",IF(INDEX(Références!$BB$2:$BB$201,MATCH($C212,Références!$A$2:$A$201,0))="","",HYPERLINK(DossierPDF&amp;INDEX(Références!$BB$2:$BB$201,MATCH($C212,Références!$A$2:$A$201,0)),"PDF")))</f>
        <v/>
      </c>
    </row>
    <row r="213" spans="2:12" ht="30" customHeight="1" x14ac:dyDescent="0.25">
      <c r="B213" s="64">
        <v>20</v>
      </c>
      <c r="C213" s="38" t="str">
        <f>IFERROR(INDEX(Références!$A$2:$A$201,MATCH("6-20",Références!$AY$2:$AY$201,0)),"")</f>
        <v>BIB-121</v>
      </c>
      <c r="D213" s="3" t="str">
        <f>IF($C213="","",INDEX(Références!$C$2:$C$201,MATCH($C213,Références!$A$2:$A$201,0)))</f>
        <v>Bazi et al. (2021)</v>
      </c>
      <c r="E213" s="3" t="str">
        <f>IF($C213="","",INDEX(Références!$D$2:$D$201,MATCH($C213,Références!$A$2:$A$201,0)))</f>
        <v>Instrumented flexible pavement responses under aircraft loading</v>
      </c>
      <c r="F213" s="38" t="str">
        <f>IF($C213="","",INDEX(Références!$H$2:$H$201,MATCH($C213,Références!$A$2:$A$201,0)))</f>
        <v>A consulter</v>
      </c>
      <c r="G213" s="64">
        <f>IF($C213="","",INDEX(Références!$G$2:$G$201,MATCH($C213,Références!$A$2:$A$201,0)))</f>
        <v>7</v>
      </c>
      <c r="H213" s="38" t="str">
        <f>IF($C213="","",INDEX(Références!$J$2:$J$201,MATCH($C213,Références!$A$2:$A$201,0)))</f>
        <v>À lire</v>
      </c>
      <c r="I213" s="38" t="str">
        <f ca="1">IF($C213="","",INDEX(Références!$K$2:$K$201,MATCH($C213,Références!$A$2:$A$201,0)))</f>
        <v>À venir</v>
      </c>
      <c r="J213" s="64">
        <f>IF($C213="","",INDEX(Références!$AT$2:$AT$201,MATCH($C213,Références!$A$2:$A$201,0)))</f>
        <v>1</v>
      </c>
      <c r="K213" s="65" t="str">
        <f>IF($C213="","",HYPERLINK(INDEX(Références!$AF$2:$AF$201,MATCH($C213,Références!$A$2:$A$201,0)),"Ouvrir"))</f>
        <v>Ouvrir</v>
      </c>
      <c r="L213" s="65" t="str">
        <f>IF($C213="","",IF(INDEX(Références!$BB$2:$BB$201,MATCH($C213,Références!$A$2:$A$201,0))="","",HYPERLINK(DossierPDF&amp;INDEX(Références!$BB$2:$BB$201,MATCH($C213,Références!$A$2:$A$201,0)),"PDF")))</f>
        <v/>
      </c>
    </row>
    <row r="214" spans="2:12" ht="30" customHeight="1" x14ac:dyDescent="0.25">
      <c r="B214" s="64">
        <v>21</v>
      </c>
      <c r="C214" s="38" t="str">
        <f>IFERROR(INDEX(Références!$A$2:$A$201,MATCH("6-21",Références!$AY$2:$AY$201,0)),"")</f>
        <v>BIB-122</v>
      </c>
      <c r="D214" s="3" t="str">
        <f>IF($C214="","",INDEX(Références!$C$2:$C$201,MATCH($C214,Références!$A$2:$A$201,0)))</f>
        <v>FAA (2024)</v>
      </c>
      <c r="E214" s="3" t="str">
        <f>IF($C214="","",INDEX(Références!$D$2:$D$201,MATCH($C214,Références!$A$2:$A$201,0)))</f>
        <v>FAARFIELD 2.1 — Airport pavement thickness design and evaluation software</v>
      </c>
      <c r="F214" s="38" t="str">
        <f>IF($C214="","",INDEX(Références!$H$2:$H$201,MATCH($C214,Références!$A$2:$A$201,0)))</f>
        <v>A consulter</v>
      </c>
      <c r="G214" s="64">
        <f>IF($C214="","",INDEX(Références!$G$2:$G$201,MATCH($C214,Références!$A$2:$A$201,0)))</f>
        <v>7</v>
      </c>
      <c r="H214" s="38" t="str">
        <f>IF($C214="","",INDEX(Références!$J$2:$J$201,MATCH($C214,Références!$A$2:$A$201,0)))</f>
        <v>À lire</v>
      </c>
      <c r="I214" s="38" t="str">
        <f ca="1">IF($C214="","",INDEX(Références!$K$2:$K$201,MATCH($C214,Références!$A$2:$A$201,0)))</f>
        <v>À venir</v>
      </c>
      <c r="J214" s="64">
        <f>IF($C214="","",INDEX(Références!$AT$2:$AT$201,MATCH($C214,Références!$A$2:$A$201,0)))</f>
        <v>1</v>
      </c>
      <c r="K214" s="65" t="str">
        <f>IF($C214="","",HYPERLINK(INDEX(Références!$AF$2:$AF$201,MATCH($C214,Références!$A$2:$A$201,0)),"Ouvrir"))</f>
        <v>Ouvrir</v>
      </c>
      <c r="L214" s="65" t="str">
        <f>IF($C214="","",IF(INDEX(Références!$BB$2:$BB$201,MATCH($C214,Références!$A$2:$A$201,0))="","",HYPERLINK(DossierPDF&amp;INDEX(Références!$BB$2:$BB$201,MATCH($C214,Références!$A$2:$A$201,0)),"PDF")))</f>
        <v/>
      </c>
    </row>
    <row r="215" spans="2:12" ht="30" customHeight="1" x14ac:dyDescent="0.25">
      <c r="B215" s="64">
        <v>22</v>
      </c>
      <c r="C215" s="38" t="str">
        <f>IFERROR(INDEX(Références!$A$2:$A$201,MATCH("6-22",Références!$AY$2:$AY$201,0)),"")</f>
        <v>BIB-149</v>
      </c>
      <c r="D215" s="3" t="str">
        <f>IF($C215="","",INDEX(Références!$C$2:$C$201,MATCH($C215,Références!$A$2:$A$201,0)))</f>
        <v>Persson et al. (2005)</v>
      </c>
      <c r="E215" s="3" t="str">
        <f>IF($C215="","",INDEX(Références!$D$2:$D$201,MATCH($C215,Références!$A$2:$A$201,0)))</f>
        <v>On the nature of surface roughness with application to contact mechanics, sealing, rubber friction and adhesion</v>
      </c>
      <c r="F215" s="38" t="str">
        <f>IF($C215="","",INDEX(Références!$H$2:$H$201,MATCH($C215,Références!$A$2:$A$201,0)))</f>
        <v>Important</v>
      </c>
      <c r="G215" s="64">
        <f>IF($C215="","",INDEX(Références!$G$2:$G$201,MATCH($C215,Références!$A$2:$A$201,0)))</f>
        <v>2</v>
      </c>
      <c r="H215" s="38" t="str">
        <f>IF($C215="","",INDEX(Références!$J$2:$J$201,MATCH($C215,Références!$A$2:$A$201,0)))</f>
        <v>À lire</v>
      </c>
      <c r="I215" s="38" t="str">
        <f ca="1">IF($C215="","",INDEX(Références!$K$2:$K$201,MATCH($C215,Références!$A$2:$A$201,0)))</f>
        <v>À venir</v>
      </c>
      <c r="J215" s="64">
        <f>IF($C215="","",INDEX(Références!$AT$2:$AT$201,MATCH($C215,Références!$A$2:$A$201,0)))</f>
        <v>3</v>
      </c>
      <c r="K215" s="65" t="str">
        <f>IF($C215="","",HYPERLINK(INDEX(Références!$AF$2:$AF$201,MATCH($C215,Références!$A$2:$A$201,0)),"Ouvrir"))</f>
        <v>Ouvrir</v>
      </c>
      <c r="L215" s="65" t="str">
        <f>IF($C215="","",IF(INDEX(Références!$BB$2:$BB$201,MATCH($C215,Références!$A$2:$A$201,0))="","",HYPERLINK(DossierPDF&amp;INDEX(Références!$BB$2:$BB$201,MATCH($C215,Références!$A$2:$A$201,0)),"PDF")))</f>
        <v/>
      </c>
    </row>
    <row r="216" spans="2:12" ht="30" customHeight="1" x14ac:dyDescent="0.25">
      <c r="B216" s="64">
        <v>23</v>
      </c>
      <c r="C216" s="38" t="str">
        <f>IFERROR(INDEX(Références!$A$2:$A$201,MATCH("6-23",Références!$AY$2:$AY$201,0)),"")</f>
        <v>BIB-150</v>
      </c>
      <c r="D216" s="3" t="str">
        <f>IF($C216="","",INDEX(Références!$C$2:$C$201,MATCH($C216,Références!$A$2:$A$201,0)))</f>
        <v>Jacobs et al. (2017)</v>
      </c>
      <c r="E216" s="3" t="str">
        <f>IF($C216="","",INDEX(Références!$D$2:$D$201,MATCH($C216,Références!$A$2:$A$201,0)))</f>
        <v>Quantitative characterization of surface topography using spectral analysis</v>
      </c>
      <c r="F216" s="38" t="str">
        <f>IF($C216="","",INDEX(Références!$H$2:$H$201,MATCH($C216,Références!$A$2:$A$201,0)))</f>
        <v>INCONTOURNABLE</v>
      </c>
      <c r="G216" s="64">
        <f>IF($C216="","",INDEX(Références!$G$2:$G$201,MATCH($C216,Références!$A$2:$A$201,0)))</f>
        <v>2</v>
      </c>
      <c r="H216" s="38" t="str">
        <f>IF($C216="","",INDEX(Références!$J$2:$J$201,MATCH($C216,Références!$A$2:$A$201,0)))</f>
        <v>À lire</v>
      </c>
      <c r="I216" s="38" t="str">
        <f ca="1">IF($C216="","",INDEX(Références!$K$2:$K$201,MATCH($C216,Références!$A$2:$A$201,0)))</f>
        <v>À venir</v>
      </c>
      <c r="J216" s="64">
        <f>IF($C216="","",INDEX(Références!$AT$2:$AT$201,MATCH($C216,Références!$A$2:$A$201,0)))</f>
        <v>6</v>
      </c>
      <c r="K216" s="65" t="str">
        <f>IF($C216="","",HYPERLINK(INDEX(Références!$AF$2:$AF$201,MATCH($C216,Références!$A$2:$A$201,0)),"Ouvrir"))</f>
        <v>Ouvrir</v>
      </c>
      <c r="L216" s="65" t="str">
        <f>IF($C216="","",IF(INDEX(Références!$BB$2:$BB$201,MATCH($C216,Références!$A$2:$A$201,0))="","",HYPERLINK(DossierPDF&amp;INDEX(Références!$BB$2:$BB$201,MATCH($C216,Références!$A$2:$A$201,0)),"PDF")))</f>
        <v/>
      </c>
    </row>
    <row r="217" spans="2:12" ht="30" customHeight="1" x14ac:dyDescent="0.25">
      <c r="B217" s="64">
        <v>24</v>
      </c>
      <c r="C217" s="38" t="str">
        <f>IFERROR(INDEX(Références!$A$2:$A$201,MATCH("6-24",Références!$AY$2:$AY$201,0)),"")</f>
        <v>BIB-151</v>
      </c>
      <c r="D217" s="3" t="str">
        <f>IF($C217="","",INDEX(Références!$C$2:$C$201,MATCH($C217,Références!$A$2:$A$201,0)))</f>
        <v>Hu &amp; Tonder (1992)</v>
      </c>
      <c r="E217" s="3" t="str">
        <f>IF($C217="","",INDEX(Références!$D$2:$D$201,MATCH($C217,Références!$A$2:$A$201,0)))</f>
        <v>Simulation of 3-D random rough surface by 2-D digital filter and Fourier analysis</v>
      </c>
      <c r="F217" s="38" t="str">
        <f>IF($C217="","",INDEX(Références!$H$2:$H$201,MATCH($C217,Références!$A$2:$A$201,0)))</f>
        <v>A consulter</v>
      </c>
      <c r="G217" s="64">
        <f>IF($C217="","",INDEX(Références!$G$2:$G$201,MATCH($C217,Références!$A$2:$A$201,0)))</f>
        <v>2</v>
      </c>
      <c r="H217" s="38" t="str">
        <f>IF($C217="","",INDEX(Références!$J$2:$J$201,MATCH($C217,Références!$A$2:$A$201,0)))</f>
        <v>À lire</v>
      </c>
      <c r="I217" s="38" t="str">
        <f ca="1">IF($C217="","",INDEX(Références!$K$2:$K$201,MATCH($C217,Références!$A$2:$A$201,0)))</f>
        <v>À venir</v>
      </c>
      <c r="J217" s="64">
        <f>IF($C217="","",INDEX(Références!$AT$2:$AT$201,MATCH($C217,Références!$A$2:$A$201,0)))</f>
        <v>1</v>
      </c>
      <c r="K217" s="65" t="str">
        <f>IF($C217="","",HYPERLINK(INDEX(Références!$AF$2:$AF$201,MATCH($C217,Références!$A$2:$A$201,0)),"Ouvrir"))</f>
        <v>Ouvrir</v>
      </c>
      <c r="L217" s="65" t="str">
        <f>IF($C217="","",IF(INDEX(Références!$BB$2:$BB$201,MATCH($C217,Références!$A$2:$A$201,0))="","",HYPERLINK(DossierPDF&amp;INDEX(Références!$BB$2:$BB$201,MATCH($C217,Références!$A$2:$A$201,0)),"PDF")))</f>
        <v/>
      </c>
    </row>
    <row r="218" spans="2:12" ht="30" customHeight="1" x14ac:dyDescent="0.25">
      <c r="B218" s="64">
        <v>25</v>
      </c>
      <c r="C218" s="38" t="str">
        <f>IFERROR(INDEX(Références!$A$2:$A$201,MATCH("6-25",Références!$AY$2:$AY$201,0)),"")</f>
        <v>BIB-152</v>
      </c>
      <c r="D218" s="3" t="str">
        <f>IF($C218="","",INDEX(Références!$C$2:$C$201,MATCH($C218,Références!$A$2:$A$201,0)))</f>
        <v>Klüppel &amp; Heinrich (2000)</v>
      </c>
      <c r="E218" s="3" t="str">
        <f>IF($C218="","",INDEX(Références!$D$2:$D$201,MATCH($C218,Références!$A$2:$A$201,0)))</f>
        <v>Rubber friction on self-affine road tracks</v>
      </c>
      <c r="F218" s="38" t="str">
        <f>IF($C218="","",INDEX(Références!$H$2:$H$201,MATCH($C218,Références!$A$2:$A$201,0)))</f>
        <v>A consulter</v>
      </c>
      <c r="G218" s="64">
        <f>IF($C218="","",INDEX(Références!$G$2:$G$201,MATCH($C218,Références!$A$2:$A$201,0)))</f>
        <v>2</v>
      </c>
      <c r="H218" s="38" t="str">
        <f>IF($C218="","",INDEX(Références!$J$2:$J$201,MATCH($C218,Références!$A$2:$A$201,0)))</f>
        <v>À lire</v>
      </c>
      <c r="I218" s="38" t="str">
        <f ca="1">IF($C218="","",INDEX(Références!$K$2:$K$201,MATCH($C218,Références!$A$2:$A$201,0)))</f>
        <v>À venir</v>
      </c>
      <c r="J218" s="64">
        <f>IF($C218="","",INDEX(Références!$AT$2:$AT$201,MATCH($C218,Références!$A$2:$A$201,0)))</f>
        <v>1</v>
      </c>
      <c r="K218" s="65" t="str">
        <f>IF($C218="","",HYPERLINK(INDEX(Références!$AF$2:$AF$201,MATCH($C218,Références!$A$2:$A$201,0)),"Ouvrir"))</f>
        <v>Ouvrir</v>
      </c>
      <c r="L218" s="65" t="str">
        <f>IF($C218="","",IF(INDEX(Références!$BB$2:$BB$201,MATCH($C218,Références!$A$2:$A$201,0))="","",HYPERLINK(DossierPDF&amp;INDEX(Références!$BB$2:$BB$201,MATCH($C218,Références!$A$2:$A$201,0)),"PDF")))</f>
        <v/>
      </c>
    </row>
    <row r="219" spans="2:12" ht="30" customHeight="1" x14ac:dyDescent="0.25">
      <c r="B219" s="64">
        <v>26</v>
      </c>
      <c r="C219" s="38" t="str">
        <f>IFERROR(INDEX(Références!$A$2:$A$201,MATCH("6-26",Références!$AY$2:$AY$201,0)),"")</f>
        <v>BIB-161</v>
      </c>
      <c r="D219" s="3" t="str">
        <f>IF($C219="","",INDEX(Références!$C$2:$C$201,MATCH($C219,Références!$A$2:$A$201,0)))</f>
        <v>Cesbron (2007)</v>
      </c>
      <c r="E219" s="3" t="str">
        <f>IF($C219="","",INDEX(Références!$D$2:$D$201,MATCH($C219,Références!$A$2:$A$201,0)))</f>
        <v>Influence de la texture de chaussée sur le bruit de contact pneumatique/chaussée</v>
      </c>
      <c r="F219" s="38" t="str">
        <f>IF($C219="","",INDEX(Références!$H$2:$H$201,MATCH($C219,Références!$A$2:$A$201,0)))</f>
        <v>INCONTOURNABLE</v>
      </c>
      <c r="G219" s="64">
        <f>IF($C219="","",INDEX(Références!$G$2:$G$201,MATCH($C219,Références!$A$2:$A$201,0)))</f>
        <v>2</v>
      </c>
      <c r="H219" s="38" t="str">
        <f>IF($C219="","",INDEX(Références!$J$2:$J$201,MATCH($C219,Références!$A$2:$A$201,0)))</f>
        <v>À lire</v>
      </c>
      <c r="I219" s="38" t="str">
        <f ca="1">IF($C219="","",INDEX(Références!$K$2:$K$201,MATCH($C219,Références!$A$2:$A$201,0)))</f>
        <v>À venir</v>
      </c>
      <c r="J219" s="64">
        <f>IF($C219="","",INDEX(Références!$AT$2:$AT$201,MATCH($C219,Références!$A$2:$A$201,0)))</f>
        <v>6</v>
      </c>
      <c r="K219" s="65" t="str">
        <f>IF($C219="","",HYPERLINK(INDEX(Références!$AF$2:$AF$201,MATCH($C219,Références!$A$2:$A$201,0)),"Ouvrir"))</f>
        <v>Ouvrir</v>
      </c>
      <c r="L219" s="65" t="str">
        <f>IF($C219="","",IF(INDEX(Références!$BB$2:$BB$201,MATCH($C219,Références!$A$2:$A$201,0))="","",HYPERLINK(DossierPDF&amp;INDEX(Références!$BB$2:$BB$201,MATCH($C219,Références!$A$2:$A$201,0)),"PDF")))</f>
        <v/>
      </c>
    </row>
    <row r="220" spans="2:12" ht="30" customHeight="1" x14ac:dyDescent="0.25">
      <c r="B220" s="64">
        <v>27</v>
      </c>
      <c r="C220" s="38" t="str">
        <f>IFERROR(INDEX(Références!$A$2:$A$201,MATCH("6-27",Références!$AY$2:$AY$201,0)),"")</f>
        <v>BIB-162</v>
      </c>
      <c r="D220" s="3" t="str">
        <f>IF($C220="","",INDEX(Références!$C$2:$C$201,MATCH($C220,Références!$A$2:$A$201,0)))</f>
        <v>Sandberg &amp; Ejsmont (2002)</v>
      </c>
      <c r="E220" s="3" t="str">
        <f>IF($C220="","",INDEX(Références!$D$2:$D$201,MATCH($C220,Références!$A$2:$A$201,0)))</f>
        <v>Tyre/road noise reference book</v>
      </c>
      <c r="F220" s="38" t="str">
        <f>IF($C220="","",INDEX(Références!$H$2:$H$201,MATCH($C220,Références!$A$2:$A$201,0)))</f>
        <v>A consulter</v>
      </c>
      <c r="G220" s="64">
        <f>IF($C220="","",INDEX(Références!$G$2:$G$201,MATCH($C220,Références!$A$2:$A$201,0)))</f>
        <v>2</v>
      </c>
      <c r="H220" s="38" t="str">
        <f>IF($C220="","",INDEX(Références!$J$2:$J$201,MATCH($C220,Références!$A$2:$A$201,0)))</f>
        <v>À lire</v>
      </c>
      <c r="I220" s="38" t="str">
        <f ca="1">IF($C220="","",INDEX(Références!$K$2:$K$201,MATCH($C220,Références!$A$2:$A$201,0)))</f>
        <v>À venir</v>
      </c>
      <c r="J220" s="64">
        <f>IF($C220="","",INDEX(Références!$AT$2:$AT$201,MATCH($C220,Références!$A$2:$A$201,0)))</f>
        <v>1</v>
      </c>
      <c r="K220" s="65" t="str">
        <f>IF($C220="","",HYPERLINK(INDEX(Références!$AF$2:$AF$201,MATCH($C220,Références!$A$2:$A$201,0)),"Ouvrir"))</f>
        <v>Ouvrir</v>
      </c>
      <c r="L220" s="65" t="str">
        <f>IF($C220="","",IF(INDEX(Références!$BB$2:$BB$201,MATCH($C220,Références!$A$2:$A$201,0))="","",HYPERLINK(DossierPDF&amp;INDEX(Références!$BB$2:$BB$201,MATCH($C220,Références!$A$2:$A$201,0)),"PDF")))</f>
        <v/>
      </c>
    </row>
    <row r="221" spans="2:12" ht="30" customHeight="1" x14ac:dyDescent="0.25">
      <c r="B221" s="64">
        <v>28</v>
      </c>
      <c r="C221" s="38" t="str">
        <f>IFERROR(INDEX(Références!$A$2:$A$201,MATCH("6-28",Références!$AY$2:$AY$201,0)),"")</f>
        <v>BIB-163</v>
      </c>
      <c r="D221" s="3" t="str">
        <f>IF($C221="","",INDEX(Références!$C$2:$C$201,MATCH($C221,Références!$A$2:$A$201,0)))</f>
        <v>ISO (2019)</v>
      </c>
      <c r="E221" s="3" t="str">
        <f>IF($C221="","",INDEX(Références!$D$2:$D$201,MATCH($C221,Références!$A$2:$A$201,0)))</f>
        <v>ISO 13473-1 — Caractérisation de la texture d'un revêtement de chaussée à partir de relevés de profils — Partie 1 : détermination de la profondeur moyenne de profil (MPD)</v>
      </c>
      <c r="F221" s="38" t="str">
        <f>IF($C221="","",INDEX(Références!$H$2:$H$201,MATCH($C221,Références!$A$2:$A$201,0)))</f>
        <v>Important</v>
      </c>
      <c r="G221" s="64">
        <f>IF($C221="","",INDEX(Références!$G$2:$G$201,MATCH($C221,Références!$A$2:$A$201,0)))</f>
        <v>8</v>
      </c>
      <c r="H221" s="38" t="str">
        <f>IF($C221="","",INDEX(Références!$J$2:$J$201,MATCH($C221,Références!$A$2:$A$201,0)))</f>
        <v>À lire</v>
      </c>
      <c r="I221" s="38" t="str">
        <f ca="1">IF($C221="","",INDEX(Références!$K$2:$K$201,MATCH($C221,Références!$A$2:$A$201,0)))</f>
        <v>À venir</v>
      </c>
      <c r="J221" s="64">
        <f>IF($C221="","",INDEX(Références!$AT$2:$AT$201,MATCH($C221,Références!$A$2:$A$201,0)))</f>
        <v>3</v>
      </c>
      <c r="K221" s="65" t="e">
        <f>IF($C221="","",HYPERLINK(INDEX(Références!$AF$2:$AF$201,MATCH($C221,Références!$A$2:$A$201,0)),"Ouvrir"))</f>
        <v>#VALUE!</v>
      </c>
      <c r="L221" s="65" t="str">
        <f>IF($C221="","",IF(INDEX(Références!$BB$2:$BB$201,MATCH($C221,Références!$A$2:$A$201,0))="","",HYPERLINK(DossierPDF&amp;INDEX(Références!$BB$2:$BB$201,MATCH($C221,Références!$A$2:$A$201,0)),"PDF")))</f>
        <v/>
      </c>
    </row>
    <row r="222" spans="2:12" ht="30" customHeight="1" x14ac:dyDescent="0.25">
      <c r="B222" s="64">
        <v>29</v>
      </c>
      <c r="C222" s="38" t="str">
        <f>IFERROR(INDEX(Références!$A$2:$A$201,MATCH("6-29",Références!$AY$2:$AY$201,0)),"")</f>
        <v>BIB-164</v>
      </c>
      <c r="D222" s="3" t="str">
        <f>IF($C222="","",INDEX(Références!$C$2:$C$201,MATCH($C222,Références!$A$2:$A$201,0)))</f>
        <v>ISO (2008)</v>
      </c>
      <c r="E222" s="3" t="str">
        <f>IF($C222="","",INDEX(Références!$D$2:$D$201,MATCH($C222,Références!$A$2:$A$201,0)))</f>
        <v>ISO/TS 13473-4 — Caractérisation de la texture d'un revêtement de chaussée à partir de relevés de profils — Partie 4 : analyse spectrale des profils</v>
      </c>
      <c r="F222" s="38" t="str">
        <f>IF($C222="","",INDEX(Références!$H$2:$H$201,MATCH($C222,Références!$A$2:$A$201,0)))</f>
        <v>A consulter</v>
      </c>
      <c r="G222" s="64">
        <f>IF($C222="","",INDEX(Références!$G$2:$G$201,MATCH($C222,Références!$A$2:$A$201,0)))</f>
        <v>8</v>
      </c>
      <c r="H222" s="38" t="str">
        <f>IF($C222="","",INDEX(Références!$J$2:$J$201,MATCH($C222,Références!$A$2:$A$201,0)))</f>
        <v>À lire</v>
      </c>
      <c r="I222" s="38" t="str">
        <f ca="1">IF($C222="","",INDEX(Références!$K$2:$K$201,MATCH($C222,Références!$A$2:$A$201,0)))</f>
        <v>À venir</v>
      </c>
      <c r="J222" s="64">
        <f>IF($C222="","",INDEX(Références!$AT$2:$AT$201,MATCH($C222,Références!$A$2:$A$201,0)))</f>
        <v>1</v>
      </c>
      <c r="K222" s="65" t="str">
        <f>IF($C222="","",HYPERLINK(INDEX(Références!$AF$2:$AF$201,MATCH($C222,Références!$A$2:$A$201,0)),"Ouvrir"))</f>
        <v>Ouvrir</v>
      </c>
      <c r="L222" s="65" t="str">
        <f>IF($C222="","",IF(INDEX(Références!$BB$2:$BB$201,MATCH($C222,Références!$A$2:$A$201,0))="","",HYPERLINK(DossierPDF&amp;INDEX(Références!$BB$2:$BB$201,MATCH($C222,Références!$A$2:$A$201,0)),"PDF")))</f>
        <v/>
      </c>
    </row>
    <row r="223" spans="2:12" ht="30" customHeight="1" x14ac:dyDescent="0.25">
      <c r="B223" s="64">
        <v>30</v>
      </c>
      <c r="C223" s="38" t="str">
        <f>IFERROR(INDEX(Références!$A$2:$A$201,MATCH("6-30",Références!$AY$2:$AY$201,0)),"")</f>
        <v>BIB-165</v>
      </c>
      <c r="D223" s="3" t="str">
        <f>IF($C223="","",INDEX(Références!$C$2:$C$201,MATCH($C223,Références!$A$2:$A$201,0)))</f>
        <v>ASTM International (2015)</v>
      </c>
      <c r="E223" s="3" t="str">
        <f>IF($C223="","",INDEX(Références!$D$2:$D$201,MATCH($C223,Références!$A$2:$A$201,0)))</f>
        <v>ASTM E1845 — Standard practice for calculating pavement macrotexture mean profile depth</v>
      </c>
      <c r="F223" s="38" t="str">
        <f>IF($C223="","",INDEX(Références!$H$2:$H$201,MATCH($C223,Références!$A$2:$A$201,0)))</f>
        <v>A consulter</v>
      </c>
      <c r="G223" s="64">
        <f>IF($C223="","",INDEX(Références!$G$2:$G$201,MATCH($C223,Références!$A$2:$A$201,0)))</f>
        <v>8</v>
      </c>
      <c r="H223" s="38" t="str">
        <f>IF($C223="","",INDEX(Références!$J$2:$J$201,MATCH($C223,Références!$A$2:$A$201,0)))</f>
        <v>À lire</v>
      </c>
      <c r="I223" s="38" t="str">
        <f ca="1">IF($C223="","",INDEX(Références!$K$2:$K$201,MATCH($C223,Références!$A$2:$A$201,0)))</f>
        <v>À venir</v>
      </c>
      <c r="J223" s="64">
        <f>IF($C223="","",INDEX(Références!$AT$2:$AT$201,MATCH($C223,Références!$A$2:$A$201,0)))</f>
        <v>1</v>
      </c>
      <c r="K223" s="65" t="str">
        <f>IF($C223="","",HYPERLINK(INDEX(Références!$AF$2:$AF$201,MATCH($C223,Références!$A$2:$A$201,0)),"Ouvrir"))</f>
        <v>Ouvrir</v>
      </c>
      <c r="L223" s="65" t="str">
        <f>IF($C223="","",IF(INDEX(Références!$BB$2:$BB$201,MATCH($C223,Références!$A$2:$A$201,0))="","",HYPERLINK(DossierPDF&amp;INDEX(Références!$BB$2:$BB$201,MATCH($C223,Références!$A$2:$A$201,0)),"PDF")))</f>
        <v/>
      </c>
    </row>
    <row r="224" spans="2:12" ht="30" customHeight="1" x14ac:dyDescent="0.25">
      <c r="B224" s="64">
        <v>31</v>
      </c>
      <c r="C224" s="38" t="str">
        <f>IFERROR(INDEX(Références!$A$2:$A$201,MATCH("6-31",Références!$AY$2:$AY$201,0)),"")</f>
        <v>BIB-166</v>
      </c>
      <c r="D224" s="3" t="str">
        <f>IF($C224="","",INDEX(Références!$C$2:$C$201,MATCH($C224,Références!$A$2:$A$201,0)))</f>
        <v>ASTM International (2015)</v>
      </c>
      <c r="E224" s="3" t="str">
        <f>IF($C224="","",INDEX(Références!$D$2:$D$201,MATCH($C224,Références!$A$2:$A$201,0)))</f>
        <v>ASTM E965 — Standard test method for measuring pavement macrotexture depth using a volumetric technique</v>
      </c>
      <c r="F224" s="38" t="str">
        <f>IF($C224="","",INDEX(Références!$H$2:$H$201,MATCH($C224,Références!$A$2:$A$201,0)))</f>
        <v>A consulter</v>
      </c>
      <c r="G224" s="64">
        <f>IF($C224="","",INDEX(Références!$G$2:$G$201,MATCH($C224,Références!$A$2:$A$201,0)))</f>
        <v>8</v>
      </c>
      <c r="H224" s="38" t="str">
        <f>IF($C224="","",INDEX(Références!$J$2:$J$201,MATCH($C224,Références!$A$2:$A$201,0)))</f>
        <v>À lire</v>
      </c>
      <c r="I224" s="38" t="str">
        <f ca="1">IF($C224="","",INDEX(Références!$K$2:$K$201,MATCH($C224,Références!$A$2:$A$201,0)))</f>
        <v>À venir</v>
      </c>
      <c r="J224" s="64">
        <f>IF($C224="","",INDEX(Références!$AT$2:$AT$201,MATCH($C224,Références!$A$2:$A$201,0)))</f>
        <v>1</v>
      </c>
      <c r="K224" s="65" t="str">
        <f>IF($C224="","",HYPERLINK(INDEX(Références!$AF$2:$AF$201,MATCH($C224,Références!$A$2:$A$201,0)),"Ouvrir"))</f>
        <v>Ouvrir</v>
      </c>
      <c r="L224" s="65" t="str">
        <f>IF($C224="","",IF(INDEX(Références!$BB$2:$BB$201,MATCH($C224,Références!$A$2:$A$201,0))="","",HYPERLINK(DossierPDF&amp;INDEX(Références!$BB$2:$BB$201,MATCH($C224,Références!$A$2:$A$201,0)),"PDF")))</f>
        <v/>
      </c>
    </row>
    <row r="225" spans="2:12" ht="30" customHeight="1" x14ac:dyDescent="0.25">
      <c r="B225" s="64">
        <v>32</v>
      </c>
      <c r="C225" s="38" t="str">
        <f>IFERROR(INDEX(Références!$A$2:$A$201,MATCH("6-32",Références!$AY$2:$AY$201,0)),"")</f>
        <v>BIB-169</v>
      </c>
      <c r="D225" s="3" t="str">
        <f>IF($C225="","",INDEX(Références!$C$2:$C$201,MATCH($C225,Références!$A$2:$A$201,0)))</f>
        <v>Roussel et al. (2022)</v>
      </c>
      <c r="E225" s="3" t="str">
        <f>IF($C225="","",INDEX(Références!$D$2:$D$201,MATCH($C225,Références!$A$2:$A$201,0)))</f>
        <v>Étude de la fatigue des chaussées aéronautiques souples</v>
      </c>
      <c r="F225" s="38" t="str">
        <f>IF($C225="","",INDEX(Références!$H$2:$H$201,MATCH($C225,Références!$A$2:$A$201,0)))</f>
        <v>Important</v>
      </c>
      <c r="G225" s="64">
        <f>IF($C225="","",INDEX(Références!$G$2:$G$201,MATCH($C225,Références!$A$2:$A$201,0)))</f>
        <v>7</v>
      </c>
      <c r="H225" s="38" t="str">
        <f>IF($C225="","",INDEX(Références!$J$2:$J$201,MATCH($C225,Références!$A$2:$A$201,0)))</f>
        <v>À lire</v>
      </c>
      <c r="I225" s="38" t="str">
        <f ca="1">IF($C225="","",INDEX(Références!$K$2:$K$201,MATCH($C225,Références!$A$2:$A$201,0)))</f>
        <v>À venir</v>
      </c>
      <c r="J225" s="64">
        <f>IF($C225="","",INDEX(Références!$AT$2:$AT$201,MATCH($C225,Références!$A$2:$A$201,0)))</f>
        <v>3</v>
      </c>
      <c r="K225" s="65" t="str">
        <f>IF($C225="","",HYPERLINK(INDEX(Références!$AF$2:$AF$201,MATCH($C225,Références!$A$2:$A$201,0)),"Ouvrir"))</f>
        <v>Ouvrir</v>
      </c>
      <c r="L225" s="65" t="str">
        <f>IF($C225="","",IF(INDEX(Références!$BB$2:$BB$201,MATCH($C225,Références!$A$2:$A$201,0))="","",HYPERLINK(DossierPDF&amp;INDEX(Références!$BB$2:$BB$201,MATCH($C225,Références!$A$2:$A$201,0)),"PDF")))</f>
        <v/>
      </c>
    </row>
    <row r="226" spans="2:12" ht="30" customHeight="1" x14ac:dyDescent="0.25">
      <c r="B226" s="64">
        <v>33</v>
      </c>
      <c r="C226" s="38" t="str">
        <f>IFERROR(INDEX(Références!$A$2:$A$201,MATCH("6-33",Références!$AY$2:$AY$201,0)),"")</f>
        <v>BIB-170</v>
      </c>
      <c r="D226" s="3" t="str">
        <f>IF($C226="","",INDEX(Références!$C$2:$C$201,MATCH($C226,Références!$A$2:$A$201,0)))</f>
        <v>Taylor (2007)</v>
      </c>
      <c r="E226" s="3" t="str">
        <f>IF($C226="","",INDEX(Références!$D$2:$D$201,MATCH($C226,Références!$A$2:$A$201,0)))</f>
        <v>The theory of critical distances: a new perspective in fracture mechanics</v>
      </c>
      <c r="F226" s="38" t="str">
        <f>IF($C226="","",INDEX(Références!$H$2:$H$201,MATCH($C226,Références!$A$2:$A$201,0)))</f>
        <v>INCONTOURNABLE</v>
      </c>
      <c r="G226" s="64">
        <f>IF($C226="","",INDEX(Références!$G$2:$G$201,MATCH($C226,Références!$A$2:$A$201,0)))</f>
        <v>6</v>
      </c>
      <c r="H226" s="38" t="str">
        <f>IF($C226="","",INDEX(Références!$J$2:$J$201,MATCH($C226,Références!$A$2:$A$201,0)))</f>
        <v>À lire</v>
      </c>
      <c r="I226" s="38" t="str">
        <f ca="1">IF($C226="","",INDEX(Références!$K$2:$K$201,MATCH($C226,Références!$A$2:$A$201,0)))</f>
        <v>À venir</v>
      </c>
      <c r="J226" s="64">
        <f>IF($C226="","",INDEX(Références!$AT$2:$AT$201,MATCH($C226,Références!$A$2:$A$201,0)))</f>
        <v>6</v>
      </c>
      <c r="K226" s="65" t="str">
        <f>IF($C226="","",HYPERLINK(INDEX(Références!$AF$2:$AF$201,MATCH($C226,Références!$A$2:$A$201,0)),"Ouvrir"))</f>
        <v>Ouvrir</v>
      </c>
      <c r="L226" s="65" t="str">
        <f>IF($C226="","",IF(INDEX(Références!$BB$2:$BB$201,MATCH($C226,Références!$A$2:$A$201,0))="","",HYPERLINK(DossierPDF&amp;INDEX(Références!$BB$2:$BB$201,MATCH($C226,Références!$A$2:$A$201,0)),"PDF")))</f>
        <v/>
      </c>
    </row>
    <row r="227" spans="2:12" ht="30" customHeight="1" x14ac:dyDescent="0.25">
      <c r="B227" s="64">
        <v>34</v>
      </c>
      <c r="C227" s="38" t="str">
        <f>IFERROR(INDEX(Références!$A$2:$A$201,MATCH("6-34",Références!$AY$2:$AY$201,0)),"")</f>
        <v>BIB-171</v>
      </c>
      <c r="D227" s="3" t="str">
        <f>IF($C227="","",INDEX(Références!$C$2:$C$201,MATCH($C227,Références!$A$2:$A$201,0)))</f>
        <v>Taylor (2008)</v>
      </c>
      <c r="E227" s="3" t="str">
        <f>IF($C227="","",INDEX(Références!$D$2:$D$201,MATCH($C227,Références!$A$2:$A$201,0)))</f>
        <v>The theory of critical distances</v>
      </c>
      <c r="F227" s="38" t="str">
        <f>IF($C227="","",INDEX(Références!$H$2:$H$201,MATCH($C227,Références!$A$2:$A$201,0)))</f>
        <v>Important</v>
      </c>
      <c r="G227" s="64">
        <f>IF($C227="","",INDEX(Références!$G$2:$G$201,MATCH($C227,Références!$A$2:$A$201,0)))</f>
        <v>6</v>
      </c>
      <c r="H227" s="38" t="str">
        <f>IF($C227="","",INDEX(Références!$J$2:$J$201,MATCH($C227,Références!$A$2:$A$201,0)))</f>
        <v>À lire</v>
      </c>
      <c r="I227" s="38" t="str">
        <f ca="1">IF($C227="","",INDEX(Références!$K$2:$K$201,MATCH($C227,Références!$A$2:$A$201,0)))</f>
        <v>À venir</v>
      </c>
      <c r="J227" s="64">
        <f>IF($C227="","",INDEX(Références!$AT$2:$AT$201,MATCH($C227,Références!$A$2:$A$201,0)))</f>
        <v>3</v>
      </c>
      <c r="K227" s="65" t="str">
        <f>IF($C227="","",HYPERLINK(INDEX(Références!$AF$2:$AF$201,MATCH($C227,Références!$A$2:$A$201,0)),"Ouvrir"))</f>
        <v>Ouvrir</v>
      </c>
      <c r="L227" s="65" t="str">
        <f>IF($C227="","",IF(INDEX(Références!$BB$2:$BB$201,MATCH($C227,Références!$A$2:$A$201,0))="","",HYPERLINK(DossierPDF&amp;INDEX(Références!$BB$2:$BB$201,MATCH($C227,Références!$A$2:$A$201,0)),"PDF")))</f>
        <v/>
      </c>
    </row>
    <row r="228" spans="2:12" ht="30" customHeight="1" x14ac:dyDescent="0.25">
      <c r="B228" s="64">
        <v>35</v>
      </c>
      <c r="C228" s="38" t="str">
        <f>IFERROR(INDEX(Références!$A$2:$A$201,MATCH("6-35",Références!$AY$2:$AY$201,0)),"")</f>
        <v>BIB-172</v>
      </c>
      <c r="D228" s="3" t="str">
        <f>IF($C228="","",INDEX(Références!$C$2:$C$201,MATCH($C228,Références!$A$2:$A$201,0)))</f>
        <v>Marsavina &amp; et al. (2023)</v>
      </c>
      <c r="E228" s="3" t="str">
        <f>IF($C228="","",INDEX(Références!$D$2:$D$201,MATCH($C228,Références!$A$2:$A$201,0)))</f>
        <v>The application of the Theory of Critical Distances to nonhomogeneous materials</v>
      </c>
      <c r="F228" s="38" t="str">
        <f>IF($C228="","",INDEX(Références!$H$2:$H$201,MATCH($C228,Références!$A$2:$A$201,0)))</f>
        <v>A consulter</v>
      </c>
      <c r="G228" s="64">
        <f>IF($C228="","",INDEX(Références!$G$2:$G$201,MATCH($C228,Références!$A$2:$A$201,0)))</f>
        <v>6</v>
      </c>
      <c r="H228" s="38" t="str">
        <f>IF($C228="","",INDEX(Références!$J$2:$J$201,MATCH($C228,Références!$A$2:$A$201,0)))</f>
        <v>À lire</v>
      </c>
      <c r="I228" s="38" t="str">
        <f ca="1">IF($C228="","",INDEX(Références!$K$2:$K$201,MATCH($C228,Références!$A$2:$A$201,0)))</f>
        <v>À venir</v>
      </c>
      <c r="J228" s="64">
        <f>IF($C228="","",INDEX(Références!$AT$2:$AT$201,MATCH($C228,Références!$A$2:$A$201,0)))</f>
        <v>1</v>
      </c>
      <c r="K228" s="65" t="str">
        <f>IF($C228="","",HYPERLINK(INDEX(Références!$AF$2:$AF$201,MATCH($C228,Références!$A$2:$A$201,0)),"Ouvrir"))</f>
        <v>Ouvrir</v>
      </c>
      <c r="L228" s="65" t="str">
        <f>IF($C228="","",IF(INDEX(Références!$BB$2:$BB$201,MATCH($C228,Références!$A$2:$A$201,0))="","",HYPERLINK(DossierPDF&amp;INDEX(Références!$BB$2:$BB$201,MATCH($C228,Références!$A$2:$A$201,0)),"PDF")))</f>
        <v/>
      </c>
    </row>
    <row r="229" spans="2:12" ht="30" customHeight="1" x14ac:dyDescent="0.25">
      <c r="B229" s="64">
        <v>36</v>
      </c>
      <c r="C229" s="38" t="str">
        <f>IFERROR(INDEX(Références!$A$2:$A$201,MATCH("6-36",Références!$AY$2:$AY$201,0)),"")</f>
        <v>BIB-173</v>
      </c>
      <c r="D229" s="3" t="str">
        <f>IF($C229="","",INDEX(Références!$C$2:$C$201,MATCH($C229,Références!$A$2:$A$201,0)))</f>
        <v>Pilkey &amp; Pilkey (2008)</v>
      </c>
      <c r="E229" s="3" t="str">
        <f>IF($C229="","",INDEX(Références!$D$2:$D$201,MATCH($C229,Références!$A$2:$A$201,0)))</f>
        <v>Peterson's stress concentration factors (3rd edition)</v>
      </c>
      <c r="F229" s="38" t="str">
        <f>IF($C229="","",INDEX(Références!$H$2:$H$201,MATCH($C229,Références!$A$2:$A$201,0)))</f>
        <v>A consulter</v>
      </c>
      <c r="G229" s="64">
        <f>IF($C229="","",INDEX(Références!$G$2:$G$201,MATCH($C229,Références!$A$2:$A$201,0)))</f>
        <v>6</v>
      </c>
      <c r="H229" s="38" t="str">
        <f>IF($C229="","",INDEX(Références!$J$2:$J$201,MATCH($C229,Références!$A$2:$A$201,0)))</f>
        <v>À lire</v>
      </c>
      <c r="I229" s="38" t="str">
        <f ca="1">IF($C229="","",INDEX(Références!$K$2:$K$201,MATCH($C229,Références!$A$2:$A$201,0)))</f>
        <v>À venir</v>
      </c>
      <c r="J229" s="64">
        <f>IF($C229="","",INDEX(Références!$AT$2:$AT$201,MATCH($C229,Références!$A$2:$A$201,0)))</f>
        <v>1</v>
      </c>
      <c r="K229" s="65" t="str">
        <f>IF($C229="","",HYPERLINK(INDEX(Références!$AF$2:$AF$201,MATCH($C229,Références!$A$2:$A$201,0)),"Ouvrir"))</f>
        <v>Ouvrir</v>
      </c>
      <c r="L229" s="65" t="str">
        <f>IF($C229="","",IF(INDEX(Références!$BB$2:$BB$201,MATCH($C229,Références!$A$2:$A$201,0))="","",HYPERLINK(DossierPDF&amp;INDEX(Références!$BB$2:$BB$201,MATCH($C229,Références!$A$2:$A$201,0)),"PDF")))</f>
        <v/>
      </c>
    </row>
    <row r="230" spans="2:12" ht="30" customHeight="1" x14ac:dyDescent="0.25">
      <c r="B230" s="64">
        <v>37</v>
      </c>
      <c r="C230" s="38" t="str">
        <f>IFERROR(INDEX(Références!$A$2:$A$201,MATCH("6-37",Références!$AY$2:$AY$201,0)),"")</f>
        <v>BIB-174</v>
      </c>
      <c r="D230" s="3" t="str">
        <f>IF($C230="","",INDEX(Références!$C$2:$C$201,MATCH($C230,Références!$A$2:$A$201,0)))</f>
        <v>Fuller &amp; Thompson (1907)</v>
      </c>
      <c r="E230" s="3" t="str">
        <f>IF($C230="","",INDEX(Références!$D$2:$D$201,MATCH($C230,Références!$A$2:$A$201,0)))</f>
        <v>The laws of proportioning concrete</v>
      </c>
      <c r="F230" s="38" t="str">
        <f>IF($C230="","",INDEX(Références!$H$2:$H$201,MATCH($C230,Références!$A$2:$A$201,0)))</f>
        <v>A consulter</v>
      </c>
      <c r="G230" s="64">
        <f>IF($C230="","",INDEX(Références!$G$2:$G$201,MATCH($C230,Références!$A$2:$A$201,0)))</f>
        <v>6</v>
      </c>
      <c r="H230" s="38" t="str">
        <f>IF($C230="","",INDEX(Références!$J$2:$J$201,MATCH($C230,Références!$A$2:$A$201,0)))</f>
        <v>À lire</v>
      </c>
      <c r="I230" s="38" t="str">
        <f ca="1">IF($C230="","",INDEX(Références!$K$2:$K$201,MATCH($C230,Références!$A$2:$A$201,0)))</f>
        <v>À venir</v>
      </c>
      <c r="J230" s="64">
        <f>IF($C230="","",INDEX(Références!$AT$2:$AT$201,MATCH($C230,Références!$A$2:$A$201,0)))</f>
        <v>1</v>
      </c>
      <c r="K230" s="65" t="str">
        <f>IF($C230="","",HYPERLINK(INDEX(Références!$AF$2:$AF$201,MATCH($C230,Références!$A$2:$A$201,0)),"Ouvrir"))</f>
        <v>Ouvrir</v>
      </c>
      <c r="L230" s="65" t="str">
        <f>IF($C230="","",IF(INDEX(Références!$BB$2:$BB$201,MATCH($C230,Références!$A$2:$A$201,0))="","",HYPERLINK(DossierPDF&amp;INDEX(Références!$BB$2:$BB$201,MATCH($C230,Références!$A$2:$A$201,0)),"PDF")))</f>
        <v/>
      </c>
    </row>
    <row r="231" spans="2:12" ht="30" customHeight="1" x14ac:dyDescent="0.25">
      <c r="B231" s="64">
        <v>38</v>
      </c>
      <c r="C231" s="38" t="str">
        <f>IFERROR(INDEX(Références!$A$2:$A$201,MATCH("6-38",Références!$AY$2:$AY$201,0)),"")</f>
        <v>BIB-176</v>
      </c>
      <c r="D231" s="3" t="str">
        <f>IF($C231="","",INDEX(Références!$C$2:$C$201,MATCH($C231,Références!$A$2:$A$201,0)))</f>
        <v>Aragão et al. (2011)</v>
      </c>
      <c r="E231" s="3" t="str">
        <f>IF($C231="","",INDEX(Références!$D$2:$D$201,MATCH($C231,Références!$A$2:$A$201,0)))</f>
        <v>Micromechanical model for heterogeneous asphalt concrete mixtures subjected to fracture failure</v>
      </c>
      <c r="F231" s="38" t="str">
        <f>IF($C231="","",INDEX(Références!$H$2:$H$201,MATCH($C231,Références!$A$2:$A$201,0)))</f>
        <v>Important</v>
      </c>
      <c r="G231" s="64">
        <f>IF($C231="","",INDEX(Références!$G$2:$G$201,MATCH($C231,Références!$A$2:$A$201,0)))</f>
        <v>6</v>
      </c>
      <c r="H231" s="38" t="str">
        <f>IF($C231="","",INDEX(Références!$J$2:$J$201,MATCH($C231,Références!$A$2:$A$201,0)))</f>
        <v>À lire</v>
      </c>
      <c r="I231" s="38" t="str">
        <f ca="1">IF($C231="","",INDEX(Références!$K$2:$K$201,MATCH($C231,Références!$A$2:$A$201,0)))</f>
        <v>À venir</v>
      </c>
      <c r="J231" s="64">
        <f>IF($C231="","",INDEX(Références!$AT$2:$AT$201,MATCH($C231,Références!$A$2:$A$201,0)))</f>
        <v>3</v>
      </c>
      <c r="K231" s="65" t="str">
        <f>IF($C231="","",HYPERLINK(INDEX(Références!$AF$2:$AF$201,MATCH($C231,Références!$A$2:$A$201,0)),"Ouvrir"))</f>
        <v>Ouvrir</v>
      </c>
      <c r="L231" s="65" t="str">
        <f>IF($C231="","",IF(INDEX(Références!$BB$2:$BB$201,MATCH($C231,Références!$A$2:$A$201,0))="","",HYPERLINK(DossierPDF&amp;INDEX(Références!$BB$2:$BB$201,MATCH($C231,Références!$A$2:$A$201,0)),"PDF")))</f>
        <v/>
      </c>
    </row>
    <row r="232" spans="2:12" ht="30" customHeight="1" x14ac:dyDescent="0.25">
      <c r="B232" s="64">
        <v>39</v>
      </c>
      <c r="C232" s="38" t="str">
        <f>IFERROR(INDEX(Références!$A$2:$A$201,MATCH("6-39",Références!$AY$2:$AY$201,0)),"")</f>
        <v>BIB-178</v>
      </c>
      <c r="D232" s="3" t="str">
        <f>IF($C232="","",INDEX(Références!$C$2:$C$201,MATCH($C232,Références!$A$2:$A$201,0)))</f>
        <v>Vulcano-Greullet et al. (2010)</v>
      </c>
      <c r="E232" s="3" t="str">
        <f>IF($C232="","",INDEX(Références!$D$2:$D$201,MATCH($C232,Références!$A$2:$A$201,0)))</f>
        <v>Stripping phenomenon of top layers of thick pavements</v>
      </c>
      <c r="F232" s="38" t="str">
        <f>IF($C232="","",INDEX(Références!$H$2:$H$201,MATCH($C232,Références!$A$2:$A$201,0)))</f>
        <v>Important</v>
      </c>
      <c r="G232" s="64">
        <f>IF($C232="","",INDEX(Références!$G$2:$G$201,MATCH($C232,Références!$A$2:$A$201,0)))</f>
        <v>6</v>
      </c>
      <c r="H232" s="38" t="str">
        <f>IF($C232="","",INDEX(Références!$J$2:$J$201,MATCH($C232,Références!$A$2:$A$201,0)))</f>
        <v>À lire</v>
      </c>
      <c r="I232" s="38" t="str">
        <f ca="1">IF($C232="","",INDEX(Références!$K$2:$K$201,MATCH($C232,Références!$A$2:$A$201,0)))</f>
        <v>À venir</v>
      </c>
      <c r="J232" s="64">
        <f>IF($C232="","",INDEX(Références!$AT$2:$AT$201,MATCH($C232,Références!$A$2:$A$201,0)))</f>
        <v>3</v>
      </c>
      <c r="K232" s="65" t="str">
        <f>IF($C232="","",HYPERLINK(INDEX(Références!$AF$2:$AF$201,MATCH($C232,Références!$A$2:$A$201,0)),"Ouvrir"))</f>
        <v>Ouvrir</v>
      </c>
      <c r="L232" s="65" t="str">
        <f>IF($C232="","",IF(INDEX(Références!$BB$2:$BB$201,MATCH($C232,Références!$A$2:$A$201,0))="","",HYPERLINK(DossierPDF&amp;INDEX(Références!$BB$2:$BB$201,MATCH($C232,Références!$A$2:$A$201,0)),"PDF")))</f>
        <v/>
      </c>
    </row>
    <row r="233" spans="2:12" ht="30" customHeight="1" x14ac:dyDescent="0.25">
      <c r="B233" s="64">
        <v>40</v>
      </c>
      <c r="C233" s="38" t="str">
        <f>IFERROR(INDEX(Références!$A$2:$A$201,MATCH("6-40",Références!$AY$2:$AY$201,0)),"")</f>
        <v>BIB-179</v>
      </c>
      <c r="D233" s="3" t="str">
        <f>IF($C233="","",INDEX(Références!$C$2:$C$201,MATCH($C233,Références!$A$2:$A$201,0)))</f>
        <v>Grellet et al. (2016)</v>
      </c>
      <c r="E233" s="3" t="str">
        <f>IF($C233="","",INDEX(Références!$D$2:$D$201,MATCH($C233,Références!$A$2:$A$201,0)))</f>
        <v>Experimental evidence of the viscoelastic behavior of interfaces in bituminous pavements – an explanation to top-down cracking</v>
      </c>
      <c r="F233" s="38" t="str">
        <f>IF($C233="","",INDEX(Références!$H$2:$H$201,MATCH($C233,Références!$A$2:$A$201,0)))</f>
        <v>A consulter</v>
      </c>
      <c r="G233" s="64">
        <f>IF($C233="","",INDEX(Références!$G$2:$G$201,MATCH($C233,Références!$A$2:$A$201,0)))</f>
        <v>6</v>
      </c>
      <c r="H233" s="38" t="str">
        <f>IF($C233="","",INDEX(Références!$J$2:$J$201,MATCH($C233,Références!$A$2:$A$201,0)))</f>
        <v>À lire</v>
      </c>
      <c r="I233" s="38" t="str">
        <f ca="1">IF($C233="","",INDEX(Références!$K$2:$K$201,MATCH($C233,Références!$A$2:$A$201,0)))</f>
        <v>À venir</v>
      </c>
      <c r="J233" s="64">
        <f>IF($C233="","",INDEX(Références!$AT$2:$AT$201,MATCH($C233,Références!$A$2:$A$201,0)))</f>
        <v>1</v>
      </c>
      <c r="K233" s="65" t="str">
        <f>IF($C233="","",HYPERLINK(INDEX(Références!$AF$2:$AF$201,MATCH($C233,Références!$A$2:$A$201,0)),"Ouvrir"))</f>
        <v>Ouvrir</v>
      </c>
      <c r="L233" s="65" t="str">
        <f>IF($C233="","",IF(INDEX(Références!$BB$2:$BB$201,MATCH($C233,Références!$A$2:$A$201,0))="","",HYPERLINK(DossierPDF&amp;INDEX(Références!$BB$2:$BB$201,MATCH($C233,Références!$A$2:$A$201,0)),"PDF")))</f>
        <v/>
      </c>
    </row>
    <row r="234" spans="2:12" ht="30" customHeight="1" x14ac:dyDescent="0.25">
      <c r="B234" s="64">
        <v>41</v>
      </c>
      <c r="C234" s="38" t="str">
        <f>IFERROR(INDEX(Références!$A$2:$A$201,MATCH("6-41",Références!$AY$2:$AY$201,0)),"")</f>
        <v/>
      </c>
      <c r="D234" s="3" t="str">
        <f>IF($C234="","",INDEX(Références!$C$2:$C$201,MATCH($C234,Références!$A$2:$A$201,0)))</f>
        <v/>
      </c>
      <c r="E234" s="3" t="str">
        <f>IF($C234="","",INDEX(Références!$D$2:$D$201,MATCH($C234,Références!$A$2:$A$201,0)))</f>
        <v/>
      </c>
      <c r="F234" s="38" t="str">
        <f>IF($C234="","",INDEX(Références!$H$2:$H$201,MATCH($C234,Références!$A$2:$A$201,0)))</f>
        <v/>
      </c>
      <c r="G234" s="64" t="str">
        <f>IF($C234="","",INDEX(Références!$G$2:$G$201,MATCH($C234,Références!$A$2:$A$201,0)))</f>
        <v/>
      </c>
      <c r="H234" s="38" t="str">
        <f>IF($C234="","",INDEX(Références!$J$2:$J$201,MATCH($C234,Références!$A$2:$A$201,0)))</f>
        <v/>
      </c>
      <c r="I234" s="38" t="str">
        <f>IF($C234="","",INDEX(Références!$K$2:$K$201,MATCH($C234,Références!$A$2:$A$201,0)))</f>
        <v/>
      </c>
      <c r="J234" s="64" t="str">
        <f>IF($C234="","",INDEX(Références!$AT$2:$AT$201,MATCH($C234,Références!$A$2:$A$201,0)))</f>
        <v/>
      </c>
      <c r="K234" s="65" t="str">
        <f>IF($C234="","",HYPERLINK(INDEX(Références!$AF$2:$AF$201,MATCH($C234,Références!$A$2:$A$201,0)),"Ouvrir"))</f>
        <v/>
      </c>
      <c r="L234" s="65" t="str">
        <f>IF($C234="","",IF(INDEX(Références!$BB$2:$BB$201,MATCH($C234,Références!$A$2:$A$201,0))="","",HYPERLINK(DossierPDF&amp;INDEX(Références!$BB$2:$BB$201,MATCH($C234,Références!$A$2:$A$201,0)),"PDF")))</f>
        <v/>
      </c>
    </row>
    <row r="235" spans="2:12" ht="30" customHeight="1" x14ac:dyDescent="0.25">
      <c r="B235" s="64">
        <v>42</v>
      </c>
      <c r="C235" s="38" t="str">
        <f>IFERROR(INDEX(Références!$A$2:$A$201,MATCH("6-42",Références!$AY$2:$AY$201,0)),"")</f>
        <v/>
      </c>
      <c r="D235" s="3" t="str">
        <f>IF($C235="","",INDEX(Références!$C$2:$C$201,MATCH($C235,Références!$A$2:$A$201,0)))</f>
        <v/>
      </c>
      <c r="E235" s="3" t="str">
        <f>IF($C235="","",INDEX(Références!$D$2:$D$201,MATCH($C235,Références!$A$2:$A$201,0)))</f>
        <v/>
      </c>
      <c r="F235" s="38" t="str">
        <f>IF($C235="","",INDEX(Références!$H$2:$H$201,MATCH($C235,Références!$A$2:$A$201,0)))</f>
        <v/>
      </c>
      <c r="G235" s="64" t="str">
        <f>IF($C235="","",INDEX(Références!$G$2:$G$201,MATCH($C235,Références!$A$2:$A$201,0)))</f>
        <v/>
      </c>
      <c r="H235" s="38" t="str">
        <f>IF($C235="","",INDEX(Références!$J$2:$J$201,MATCH($C235,Références!$A$2:$A$201,0)))</f>
        <v/>
      </c>
      <c r="I235" s="38" t="str">
        <f>IF($C235="","",INDEX(Références!$K$2:$K$201,MATCH($C235,Références!$A$2:$A$201,0)))</f>
        <v/>
      </c>
      <c r="J235" s="64" t="str">
        <f>IF($C235="","",INDEX(Références!$AT$2:$AT$201,MATCH($C235,Références!$A$2:$A$201,0)))</f>
        <v/>
      </c>
      <c r="K235" s="65" t="str">
        <f>IF($C235="","",HYPERLINK(INDEX(Références!$AF$2:$AF$201,MATCH($C235,Références!$A$2:$A$201,0)),"Ouvrir"))</f>
        <v/>
      </c>
      <c r="L235" s="65" t="str">
        <f>IF($C235="","",IF(INDEX(Références!$BB$2:$BB$201,MATCH($C235,Références!$A$2:$A$201,0))="","",HYPERLINK(DossierPDF&amp;INDEX(Références!$BB$2:$BB$201,MATCH($C235,Références!$A$2:$A$201,0)),"PDF")))</f>
        <v/>
      </c>
    </row>
    <row r="236" spans="2:12" ht="30" customHeight="1" x14ac:dyDescent="0.25">
      <c r="B236" s="64">
        <v>43</v>
      </c>
      <c r="C236" s="38" t="str">
        <f>IFERROR(INDEX(Références!$A$2:$A$201,MATCH("6-43",Références!$AY$2:$AY$201,0)),"")</f>
        <v/>
      </c>
      <c r="D236" s="3" t="str">
        <f>IF($C236="","",INDEX(Références!$C$2:$C$201,MATCH($C236,Références!$A$2:$A$201,0)))</f>
        <v/>
      </c>
      <c r="E236" s="3" t="str">
        <f>IF($C236="","",INDEX(Références!$D$2:$D$201,MATCH($C236,Références!$A$2:$A$201,0)))</f>
        <v/>
      </c>
      <c r="F236" s="38" t="str">
        <f>IF($C236="","",INDEX(Références!$H$2:$H$201,MATCH($C236,Références!$A$2:$A$201,0)))</f>
        <v/>
      </c>
      <c r="G236" s="64" t="str">
        <f>IF($C236="","",INDEX(Références!$G$2:$G$201,MATCH($C236,Références!$A$2:$A$201,0)))</f>
        <v/>
      </c>
      <c r="H236" s="38" t="str">
        <f>IF($C236="","",INDEX(Références!$J$2:$J$201,MATCH($C236,Références!$A$2:$A$201,0)))</f>
        <v/>
      </c>
      <c r="I236" s="38" t="str">
        <f>IF($C236="","",INDEX(Références!$K$2:$K$201,MATCH($C236,Références!$A$2:$A$201,0)))</f>
        <v/>
      </c>
      <c r="J236" s="64" t="str">
        <f>IF($C236="","",INDEX(Références!$AT$2:$AT$201,MATCH($C236,Références!$A$2:$A$201,0)))</f>
        <v/>
      </c>
      <c r="K236" s="65" t="str">
        <f>IF($C236="","",HYPERLINK(INDEX(Références!$AF$2:$AF$201,MATCH($C236,Références!$A$2:$A$201,0)),"Ouvrir"))</f>
        <v/>
      </c>
      <c r="L236" s="65" t="str">
        <f>IF($C236="","",IF(INDEX(Références!$BB$2:$BB$201,MATCH($C236,Références!$A$2:$A$201,0))="","",HYPERLINK(DossierPDF&amp;INDEX(Références!$BB$2:$BB$201,MATCH($C236,Références!$A$2:$A$201,0)),"PDF")))</f>
        <v/>
      </c>
    </row>
  </sheetData>
  <mergeCells count="24">
    <mergeCell ref="B5:K5"/>
    <mergeCell ref="C6:K6"/>
    <mergeCell ref="C7:K7"/>
    <mergeCell ref="C8:D8"/>
    <mergeCell ref="B34:K34"/>
    <mergeCell ref="C35:K35"/>
    <mergeCell ref="C36:K36"/>
    <mergeCell ref="C37:D37"/>
    <mergeCell ref="B72:K72"/>
    <mergeCell ref="C73:K73"/>
    <mergeCell ref="C74:K74"/>
    <mergeCell ref="C75:D75"/>
    <mergeCell ref="B101:K101"/>
    <mergeCell ref="C102:K102"/>
    <mergeCell ref="C103:K103"/>
    <mergeCell ref="B189:K189"/>
    <mergeCell ref="C190:K190"/>
    <mergeCell ref="C191:K191"/>
    <mergeCell ref="C192:D192"/>
    <mergeCell ref="C104:D104"/>
    <mergeCell ref="B139:K139"/>
    <mergeCell ref="C140:K140"/>
    <mergeCell ref="C141:K141"/>
    <mergeCell ref="C142:D142"/>
  </mergeCells>
  <conditionalFormatting sqref="F8">
    <cfRule type="expression" dxfId="46" priority="2">
      <formula>$F8="En retard"</formula>
    </cfRule>
    <cfRule type="expression" dxfId="45" priority="3">
      <formula>$F8="En cours"</formula>
    </cfRule>
    <cfRule type="expression" dxfId="44" priority="4">
      <formula>$F8="Terminé"</formula>
    </cfRule>
  </conditionalFormatting>
  <conditionalFormatting sqref="F10:F32">
    <cfRule type="expression" dxfId="43" priority="8">
      <formula>$F10="INCONTOURNABLE"</formula>
    </cfRule>
  </conditionalFormatting>
  <conditionalFormatting sqref="F37">
    <cfRule type="expression" dxfId="42" priority="9">
      <formula>$F37="En retard"</formula>
    </cfRule>
    <cfRule type="expression" dxfId="41" priority="10">
      <formula>$F37="En cours"</formula>
    </cfRule>
    <cfRule type="expression" dxfId="40" priority="11">
      <formula>$F37="Terminé"</formula>
    </cfRule>
  </conditionalFormatting>
  <conditionalFormatting sqref="F39:F70">
    <cfRule type="expression" dxfId="39" priority="15">
      <formula>$F39="INCONTOURNABLE"</formula>
    </cfRule>
  </conditionalFormatting>
  <conditionalFormatting sqref="F75">
    <cfRule type="expression" dxfId="38" priority="16">
      <formula>$F75="En retard"</formula>
    </cfRule>
    <cfRule type="expression" dxfId="37" priority="17">
      <formula>$F75="En cours"</formula>
    </cfRule>
    <cfRule type="expression" dxfId="36" priority="18">
      <formula>$F75="Terminé"</formula>
    </cfRule>
  </conditionalFormatting>
  <conditionalFormatting sqref="F77:F99">
    <cfRule type="expression" dxfId="35" priority="22">
      <formula>$F77="INCONTOURNABLE"</formula>
    </cfRule>
  </conditionalFormatting>
  <conditionalFormatting sqref="F104">
    <cfRule type="expression" dxfId="34" priority="23">
      <formula>$F104="En retard"</formula>
    </cfRule>
    <cfRule type="expression" dxfId="33" priority="25">
      <formula>$F104="Terminé"</formula>
    </cfRule>
    <cfRule type="expression" dxfId="32" priority="24">
      <formula>$F104="En cours"</formula>
    </cfRule>
  </conditionalFormatting>
  <conditionalFormatting sqref="F106:F137">
    <cfRule type="expression" dxfId="31" priority="29">
      <formula>$F106="INCONTOURNABLE"</formula>
    </cfRule>
  </conditionalFormatting>
  <conditionalFormatting sqref="F142">
    <cfRule type="expression" dxfId="30" priority="32">
      <formula>$F142="Terminé"</formula>
    </cfRule>
    <cfRule type="expression" dxfId="29" priority="31">
      <formula>$F142="En cours"</formula>
    </cfRule>
    <cfRule type="expression" dxfId="28" priority="30">
      <formula>$F142="En retard"</formula>
    </cfRule>
  </conditionalFormatting>
  <conditionalFormatting sqref="F144:F187">
    <cfRule type="expression" dxfId="27" priority="36">
      <formula>$F144="INCONTOURNABLE"</formula>
    </cfRule>
  </conditionalFormatting>
  <conditionalFormatting sqref="F192">
    <cfRule type="expression" dxfId="26" priority="38">
      <formula>$F192="En cours"</formula>
    </cfRule>
    <cfRule type="expression" dxfId="25" priority="37">
      <formula>$F192="En retard"</formula>
    </cfRule>
    <cfRule type="expression" dxfId="24" priority="39">
      <formula>$F192="Terminé"</formula>
    </cfRule>
  </conditionalFormatting>
  <conditionalFormatting sqref="F194:F236">
    <cfRule type="expression" dxfId="23" priority="43">
      <formula>$F194="INCONTOURNABLE"</formula>
    </cfRule>
  </conditionalFormatting>
  <conditionalFormatting sqref="I10:I32">
    <cfRule type="expression" dxfId="22" priority="6">
      <formula>$I10="Ce mois-ci"</formula>
    </cfRule>
    <cfRule type="expression" dxfId="21" priority="5">
      <formula>$I10="EN RETARD"</formula>
    </cfRule>
    <cfRule type="expression" dxfId="20" priority="7">
      <formula>$I10="Lu"</formula>
    </cfRule>
  </conditionalFormatting>
  <conditionalFormatting sqref="I39:I70">
    <cfRule type="expression" dxfId="19" priority="14">
      <formula>$I39="Lu"</formula>
    </cfRule>
    <cfRule type="expression" dxfId="18" priority="13">
      <formula>$I39="Ce mois-ci"</formula>
    </cfRule>
    <cfRule type="expression" dxfId="17" priority="12">
      <formula>$I39="EN RETARD"</formula>
    </cfRule>
  </conditionalFormatting>
  <conditionalFormatting sqref="I77:I99">
    <cfRule type="expression" dxfId="16" priority="19">
      <formula>$I77="EN RETARD"</formula>
    </cfRule>
    <cfRule type="expression" dxfId="15" priority="21">
      <formula>$I77="Lu"</formula>
    </cfRule>
    <cfRule type="expression" dxfId="14" priority="20">
      <formula>$I77="Ce mois-ci"</formula>
    </cfRule>
  </conditionalFormatting>
  <conditionalFormatting sqref="I106:I137">
    <cfRule type="expression" dxfId="13" priority="26">
      <formula>$I106="EN RETARD"</formula>
    </cfRule>
    <cfRule type="expression" dxfId="12" priority="27">
      <formula>$I106="Ce mois-ci"</formula>
    </cfRule>
    <cfRule type="expression" dxfId="11" priority="28">
      <formula>$I106="Lu"</formula>
    </cfRule>
  </conditionalFormatting>
  <conditionalFormatting sqref="I144:I187">
    <cfRule type="expression" dxfId="10" priority="34">
      <formula>$I144="Ce mois-ci"</formula>
    </cfRule>
    <cfRule type="expression" dxfId="9" priority="35">
      <formula>$I144="Lu"</formula>
    </cfRule>
    <cfRule type="expression" dxfId="8" priority="33">
      <formula>$I144="EN RETARD"</formula>
    </cfRule>
  </conditionalFormatting>
  <conditionalFormatting sqref="I194:I236">
    <cfRule type="expression" dxfId="7" priority="40">
      <formula>$I194="EN RETARD"</formula>
    </cfRule>
    <cfRule type="expression" dxfId="6" priority="41">
      <formula>$I194="Ce mois-ci"</formula>
    </cfRule>
    <cfRule type="expression" dxfId="5" priority="42">
      <formula>$I194="Lu"</formula>
    </cfRule>
  </conditionalFormatting>
  <pageMargins left="0.75" right="0.75" top="1" bottom="1"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tabColor rgb="FFC55A11"/>
    <pageSetUpPr fitToPage="1"/>
  </sheetPr>
  <dimension ref="A1:O24"/>
  <sheetViews>
    <sheetView showGridLines="0" zoomScaleNormal="100" workbookViewId="0">
      <pane xSplit="2" ySplit="3" topLeftCell="C4" activePane="bottomRight" state="frozen"/>
      <selection pane="topRight" activeCell="C1" sqref="C1"/>
      <selection pane="bottomLeft" activeCell="A4" sqref="A4"/>
      <selection pane="bottomRight"/>
    </sheetView>
  </sheetViews>
  <sheetFormatPr baseColWidth="10" defaultColWidth="8.7109375" defaultRowHeight="15" x14ac:dyDescent="0.25"/>
  <cols>
    <col min="1" max="1" width="5" customWidth="1"/>
    <col min="2" max="2" width="26" customWidth="1"/>
    <col min="3" max="3" width="30" customWidth="1"/>
    <col min="4" max="4" width="26" customWidth="1"/>
    <col min="5" max="5" width="34" customWidth="1"/>
    <col min="6" max="6" width="40" customWidth="1"/>
    <col min="7" max="7" width="14" customWidth="1"/>
    <col min="8" max="8" width="10" customWidth="1"/>
    <col min="9" max="9" width="8" customWidth="1"/>
    <col min="10" max="10" width="13" customWidth="1"/>
    <col min="11" max="13" width="12" customWidth="1"/>
    <col min="14" max="14" width="22" customWidth="1"/>
    <col min="15" max="15" width="30" customWidth="1"/>
  </cols>
  <sheetData>
    <row r="1" spans="1:15" ht="20.25" x14ac:dyDescent="0.3">
      <c r="B1" s="6" t="s">
        <v>2922</v>
      </c>
    </row>
    <row r="2" spans="1:15" x14ac:dyDescent="0.25">
      <c r="B2" s="9" t="s">
        <v>2923</v>
      </c>
    </row>
    <row r="3" spans="1:15" ht="31.5" customHeight="1" x14ac:dyDescent="0.25">
      <c r="A3" s="5" t="s">
        <v>205</v>
      </c>
      <c r="B3" s="5" t="s">
        <v>2924</v>
      </c>
      <c r="C3" s="5" t="s">
        <v>3</v>
      </c>
      <c r="D3" s="5" t="s">
        <v>2925</v>
      </c>
      <c r="E3" s="5" t="s">
        <v>2926</v>
      </c>
      <c r="F3" s="5" t="s">
        <v>2927</v>
      </c>
      <c r="G3" s="5" t="s">
        <v>2928</v>
      </c>
      <c r="H3" s="5" t="s">
        <v>2929</v>
      </c>
      <c r="I3" s="5" t="s">
        <v>2930</v>
      </c>
      <c r="J3" s="5" t="s">
        <v>2931</v>
      </c>
      <c r="K3" s="5" t="s">
        <v>2932</v>
      </c>
      <c r="L3" s="5" t="s">
        <v>1662</v>
      </c>
      <c r="M3" s="5" t="s">
        <v>2933</v>
      </c>
      <c r="N3" s="5" t="s">
        <v>192</v>
      </c>
      <c r="O3" s="5" t="s">
        <v>198</v>
      </c>
    </row>
    <row r="4" spans="1:15" ht="45" customHeight="1" x14ac:dyDescent="0.25">
      <c r="A4" s="3">
        <v>1</v>
      </c>
      <c r="B4" s="3" t="s">
        <v>336</v>
      </c>
      <c r="C4" s="3" t="s">
        <v>2934</v>
      </c>
      <c r="D4" s="3" t="s">
        <v>2935</v>
      </c>
      <c r="E4" s="3" t="s">
        <v>2936</v>
      </c>
      <c r="F4" s="3" t="s">
        <v>2937</v>
      </c>
      <c r="G4" s="3" t="s">
        <v>2938</v>
      </c>
      <c r="H4" s="3">
        <v>0</v>
      </c>
      <c r="I4" s="3">
        <v>1</v>
      </c>
      <c r="J4" s="66">
        <f>IF(OR(I4="",H4=""),"",INDEX(Paramètres!$U$6:$U$11,MATCH(I4,Paramètres!$S$6:$S$11,0))-7*H4)</f>
        <v>46296</v>
      </c>
      <c r="K4" s="67"/>
      <c r="L4" s="45" t="s">
        <v>2939</v>
      </c>
      <c r="M4" s="66" t="str">
        <f>IF(K4="","",K4+Paramètres!$C$9)</f>
        <v/>
      </c>
      <c r="N4" s="68" t="str">
        <f ca="1">IF(E4="","",IF(OR(L4="Reçue",L4="Abandonnée"),"",IF(K4="",IF(Paramètres!$C$6&gt;=J4,"ENVOYER MAINTENANT","À envoyer avant la date limite"),IF(Paramètres!$C$6&gt;=M4,"RELANCER","En attente"))))</f>
        <v>À envoyer avant la date limite</v>
      </c>
      <c r="O4" s="44"/>
    </row>
    <row r="5" spans="1:15" ht="45" customHeight="1" x14ac:dyDescent="0.25">
      <c r="A5" s="3">
        <v>2</v>
      </c>
      <c r="B5" s="3" t="s">
        <v>2940</v>
      </c>
      <c r="C5" s="3" t="s">
        <v>2941</v>
      </c>
      <c r="D5" s="3" t="s">
        <v>2942</v>
      </c>
      <c r="E5" s="3" t="s">
        <v>2943</v>
      </c>
      <c r="F5" s="3" t="s">
        <v>2944</v>
      </c>
      <c r="G5" s="3" t="s">
        <v>2945</v>
      </c>
      <c r="H5" s="3">
        <v>6</v>
      </c>
      <c r="I5" s="3">
        <v>2</v>
      </c>
      <c r="J5" s="66">
        <f>IF(OR(I5="",H5=""),"",INDEX(Paramètres!$U$6:$U$11,MATCH(I5,Paramètres!$S$6:$S$11,0))-7*H5)</f>
        <v>46285</v>
      </c>
      <c r="K5" s="67"/>
      <c r="L5" s="45" t="s">
        <v>2939</v>
      </c>
      <c r="M5" s="66" t="str">
        <f>IF(K5="","",K5+Paramètres!$C$9)</f>
        <v/>
      </c>
      <c r="N5" s="68" t="str">
        <f ca="1">IF(E5="","",IF(OR(L5="Reçue",L5="Abandonnée"),"",IF(K5="",IF(Paramètres!$C$6&gt;=J5,"ENVOYER MAINTENANT","À envoyer avant la date limite"),IF(Paramètres!$C$6&gt;=M5,"RELANCER","En attente"))))</f>
        <v>ENVOYER MAINTENANT</v>
      </c>
      <c r="O5" s="44"/>
    </row>
    <row r="6" spans="1:15" ht="45" customHeight="1" x14ac:dyDescent="0.25">
      <c r="A6" s="3">
        <v>3</v>
      </c>
      <c r="B6" s="3" t="s">
        <v>2946</v>
      </c>
      <c r="C6" s="3" t="s">
        <v>2947</v>
      </c>
      <c r="D6" s="3" t="s">
        <v>2948</v>
      </c>
      <c r="E6" s="3" t="s">
        <v>2949</v>
      </c>
      <c r="F6" s="3" t="s">
        <v>2950</v>
      </c>
      <c r="G6" s="3" t="s">
        <v>2951</v>
      </c>
      <c r="H6" s="3">
        <v>4</v>
      </c>
      <c r="I6" s="3">
        <v>1</v>
      </c>
      <c r="J6" s="66">
        <f>IF(OR(I6="",H6=""),"",INDEX(Paramètres!$U$6:$U$11,MATCH(I6,Paramètres!$S$6:$S$11,0))-7*H6)</f>
        <v>46268</v>
      </c>
      <c r="K6" s="67"/>
      <c r="L6" s="45" t="s">
        <v>2939</v>
      </c>
      <c r="M6" s="66" t="str">
        <f>IF(K6="","",K6+Paramètres!$C$9)</f>
        <v/>
      </c>
      <c r="N6" s="68" t="str">
        <f ca="1">IF(E6="","",IF(OR(L6="Reçue",L6="Abandonnée"),"",IF(K6="",IF(Paramètres!$C$6&gt;=J6,"ENVOYER MAINTENANT","À envoyer avant la date limite"),IF(Paramètres!$C$6&gt;=M6,"RELANCER","En attente"))))</f>
        <v>ENVOYER MAINTENANT</v>
      </c>
      <c r="O6" s="44"/>
    </row>
    <row r="7" spans="1:15" ht="45" customHeight="1" x14ac:dyDescent="0.25">
      <c r="A7" s="3">
        <v>4</v>
      </c>
      <c r="B7" s="3" t="s">
        <v>2952</v>
      </c>
      <c r="C7" s="3" t="s">
        <v>2953</v>
      </c>
      <c r="D7" s="3" t="s">
        <v>2954</v>
      </c>
      <c r="E7" s="3" t="s">
        <v>2955</v>
      </c>
      <c r="F7" s="3" t="s">
        <v>2956</v>
      </c>
      <c r="G7" s="3" t="s">
        <v>2957</v>
      </c>
      <c r="H7" s="3">
        <v>8</v>
      </c>
      <c r="I7" s="3">
        <v>2</v>
      </c>
      <c r="J7" s="66">
        <f>IF(OR(I7="",H7=""),"",INDEX(Paramètres!$U$6:$U$11,MATCH(I7,Paramètres!$S$6:$S$11,0))-7*H7)</f>
        <v>46271</v>
      </c>
      <c r="K7" s="67"/>
      <c r="L7" s="45" t="s">
        <v>2939</v>
      </c>
      <c r="M7" s="66" t="str">
        <f>IF(K7="","",K7+Paramètres!$C$9)</f>
        <v/>
      </c>
      <c r="N7" s="68" t="str">
        <f ca="1">IF(E7="","",IF(OR(L7="Reçue",L7="Abandonnée"),"",IF(K7="",IF(Paramètres!$C$6&gt;=J7,"ENVOYER MAINTENANT","À envoyer avant la date limite"),IF(Paramètres!$C$6&gt;=M7,"RELANCER","En attente"))))</f>
        <v>ENVOYER MAINTENANT</v>
      </c>
      <c r="O7" s="44"/>
    </row>
    <row r="8" spans="1:15" ht="45" customHeight="1" x14ac:dyDescent="0.25">
      <c r="A8" s="3">
        <v>5</v>
      </c>
      <c r="B8" s="3" t="s">
        <v>904</v>
      </c>
      <c r="C8" s="3" t="s">
        <v>2958</v>
      </c>
      <c r="D8" s="3" t="s">
        <v>2959</v>
      </c>
      <c r="E8" s="3" t="s">
        <v>2960</v>
      </c>
      <c r="F8" s="3" t="s">
        <v>2961</v>
      </c>
      <c r="G8" s="3" t="s">
        <v>2945</v>
      </c>
      <c r="H8" s="3">
        <v>6</v>
      </c>
      <c r="I8" s="3">
        <v>3</v>
      </c>
      <c r="J8" s="66">
        <f>IF(OR(I8="",H8=""),"",INDEX(Paramètres!$U$6:$U$11,MATCH(I8,Paramètres!$S$6:$S$11,0))-7*H8)</f>
        <v>46315</v>
      </c>
      <c r="K8" s="67"/>
      <c r="L8" s="45" t="s">
        <v>2939</v>
      </c>
      <c r="M8" s="66" t="str">
        <f>IF(K8="","",K8+Paramètres!$C$9)</f>
        <v/>
      </c>
      <c r="N8" s="68" t="str">
        <f ca="1">IF(E8="","",IF(OR(L8="Reçue",L8="Abandonnée"),"",IF(K8="",IF(Paramètres!$C$6&gt;=J8,"ENVOYER MAINTENANT","À envoyer avant la date limite"),IF(Paramètres!$C$6&gt;=M8,"RELANCER","En attente"))))</f>
        <v>À envoyer avant la date limite</v>
      </c>
      <c r="O8" s="44"/>
    </row>
    <row r="9" spans="1:15" ht="45" customHeight="1" x14ac:dyDescent="0.25">
      <c r="A9" s="3">
        <v>6</v>
      </c>
      <c r="B9" s="3" t="s">
        <v>1044</v>
      </c>
      <c r="C9" s="3" t="s">
        <v>1182</v>
      </c>
      <c r="D9" s="3" t="s">
        <v>2962</v>
      </c>
      <c r="E9" s="3" t="s">
        <v>2963</v>
      </c>
      <c r="F9" s="3" t="s">
        <v>2964</v>
      </c>
      <c r="G9" s="3" t="s">
        <v>2965</v>
      </c>
      <c r="H9" s="3">
        <v>2</v>
      </c>
      <c r="I9" s="3">
        <v>4</v>
      </c>
      <c r="J9" s="66">
        <f>IF(OR(I9="",H9=""),"",INDEX(Paramètres!$U$6:$U$11,MATCH(I9,Paramètres!$S$6:$S$11,0))-7*H9)</f>
        <v>46374</v>
      </c>
      <c r="K9" s="67"/>
      <c r="L9" s="45" t="s">
        <v>2939</v>
      </c>
      <c r="M9" s="66" t="str">
        <f>IF(K9="","",K9+Paramètres!$C$9)</f>
        <v/>
      </c>
      <c r="N9" s="68" t="str">
        <f ca="1">IF(E9="","",IF(OR(L9="Reçue",L9="Abandonnée"),"",IF(K9="",IF(Paramètres!$C$6&gt;=J9,"ENVOYER MAINTENANT","À envoyer avant la date limite"),IF(Paramètres!$C$6&gt;=M9,"RELANCER","En attente"))))</f>
        <v>À envoyer avant la date limite</v>
      </c>
      <c r="O9" s="44"/>
    </row>
    <row r="10" spans="1:15" ht="45" customHeight="1" x14ac:dyDescent="0.25">
      <c r="A10" s="3">
        <v>7</v>
      </c>
      <c r="B10" s="3" t="s">
        <v>1581</v>
      </c>
      <c r="C10" s="3" t="s">
        <v>2966</v>
      </c>
      <c r="D10" s="3" t="s">
        <v>2967</v>
      </c>
      <c r="E10" s="3" t="s">
        <v>2968</v>
      </c>
      <c r="F10" s="3" t="s">
        <v>2969</v>
      </c>
      <c r="G10" s="3" t="s">
        <v>2965</v>
      </c>
      <c r="H10" s="3">
        <v>2</v>
      </c>
      <c r="I10" s="3">
        <v>6</v>
      </c>
      <c r="J10" s="66">
        <f>IF(OR(I10="",H10=""),"",INDEX(Paramètres!$U$6:$U$11,MATCH(I10,Paramètres!$S$6:$S$11,0))-7*H10)</f>
        <v>46433</v>
      </c>
      <c r="K10" s="67"/>
      <c r="L10" s="45" t="s">
        <v>2939</v>
      </c>
      <c r="M10" s="66" t="str">
        <f>IF(K10="","",K10+Paramètres!$C$9)</f>
        <v/>
      </c>
      <c r="N10" s="68" t="str">
        <f ca="1">IF(E10="","",IF(OR(L10="Reçue",L10="Abandonnée"),"",IF(K10="",IF(Paramètres!$C$6&gt;=J10,"ENVOYER MAINTENANT","À envoyer avant la date limite"),IF(Paramètres!$C$6&gt;=M10,"RELANCER","En attente"))))</f>
        <v>À envoyer avant la date limite</v>
      </c>
      <c r="O10" s="44"/>
    </row>
    <row r="11" spans="1:15" ht="45" customHeight="1" x14ac:dyDescent="0.25">
      <c r="A11" s="3">
        <v>8</v>
      </c>
      <c r="B11" s="3" t="s">
        <v>2970</v>
      </c>
      <c r="C11" s="3" t="s">
        <v>2971</v>
      </c>
      <c r="D11" s="3" t="s">
        <v>2972</v>
      </c>
      <c r="E11" s="3" t="s">
        <v>2973</v>
      </c>
      <c r="F11" s="3" t="s">
        <v>2974</v>
      </c>
      <c r="G11" s="3" t="s">
        <v>2975</v>
      </c>
      <c r="H11" s="3">
        <v>1</v>
      </c>
      <c r="I11" s="3">
        <v>3</v>
      </c>
      <c r="J11" s="66">
        <f>IF(OR(I11="",H11=""),"",INDEX(Paramètres!$U$6:$U$11,MATCH(I11,Paramètres!$S$6:$S$11,0))-7*H11)</f>
        <v>46350</v>
      </c>
      <c r="K11" s="67"/>
      <c r="L11" s="45" t="s">
        <v>2939</v>
      </c>
      <c r="M11" s="66" t="str">
        <f>IF(K11="","",K11+Paramètres!$C$9)</f>
        <v/>
      </c>
      <c r="N11" s="68" t="str">
        <f ca="1">IF(E11="","",IF(OR(L11="Reçue",L11="Abandonnée"),"",IF(K11="",IF(Paramètres!$C$6&gt;=J11,"ENVOYER MAINTENANT","À envoyer avant la date limite"),IF(Paramètres!$C$6&gt;=M11,"RELANCER","En attente"))))</f>
        <v>À envoyer avant la date limite</v>
      </c>
      <c r="O11" s="44"/>
    </row>
    <row r="12" spans="1:15" ht="45" customHeight="1" x14ac:dyDescent="0.25">
      <c r="A12" s="3">
        <v>9</v>
      </c>
      <c r="B12" s="3" t="s">
        <v>2976</v>
      </c>
      <c r="C12" s="3" t="s">
        <v>2977</v>
      </c>
      <c r="D12" s="3" t="s">
        <v>327</v>
      </c>
      <c r="E12" s="3" t="s">
        <v>2978</v>
      </c>
      <c r="F12" s="3" t="s">
        <v>2979</v>
      </c>
      <c r="G12" s="3" t="s">
        <v>2965</v>
      </c>
      <c r="H12" s="3">
        <v>2</v>
      </c>
      <c r="I12" s="3">
        <v>6</v>
      </c>
      <c r="J12" s="66">
        <f>IF(OR(I12="",H12=""),"",INDEX(Paramètres!$U$6:$U$11,MATCH(I12,Paramètres!$S$6:$S$11,0))-7*H12)</f>
        <v>46433</v>
      </c>
      <c r="K12" s="67"/>
      <c r="L12" s="45" t="s">
        <v>2939</v>
      </c>
      <c r="M12" s="66" t="str">
        <f>IF(K12="","",K12+Paramètres!$C$9)</f>
        <v/>
      </c>
      <c r="N12" s="68" t="str">
        <f ca="1">IF(E12="","",IF(OR(L12="Reçue",L12="Abandonnée"),"",IF(K12="",IF(Paramètres!$C$6&gt;=J12,"ENVOYER MAINTENANT","À envoyer avant la date limite"),IF(Paramètres!$C$6&gt;=M12,"RELANCER","En attente"))))</f>
        <v>À envoyer avant la date limite</v>
      </c>
      <c r="O12" s="44"/>
    </row>
    <row r="13" spans="1:15" ht="45" customHeight="1" x14ac:dyDescent="0.25">
      <c r="A13" s="3">
        <v>10</v>
      </c>
      <c r="B13" s="3" t="s">
        <v>2980</v>
      </c>
      <c r="C13" s="3" t="s">
        <v>2981</v>
      </c>
      <c r="D13" s="3" t="s">
        <v>2962</v>
      </c>
      <c r="E13" s="3" t="s">
        <v>2982</v>
      </c>
      <c r="F13" s="3" t="s">
        <v>2983</v>
      </c>
      <c r="G13" s="3" t="s">
        <v>2975</v>
      </c>
      <c r="H13" s="3">
        <v>1</v>
      </c>
      <c r="I13" s="3">
        <v>2</v>
      </c>
      <c r="J13" s="66">
        <f>IF(OR(I13="",H13=""),"",INDEX(Paramètres!$U$6:$U$11,MATCH(I13,Paramètres!$S$6:$S$11,0))-7*H13)</f>
        <v>46320</v>
      </c>
      <c r="K13" s="67"/>
      <c r="L13" s="45" t="s">
        <v>2939</v>
      </c>
      <c r="M13" s="66" t="str">
        <f>IF(K13="","",K13+Paramètres!$C$9)</f>
        <v/>
      </c>
      <c r="N13" s="68" t="str">
        <f ca="1">IF(E13="","",IF(OR(L13="Reçue",L13="Abandonnée"),"",IF(K13="",IF(Paramètres!$C$6&gt;=J13,"ENVOYER MAINTENANT","À envoyer avant la date limite"),IF(Paramètres!$C$6&gt;=M13,"RELANCER","En attente"))))</f>
        <v>À envoyer avant la date limite</v>
      </c>
      <c r="O13" s="44"/>
    </row>
    <row r="14" spans="1:15" ht="45" customHeight="1" x14ac:dyDescent="0.25">
      <c r="A14" s="3">
        <v>11</v>
      </c>
      <c r="B14" s="3" t="s">
        <v>1117</v>
      </c>
      <c r="C14" s="3" t="s">
        <v>2984</v>
      </c>
      <c r="D14" s="3" t="s">
        <v>2985</v>
      </c>
      <c r="E14" s="3" t="s">
        <v>2986</v>
      </c>
      <c r="F14" s="3" t="s">
        <v>2987</v>
      </c>
      <c r="G14" s="3" t="s">
        <v>2938</v>
      </c>
      <c r="H14" s="3">
        <v>0</v>
      </c>
      <c r="I14" s="3">
        <v>4</v>
      </c>
      <c r="J14" s="66">
        <f>IF(OR(I14="",H14=""),"",INDEX(Paramètres!$U$6:$U$11,MATCH(I14,Paramètres!$S$6:$S$11,0))-7*H14)</f>
        <v>46388</v>
      </c>
      <c r="K14" s="67"/>
      <c r="L14" s="45" t="s">
        <v>2939</v>
      </c>
      <c r="M14" s="66" t="str">
        <f>IF(K14="","",K14+Paramètres!$C$9)</f>
        <v/>
      </c>
      <c r="N14" s="68" t="str">
        <f ca="1">IF(E14="","",IF(OR(L14="Reçue",L14="Abandonnée"),"",IF(K14="",IF(Paramètres!$C$6&gt;=J14,"ENVOYER MAINTENANT","À envoyer avant la date limite"),IF(Paramètres!$C$6&gt;=M14,"RELANCER","En attente"))))</f>
        <v>À envoyer avant la date limite</v>
      </c>
      <c r="O14" s="44"/>
    </row>
    <row r="15" spans="1:15" ht="15" customHeight="1" x14ac:dyDescent="0.25">
      <c r="A15" s="3"/>
      <c r="B15" s="3"/>
      <c r="C15" s="3"/>
      <c r="D15" s="3"/>
      <c r="E15" s="3"/>
      <c r="F15" s="3"/>
      <c r="G15" s="3"/>
      <c r="H15" s="3"/>
      <c r="I15" s="3"/>
      <c r="J15" s="66" t="str">
        <f>IF(OR(I15="",H15=""),"",INDEX(Paramètres!$U$6:$U$11,MATCH(I15,Paramètres!$S$6:$S$11,0))-7*H15)</f>
        <v/>
      </c>
      <c r="K15" s="67"/>
      <c r="L15" s="69"/>
      <c r="M15" s="66" t="str">
        <f>IF(K15="","",K15+Paramètres!$C$9)</f>
        <v/>
      </c>
      <c r="N15" s="68" t="str">
        <f>IF(E15="","",IF(OR(L15="Reçue",L15="Abandonnée"),"",IF(K15="",IF(Paramètres!$C$6&gt;=J15,"ENVOYER MAINTENANT","À envoyer avant la date limite"),IF(Paramètres!$C$6&gt;=M15,"RELANCER","En attente"))))</f>
        <v/>
      </c>
      <c r="O15" s="44"/>
    </row>
    <row r="16" spans="1:15" ht="15" customHeight="1" x14ac:dyDescent="0.25">
      <c r="A16" s="3"/>
      <c r="B16" s="3"/>
      <c r="C16" s="3"/>
      <c r="D16" s="3"/>
      <c r="E16" s="3"/>
      <c r="F16" s="3"/>
      <c r="G16" s="3"/>
      <c r="H16" s="3"/>
      <c r="I16" s="3"/>
      <c r="J16" s="66" t="str">
        <f>IF(OR(I16="",H16=""),"",INDEX(Paramètres!$U$6:$U$11,MATCH(I16,Paramètres!$S$6:$S$11,0))-7*H16)</f>
        <v/>
      </c>
      <c r="K16" s="67"/>
      <c r="L16" s="69"/>
      <c r="M16" s="66" t="str">
        <f>IF(K16="","",K16+Paramètres!$C$9)</f>
        <v/>
      </c>
      <c r="N16" s="68" t="str">
        <f>IF(E16="","",IF(OR(L16="Reçue",L16="Abandonnée"),"",IF(K16="",IF(Paramètres!$C$6&gt;=J16,"ENVOYER MAINTENANT","À envoyer avant la date limite"),IF(Paramètres!$C$6&gt;=M16,"RELANCER","En attente"))))</f>
        <v/>
      </c>
      <c r="O16" s="44"/>
    </row>
    <row r="17" spans="1:15" ht="15" customHeight="1" x14ac:dyDescent="0.25">
      <c r="A17" s="3"/>
      <c r="B17" s="3"/>
      <c r="C17" s="3"/>
      <c r="D17" s="3"/>
      <c r="E17" s="3"/>
      <c r="F17" s="3"/>
      <c r="G17" s="3"/>
      <c r="H17" s="3"/>
      <c r="I17" s="3"/>
      <c r="J17" s="66" t="str">
        <f>IF(OR(I17="",H17=""),"",INDEX(Paramètres!$U$6:$U$11,MATCH(I17,Paramètres!$S$6:$S$11,0))-7*H17)</f>
        <v/>
      </c>
      <c r="K17" s="67"/>
      <c r="L17" s="69"/>
      <c r="M17" s="66" t="str">
        <f>IF(K17="","",K17+Paramètres!$C$9)</f>
        <v/>
      </c>
      <c r="N17" s="68" t="str">
        <f>IF(E17="","",IF(OR(L17="Reçue",L17="Abandonnée"),"",IF(K17="",IF(Paramètres!$C$6&gt;=J17,"ENVOYER MAINTENANT","À envoyer avant la date limite"),IF(Paramètres!$C$6&gt;=M17,"RELANCER","En attente"))))</f>
        <v/>
      </c>
      <c r="O17" s="44"/>
    </row>
    <row r="18" spans="1:15" ht="15" customHeight="1" x14ac:dyDescent="0.25">
      <c r="A18" s="3"/>
      <c r="B18" s="3"/>
      <c r="C18" s="3"/>
      <c r="D18" s="3"/>
      <c r="E18" s="3"/>
      <c r="F18" s="3"/>
      <c r="G18" s="3"/>
      <c r="H18" s="3"/>
      <c r="I18" s="3"/>
      <c r="J18" s="66" t="str">
        <f>IF(OR(I18="",H18=""),"",INDEX(Paramètres!$U$6:$U$11,MATCH(I18,Paramètres!$S$6:$S$11,0))-7*H18)</f>
        <v/>
      </c>
      <c r="K18" s="67"/>
      <c r="L18" s="69"/>
      <c r="M18" s="66" t="str">
        <f>IF(K18="","",K18+Paramètres!$C$9)</f>
        <v/>
      </c>
      <c r="N18" s="68" t="str">
        <f>IF(E18="","",IF(OR(L18="Reçue",L18="Abandonnée"),"",IF(K18="",IF(Paramètres!$C$6&gt;=J18,"ENVOYER MAINTENANT","À envoyer avant la date limite"),IF(Paramètres!$C$6&gt;=M18,"RELANCER","En attente"))))</f>
        <v/>
      </c>
      <c r="O18" s="44"/>
    </row>
    <row r="19" spans="1:15" ht="15" customHeight="1" x14ac:dyDescent="0.25">
      <c r="A19" s="3"/>
      <c r="B19" s="3"/>
      <c r="C19" s="3"/>
      <c r="D19" s="3"/>
      <c r="E19" s="3"/>
      <c r="F19" s="3"/>
      <c r="G19" s="3"/>
      <c r="H19" s="3"/>
      <c r="I19" s="3"/>
      <c r="J19" s="66" t="str">
        <f>IF(OR(I19="",H19=""),"",INDEX(Paramètres!$U$6:$U$11,MATCH(I19,Paramètres!$S$6:$S$11,0))-7*H19)</f>
        <v/>
      </c>
      <c r="K19" s="67"/>
      <c r="L19" s="69"/>
      <c r="M19" s="66" t="str">
        <f>IF(K19="","",K19+Paramètres!$C$9)</f>
        <v/>
      </c>
      <c r="N19" s="68" t="str">
        <f>IF(E19="","",IF(OR(L19="Reçue",L19="Abandonnée"),"",IF(K19="",IF(Paramètres!$C$6&gt;=J19,"ENVOYER MAINTENANT","À envoyer avant la date limite"),IF(Paramètres!$C$6&gt;=M19,"RELANCER","En attente"))))</f>
        <v/>
      </c>
      <c r="O19" s="44"/>
    </row>
    <row r="20" spans="1:15" ht="15" customHeight="1" x14ac:dyDescent="0.25">
      <c r="A20" s="3"/>
      <c r="B20" s="3"/>
      <c r="C20" s="3"/>
      <c r="D20" s="3"/>
      <c r="E20" s="3"/>
      <c r="F20" s="3"/>
      <c r="G20" s="3"/>
      <c r="H20" s="3"/>
      <c r="I20" s="3"/>
      <c r="J20" s="66" t="str">
        <f>IF(OR(I20="",H20=""),"",INDEX(Paramètres!$U$6:$U$11,MATCH(I20,Paramètres!$S$6:$S$11,0))-7*H20)</f>
        <v/>
      </c>
      <c r="K20" s="67"/>
      <c r="L20" s="69"/>
      <c r="M20" s="66" t="str">
        <f>IF(K20="","",K20+Paramètres!$C$9)</f>
        <v/>
      </c>
      <c r="N20" s="68" t="str">
        <f>IF(E20="","",IF(OR(L20="Reçue",L20="Abandonnée"),"",IF(K20="",IF(Paramètres!$C$6&gt;=J20,"ENVOYER MAINTENANT","À envoyer avant la date limite"),IF(Paramètres!$C$6&gt;=M20,"RELANCER","En attente"))))</f>
        <v/>
      </c>
      <c r="O20" s="44"/>
    </row>
    <row r="21" spans="1:15" ht="15" customHeight="1" x14ac:dyDescent="0.25">
      <c r="A21" s="3"/>
      <c r="B21" s="3"/>
      <c r="C21" s="3"/>
      <c r="D21" s="3"/>
      <c r="E21" s="3"/>
      <c r="F21" s="3"/>
      <c r="G21" s="3"/>
      <c r="H21" s="3"/>
      <c r="I21" s="3"/>
      <c r="J21" s="66" t="str">
        <f>IF(OR(I21="",H21=""),"",INDEX(Paramètres!$U$6:$U$11,MATCH(I21,Paramètres!$S$6:$S$11,0))-7*H21)</f>
        <v/>
      </c>
      <c r="K21" s="67"/>
      <c r="L21" s="69"/>
      <c r="M21" s="66" t="str">
        <f>IF(K21="","",K21+Paramètres!$C$9)</f>
        <v/>
      </c>
      <c r="N21" s="68" t="str">
        <f>IF(E21="","",IF(OR(L21="Reçue",L21="Abandonnée"),"",IF(K21="",IF(Paramètres!$C$6&gt;=J21,"ENVOYER MAINTENANT","À envoyer avant la date limite"),IF(Paramètres!$C$6&gt;=M21,"RELANCER","En attente"))))</f>
        <v/>
      </c>
      <c r="O21" s="44"/>
    </row>
    <row r="22" spans="1:15" ht="15" customHeight="1" x14ac:dyDescent="0.25">
      <c r="A22" s="3"/>
      <c r="B22" s="3"/>
      <c r="C22" s="3"/>
      <c r="D22" s="3"/>
      <c r="E22" s="3"/>
      <c r="F22" s="3"/>
      <c r="G22" s="3"/>
      <c r="H22" s="3"/>
      <c r="I22" s="3"/>
      <c r="J22" s="66" t="str">
        <f>IF(OR(I22="",H22=""),"",INDEX(Paramètres!$U$6:$U$11,MATCH(I22,Paramètres!$S$6:$S$11,0))-7*H22)</f>
        <v/>
      </c>
      <c r="K22" s="67"/>
      <c r="L22" s="69"/>
      <c r="M22" s="66" t="str">
        <f>IF(K22="","",K22+Paramètres!$C$9)</f>
        <v/>
      </c>
      <c r="N22" s="68" t="str">
        <f>IF(E22="","",IF(OR(L22="Reçue",L22="Abandonnée"),"",IF(K22="",IF(Paramètres!$C$6&gt;=J22,"ENVOYER MAINTENANT","À envoyer avant la date limite"),IF(Paramètres!$C$6&gt;=M22,"RELANCER","En attente"))))</f>
        <v/>
      </c>
      <c r="O22" s="44"/>
    </row>
    <row r="23" spans="1:15" ht="15" customHeight="1" x14ac:dyDescent="0.25">
      <c r="A23" s="3"/>
      <c r="B23" s="3"/>
      <c r="C23" s="3"/>
      <c r="D23" s="3"/>
      <c r="E23" s="3"/>
      <c r="F23" s="3"/>
      <c r="G23" s="3"/>
      <c r="H23" s="3"/>
      <c r="I23" s="3"/>
      <c r="J23" s="66" t="str">
        <f>IF(OR(I23="",H23=""),"",INDEX(Paramètres!$U$6:$U$11,MATCH(I23,Paramètres!$S$6:$S$11,0))-7*H23)</f>
        <v/>
      </c>
      <c r="K23" s="67"/>
      <c r="L23" s="69"/>
      <c r="M23" s="66" t="str">
        <f>IF(K23="","",K23+Paramètres!$C$9)</f>
        <v/>
      </c>
      <c r="N23" s="68" t="str">
        <f>IF(E23="","",IF(OR(L23="Reçue",L23="Abandonnée"),"",IF(K23="",IF(Paramètres!$C$6&gt;=J23,"ENVOYER MAINTENANT","À envoyer avant la date limite"),IF(Paramètres!$C$6&gt;=M23,"RELANCER","En attente"))))</f>
        <v/>
      </c>
      <c r="O23" s="44"/>
    </row>
    <row r="24" spans="1:15" ht="15" customHeight="1" x14ac:dyDescent="0.25">
      <c r="A24" s="3"/>
      <c r="B24" s="3"/>
      <c r="C24" s="3"/>
      <c r="D24" s="3"/>
      <c r="E24" s="3"/>
      <c r="F24" s="3"/>
      <c r="G24" s="3"/>
      <c r="H24" s="3"/>
      <c r="I24" s="3"/>
      <c r="J24" s="66" t="str">
        <f>IF(OR(I24="",H24=""),"",INDEX(Paramètres!$U$6:$U$11,MATCH(I24,Paramètres!$S$6:$S$11,0))-7*H24)</f>
        <v/>
      </c>
      <c r="K24" s="67"/>
      <c r="L24" s="69"/>
      <c r="M24" s="66" t="str">
        <f>IF(K24="","",K24+Paramètres!$C$9)</f>
        <v/>
      </c>
      <c r="N24" s="68" t="str">
        <f>IF(E24="","",IF(OR(L24="Reçue",L24="Abandonnée"),"",IF(K24="",IF(Paramètres!$C$6&gt;=J24,"ENVOYER MAINTENANT","À envoyer avant la date limite"),IF(Paramètres!$C$6&gt;=M24,"RELANCER","En attente"))))</f>
        <v/>
      </c>
      <c r="O24" s="44"/>
    </row>
  </sheetData>
  <autoFilter ref="A3:O24" xr:uid="{00000000-0009-0000-0000-000007000000}"/>
  <conditionalFormatting sqref="L4:L24">
    <cfRule type="expression" dxfId="4" priority="4">
      <formula>$L4="Reçue"</formula>
    </cfRule>
  </conditionalFormatting>
  <conditionalFormatting sqref="N4:N24">
    <cfRule type="expression" dxfId="3" priority="2">
      <formula>$N4="ENVOYER MAINTENANT"</formula>
    </cfRule>
    <cfRule type="expression" dxfId="2" priority="3">
      <formula>$N4="RELANCER"</formula>
    </cfRule>
  </conditionalFormatting>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700-000000000000}">
          <x14:formula1>
            <xm:f>Paramètres!$K$6:$K$9</xm:f>
          </x14:formula1>
          <x14:formula2>
            <xm:f>0</xm:f>
          </x14:formula2>
          <xm:sqref>L4:L24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pageSetUpPr fitToPage="1"/>
  </sheetPr>
  <dimension ref="A1:H23"/>
  <sheetViews>
    <sheetView showGridLines="0" zoomScaleNormal="100" workbookViewId="0">
      <pane xSplit="2" ySplit="3" topLeftCell="C4" activePane="bottomRight" state="frozen"/>
      <selection pane="topRight" activeCell="C1" sqref="C1"/>
      <selection pane="bottomLeft" activeCell="A4" sqref="A4"/>
      <selection pane="bottomRight"/>
    </sheetView>
  </sheetViews>
  <sheetFormatPr baseColWidth="10" defaultColWidth="8.7109375" defaultRowHeight="15" x14ac:dyDescent="0.25"/>
  <cols>
    <col min="1" max="1" width="5" customWidth="1"/>
    <col min="2" max="2" width="26" customWidth="1"/>
    <col min="3" max="3" width="24" customWidth="1"/>
    <col min="4" max="4" width="18" customWidth="1"/>
    <col min="5" max="5" width="38" customWidth="1"/>
    <col min="6" max="6" width="48" customWidth="1"/>
    <col min="7" max="7" width="56" customWidth="1"/>
    <col min="8" max="8" width="9" customWidth="1"/>
  </cols>
  <sheetData>
    <row r="1" spans="1:8" ht="20.25" x14ac:dyDescent="0.3">
      <c r="B1" s="6" t="s">
        <v>2988</v>
      </c>
    </row>
    <row r="2" spans="1:8" x14ac:dyDescent="0.25">
      <c r="B2" s="9" t="s">
        <v>2989</v>
      </c>
    </row>
    <row r="3" spans="1:8" ht="24" customHeight="1" x14ac:dyDescent="0.25">
      <c r="A3" s="5" t="s">
        <v>205</v>
      </c>
      <c r="B3" s="5" t="s">
        <v>189</v>
      </c>
      <c r="C3" s="5" t="s">
        <v>2892</v>
      </c>
      <c r="D3" s="5" t="s">
        <v>2990</v>
      </c>
      <c r="E3" s="5" t="s">
        <v>2991</v>
      </c>
      <c r="F3" s="5" t="s">
        <v>2992</v>
      </c>
      <c r="G3" s="5" t="s">
        <v>2993</v>
      </c>
      <c r="H3" s="5" t="s">
        <v>2994</v>
      </c>
    </row>
    <row r="4" spans="1:8" ht="63.75" customHeight="1" x14ac:dyDescent="0.25">
      <c r="A4" s="38">
        <v>1</v>
      </c>
      <c r="B4" s="38" t="s">
        <v>1020</v>
      </c>
      <c r="C4" s="39" t="str">
        <f>IFERROR(INDEX(Références!$C$2:$C$201,MATCH(B4,Références!$B$2:$B$201,0)),"(hors bibliographie)")</f>
        <v>Jiang et al. (2019)</v>
      </c>
      <c r="D4" s="43" t="s">
        <v>208</v>
      </c>
      <c r="E4" s="3" t="s">
        <v>2995</v>
      </c>
      <c r="F4" s="3" t="s">
        <v>1024</v>
      </c>
      <c r="G4" s="2" t="s">
        <v>2996</v>
      </c>
      <c r="H4" s="54" t="s">
        <v>235</v>
      </c>
    </row>
    <row r="5" spans="1:8" ht="63.75" customHeight="1" x14ac:dyDescent="0.25">
      <c r="A5" s="38">
        <v>2</v>
      </c>
      <c r="B5" s="38" t="s">
        <v>1221</v>
      </c>
      <c r="C5" s="39" t="str">
        <f>IFERROR(INDEX(Références!$C$2:$C$201,MATCH(B5,Références!$B$2:$B$201,0)),"(hors bibliographie)")</f>
        <v>Boussinesq (1885)</v>
      </c>
      <c r="D5" s="43" t="s">
        <v>173</v>
      </c>
      <c r="E5" s="3" t="s">
        <v>2997</v>
      </c>
      <c r="F5" s="3" t="s">
        <v>2998</v>
      </c>
      <c r="G5" s="2" t="s">
        <v>2999</v>
      </c>
      <c r="H5" s="54" t="s">
        <v>235</v>
      </c>
    </row>
    <row r="6" spans="1:8" ht="63.75" customHeight="1" x14ac:dyDescent="0.25">
      <c r="A6" s="38">
        <v>3</v>
      </c>
      <c r="B6" s="38" t="s">
        <v>522</v>
      </c>
      <c r="C6" s="39" t="str">
        <f>IFERROR(INDEX(Références!$C$2:$C$201,MATCH(B6,Références!$B$2:$B$201,0)),"(hors bibliographie)")</f>
        <v>De Beer et al. (2002)</v>
      </c>
      <c r="D6" s="43" t="s">
        <v>201</v>
      </c>
      <c r="E6" s="3" t="s">
        <v>3000</v>
      </c>
      <c r="F6" s="3" t="s">
        <v>3001</v>
      </c>
      <c r="G6" s="2" t="s">
        <v>3002</v>
      </c>
      <c r="H6" s="54" t="s">
        <v>235</v>
      </c>
    </row>
    <row r="7" spans="1:8" ht="63.75" customHeight="1" x14ac:dyDescent="0.25">
      <c r="A7" s="38">
        <v>4</v>
      </c>
      <c r="B7" s="38" t="s">
        <v>377</v>
      </c>
      <c r="C7" s="39" t="str">
        <f>IFERROR(INDEX(Références!$C$2:$C$201,MATCH(B7,Références!$B$2:$B$201,0)),"(hors bibliographie)")</f>
        <v>Hansen et al. (1989)</v>
      </c>
      <c r="D7" s="43" t="s">
        <v>3003</v>
      </c>
      <c r="E7" s="3" t="s">
        <v>3004</v>
      </c>
      <c r="F7" s="3" t="s">
        <v>3005</v>
      </c>
      <c r="G7" s="2" t="s">
        <v>3006</v>
      </c>
      <c r="H7" s="54" t="s">
        <v>235</v>
      </c>
    </row>
    <row r="8" spans="1:8" ht="63.75" customHeight="1" x14ac:dyDescent="0.25">
      <c r="A8" s="38">
        <v>5</v>
      </c>
      <c r="B8" s="38" t="s">
        <v>581</v>
      </c>
      <c r="C8" s="39" t="str">
        <f>IFERROR(INDEX(Références!$C$2:$C$201,MATCH(B8,Références!$B$2:$B$201,0)),"(hors bibliographie)")</f>
        <v>Xie &amp; Yang (2019)</v>
      </c>
      <c r="D8" s="43" t="s">
        <v>202</v>
      </c>
      <c r="E8" s="3" t="s">
        <v>3007</v>
      </c>
      <c r="F8" s="3" t="s">
        <v>3008</v>
      </c>
      <c r="G8" s="2" t="s">
        <v>3009</v>
      </c>
      <c r="H8" s="54" t="s">
        <v>235</v>
      </c>
    </row>
    <row r="9" spans="1:8" ht="63.75" customHeight="1" x14ac:dyDescent="0.25">
      <c r="A9" s="38">
        <v>6</v>
      </c>
      <c r="B9" s="38" t="s">
        <v>947</v>
      </c>
      <c r="C9" s="39" t="str">
        <f>IFERROR(INDEX(Références!$C$2:$C$201,MATCH(B9,Références!$B$2:$B$201,0)),"(hors bibliographie)")</f>
        <v>AFNOR (2018)</v>
      </c>
      <c r="D9" s="43" t="s">
        <v>3010</v>
      </c>
      <c r="E9" s="3" t="s">
        <v>3011</v>
      </c>
      <c r="F9" s="3" t="s">
        <v>3012</v>
      </c>
      <c r="G9" s="2" t="s">
        <v>3013</v>
      </c>
      <c r="H9" s="54" t="s">
        <v>235</v>
      </c>
    </row>
    <row r="10" spans="1:8" ht="63.75" customHeight="1" x14ac:dyDescent="0.25">
      <c r="A10" s="38">
        <v>7</v>
      </c>
      <c r="B10" s="38" t="s">
        <v>301</v>
      </c>
      <c r="C10" s="39" t="str">
        <f>IFERROR(INDEX(Références!$C$2:$C$201,MATCH(B10,Références!$B$2:$B$201,0)),"(hors bibliographie)")</f>
        <v>Airbus S.A.S. (2010)</v>
      </c>
      <c r="D10" s="43" t="s">
        <v>3014</v>
      </c>
      <c r="E10" s="3" t="s">
        <v>3015</v>
      </c>
      <c r="F10" s="3" t="s">
        <v>3016</v>
      </c>
      <c r="G10" s="2" t="s">
        <v>3017</v>
      </c>
      <c r="H10" s="54" t="s">
        <v>235</v>
      </c>
    </row>
    <row r="11" spans="1:8" ht="63.75" customHeight="1" x14ac:dyDescent="0.25">
      <c r="A11" s="38">
        <v>8</v>
      </c>
      <c r="B11" s="38" t="s">
        <v>336</v>
      </c>
      <c r="C11" s="39" t="str">
        <f>IFERROR(INDEX(Références!$C$2:$C$201,MATCH(B11,Références!$B$2:$B$201,0)),"(hors bibliographie)")</f>
        <v>De Beer &amp; Fisher (2000)</v>
      </c>
      <c r="D11" s="43" t="s">
        <v>3018</v>
      </c>
      <c r="E11" s="3" t="s">
        <v>3019</v>
      </c>
      <c r="F11" s="3" t="s">
        <v>3020</v>
      </c>
      <c r="G11" s="2" t="s">
        <v>3021</v>
      </c>
      <c r="H11" s="54" t="s">
        <v>235</v>
      </c>
    </row>
    <row r="12" spans="1:8" ht="63.75" customHeight="1" x14ac:dyDescent="0.25">
      <c r="A12" s="38">
        <v>9</v>
      </c>
      <c r="B12" s="38" t="s">
        <v>336</v>
      </c>
      <c r="C12" s="39" t="str">
        <f>IFERROR(INDEX(Références!$C$2:$C$201,MATCH(B12,Références!$B$2:$B$201,0)),"(hors bibliographie)")</f>
        <v>De Beer &amp; Fisher (2000)</v>
      </c>
      <c r="D12" s="43" t="s">
        <v>3022</v>
      </c>
      <c r="E12" s="3" t="s">
        <v>3023</v>
      </c>
      <c r="F12" s="3" t="s">
        <v>3024</v>
      </c>
      <c r="G12" s="2" t="s">
        <v>3025</v>
      </c>
      <c r="H12" s="54" t="s">
        <v>235</v>
      </c>
    </row>
    <row r="13" spans="1:8" ht="63.75" customHeight="1" x14ac:dyDescent="0.25">
      <c r="A13" s="38">
        <v>10</v>
      </c>
      <c r="B13" s="38" t="s">
        <v>3026</v>
      </c>
      <c r="C13" s="39" t="str">
        <f>IFERROR(INDEX(Références!$C$2:$C$201,MATCH(B13,Références!$B$2:$B$201,0)),"(hors bibliographie)")</f>
        <v>(hors bibliographie)</v>
      </c>
      <c r="D13" s="43" t="s">
        <v>3027</v>
      </c>
      <c r="E13" s="3" t="s">
        <v>1274</v>
      </c>
      <c r="F13" s="3" t="s">
        <v>3028</v>
      </c>
      <c r="G13" s="2" t="s">
        <v>3029</v>
      </c>
      <c r="H13" s="54" t="s">
        <v>235</v>
      </c>
    </row>
    <row r="14" spans="1:8" ht="63.75" customHeight="1" x14ac:dyDescent="0.25">
      <c r="A14" s="38">
        <v>11</v>
      </c>
      <c r="B14" s="38" t="s">
        <v>955</v>
      </c>
      <c r="C14" s="39" t="str">
        <f>IFERROR(INDEX(Références!$C$2:$C$201,MATCH(B14,Références!$B$2:$B$201,0)),"(hors bibliographie)")</f>
        <v>AFNOR (2024)</v>
      </c>
      <c r="D14" s="43" t="s">
        <v>3030</v>
      </c>
      <c r="E14" s="3" t="s">
        <v>3031</v>
      </c>
      <c r="F14" s="3" t="s">
        <v>3032</v>
      </c>
      <c r="G14" s="2" t="s">
        <v>3033</v>
      </c>
      <c r="H14" s="54" t="s">
        <v>235</v>
      </c>
    </row>
    <row r="15" spans="1:8" ht="63.75" customHeight="1" x14ac:dyDescent="0.25">
      <c r="A15" s="38">
        <v>12</v>
      </c>
      <c r="B15" s="38" t="s">
        <v>1185</v>
      </c>
      <c r="C15" s="39" t="str">
        <f>IFERROR(INDEX(Références!$C$2:$C$201,MATCH(B15,Références!$B$2:$B$201,0)),"(hors bibliographie)")</f>
        <v>Airbus S.A.S. (2025)</v>
      </c>
      <c r="D15" s="43" t="s">
        <v>3030</v>
      </c>
      <c r="E15" s="3" t="s">
        <v>3034</v>
      </c>
      <c r="F15" s="3" t="s">
        <v>3035</v>
      </c>
      <c r="G15" s="2" t="s">
        <v>3036</v>
      </c>
      <c r="H15" s="54" t="s">
        <v>235</v>
      </c>
    </row>
    <row r="16" spans="1:8" ht="63.75" customHeight="1" x14ac:dyDescent="0.25">
      <c r="A16" s="38">
        <v>13</v>
      </c>
      <c r="B16" s="38" t="s">
        <v>1212</v>
      </c>
      <c r="C16" s="39" t="str">
        <f>IFERROR(INDEX(Références!$C$2:$C$201,MATCH(B16,Références!$B$2:$B$201,0)),"(hors bibliographie)")</f>
        <v>IFSTTAR (2016)</v>
      </c>
      <c r="D16" s="43" t="s">
        <v>3037</v>
      </c>
      <c r="E16" s="3" t="s">
        <v>3038</v>
      </c>
      <c r="F16" s="3" t="s">
        <v>3039</v>
      </c>
      <c r="G16" s="2" t="s">
        <v>3040</v>
      </c>
      <c r="H16" s="54" t="s">
        <v>235</v>
      </c>
    </row>
    <row r="17" spans="1:8" ht="63.75" customHeight="1" x14ac:dyDescent="0.25">
      <c r="A17" s="38">
        <v>14</v>
      </c>
      <c r="B17" s="38" t="s">
        <v>1044</v>
      </c>
      <c r="C17" s="39" t="str">
        <f>IFERROR(INDEX(Références!$C$2:$C$201,MATCH(B17,Références!$B$2:$B$201,0)),"(hors bibliographie)")</f>
        <v>Pouget (2011)</v>
      </c>
      <c r="D17" s="43" t="s">
        <v>3041</v>
      </c>
      <c r="E17" s="3" t="s">
        <v>3042</v>
      </c>
      <c r="F17" s="3" t="s">
        <v>3043</v>
      </c>
      <c r="G17" s="2" t="s">
        <v>3044</v>
      </c>
      <c r="H17" s="54" t="s">
        <v>235</v>
      </c>
    </row>
    <row r="18" spans="1:8" ht="63.75" customHeight="1" x14ac:dyDescent="0.25">
      <c r="A18" s="38">
        <v>15</v>
      </c>
      <c r="B18" s="38" t="s">
        <v>973</v>
      </c>
      <c r="C18" s="39" t="str">
        <f>IFERROR(INDEX(Références!$C$2:$C$201,MATCH(B18,Références!$B$2:$B$201,0)),"(hors bibliographie)")</f>
        <v>Roussel (2020)</v>
      </c>
      <c r="D18" s="43" t="s">
        <v>3041</v>
      </c>
      <c r="E18" s="3" t="s">
        <v>3045</v>
      </c>
      <c r="F18" s="3" t="s">
        <v>3046</v>
      </c>
      <c r="G18" s="2" t="s">
        <v>3047</v>
      </c>
      <c r="H18" s="54" t="s">
        <v>235</v>
      </c>
    </row>
    <row r="19" spans="1:8" ht="63.75" customHeight="1" x14ac:dyDescent="0.25">
      <c r="A19" s="38">
        <v>16</v>
      </c>
      <c r="B19" s="38" t="s">
        <v>740</v>
      </c>
      <c r="C19" s="39" t="str">
        <f>IFERROR(INDEX(Références!$C$2:$C$201,MATCH(B19,Références!$B$2:$B$201,0)),"(hors bibliographie)")</f>
        <v>Di Benedetto &amp; Corté (2005)</v>
      </c>
      <c r="D19" s="43" t="s">
        <v>3037</v>
      </c>
      <c r="E19" s="3" t="s">
        <v>3048</v>
      </c>
      <c r="F19" s="3" t="s">
        <v>3049</v>
      </c>
      <c r="G19" s="2" t="s">
        <v>3050</v>
      </c>
      <c r="H19" s="54" t="s">
        <v>235</v>
      </c>
    </row>
    <row r="20" spans="1:8" ht="63.75" customHeight="1" x14ac:dyDescent="0.25">
      <c r="A20" s="38">
        <v>17</v>
      </c>
      <c r="B20" s="38" t="s">
        <v>1150</v>
      </c>
      <c r="C20" s="39" t="str">
        <f>IFERROR(INDEX(Références!$C$2:$C$201,MATCH(B20,Références!$B$2:$B$201,0)),"(hors bibliographie)")</f>
        <v>LCPC &amp; SETRA (1994)</v>
      </c>
      <c r="D20" s="43" t="s">
        <v>3037</v>
      </c>
      <c r="E20" s="3" t="s">
        <v>3051</v>
      </c>
      <c r="F20" s="3" t="s">
        <v>3052</v>
      </c>
      <c r="G20" s="2" t="s">
        <v>3053</v>
      </c>
      <c r="H20" s="54" t="s">
        <v>235</v>
      </c>
    </row>
    <row r="21" spans="1:8" ht="63.75" customHeight="1" x14ac:dyDescent="0.25">
      <c r="A21" s="38">
        <v>18</v>
      </c>
      <c r="B21" s="38" t="s">
        <v>313</v>
      </c>
      <c r="C21" s="39" t="str">
        <f>IFERROR(INDEX(Références!$C$2:$C$201,MATCH(B21,Références!$B$2:$B$201,0)),"(hors bibliographie)")</f>
        <v>Petitjean et al. (2001)</v>
      </c>
      <c r="D21" s="43" t="s">
        <v>201</v>
      </c>
      <c r="E21" s="3" t="s">
        <v>3054</v>
      </c>
      <c r="F21" s="3" t="s">
        <v>3055</v>
      </c>
      <c r="G21" s="2" t="s">
        <v>3056</v>
      </c>
      <c r="H21" s="54" t="s">
        <v>235</v>
      </c>
    </row>
    <row r="22" spans="1:8" ht="63.75" customHeight="1" x14ac:dyDescent="0.25">
      <c r="A22" s="38">
        <v>19</v>
      </c>
      <c r="B22" s="38" t="s">
        <v>284</v>
      </c>
      <c r="C22" s="39" t="str">
        <f>IFERROR(INDEX(Références!$C$2:$C$201,MATCH(B22,Références!$B$2:$B$201,0)),"(hors bibliographie)")</f>
        <v>Sadoun et al. (2022)</v>
      </c>
      <c r="D22" s="43" t="s">
        <v>3057</v>
      </c>
      <c r="E22" s="3" t="s">
        <v>3058</v>
      </c>
      <c r="F22" s="3" t="s">
        <v>3059</v>
      </c>
      <c r="G22" s="2" t="s">
        <v>3060</v>
      </c>
      <c r="H22" s="54" t="s">
        <v>235</v>
      </c>
    </row>
    <row r="23" spans="1:8" ht="63.75" customHeight="1" x14ac:dyDescent="0.25">
      <c r="A23" s="38">
        <v>20</v>
      </c>
      <c r="B23" s="38" t="s">
        <v>284</v>
      </c>
      <c r="C23" s="39" t="str">
        <f>IFERROR(INDEX(Références!$C$2:$C$201,MATCH(B23,Références!$B$2:$B$201,0)),"(hors bibliographie)")</f>
        <v>Sadoun et al. (2022)</v>
      </c>
      <c r="D23" s="43" t="s">
        <v>3061</v>
      </c>
      <c r="E23" s="3" t="s">
        <v>3062</v>
      </c>
      <c r="F23" s="3" t="s">
        <v>3063</v>
      </c>
      <c r="G23" s="2" t="s">
        <v>3064</v>
      </c>
      <c r="H23" s="54" t="s">
        <v>235</v>
      </c>
    </row>
  </sheetData>
  <conditionalFormatting sqref="H4:H23">
    <cfRule type="expression" dxfId="1" priority="2">
      <formula>$H4="Oui"</formula>
    </cfRule>
    <cfRule type="expression" dxfId="0" priority="3">
      <formula>$H4="Non"</formula>
    </cfRule>
  </conditionalFormatting>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800-000000000000}">
          <x14:formula1>
            <xm:f>Paramètres!$G$6:$G$7</xm:f>
          </x14:formula1>
          <x14:formula2>
            <xm:f>0</xm:f>
          </x14:formula2>
          <xm:sqref>H4:H43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0">
    <pageSetUpPr fitToPage="1"/>
  </sheetPr>
  <dimension ref="A1:G10"/>
  <sheetViews>
    <sheetView showGridLines="0" zoomScaleNormal="100" workbookViewId="0"/>
  </sheetViews>
  <sheetFormatPr baseColWidth="10" defaultColWidth="8.7109375" defaultRowHeight="15" x14ac:dyDescent="0.25"/>
  <cols>
    <col min="1" max="1" width="5" customWidth="1"/>
    <col min="2" max="2" width="36" customWidth="1"/>
    <col min="3" max="3" width="6" customWidth="1"/>
    <col min="4" max="4" width="60" customWidth="1"/>
    <col min="5" max="5" width="48" customWidth="1"/>
    <col min="6" max="6" width="12" customWidth="1"/>
    <col min="7" max="7" width="30" customWidth="1"/>
  </cols>
  <sheetData>
    <row r="1" spans="1:7" ht="20.25" x14ac:dyDescent="0.3">
      <c r="B1" s="6" t="s">
        <v>3065</v>
      </c>
    </row>
    <row r="2" spans="1:7" x14ac:dyDescent="0.25">
      <c r="B2" s="9" t="s">
        <v>3066</v>
      </c>
    </row>
    <row r="3" spans="1:7" ht="24" customHeight="1" x14ac:dyDescent="0.25">
      <c r="A3" s="5" t="s">
        <v>205</v>
      </c>
      <c r="B3" s="5" t="s">
        <v>3067</v>
      </c>
      <c r="C3" s="5" t="s">
        <v>119</v>
      </c>
      <c r="D3" s="5" t="s">
        <v>2866</v>
      </c>
      <c r="E3" s="5" t="s">
        <v>3068</v>
      </c>
      <c r="F3" s="5" t="s">
        <v>1662</v>
      </c>
      <c r="G3" s="5" t="s">
        <v>3069</v>
      </c>
    </row>
    <row r="4" spans="1:7" ht="75" customHeight="1" x14ac:dyDescent="0.25">
      <c r="A4" s="38">
        <v>1</v>
      </c>
      <c r="B4" s="43" t="s">
        <v>3070</v>
      </c>
      <c r="C4" s="64">
        <v>1</v>
      </c>
      <c r="D4" s="3" t="s">
        <v>3071</v>
      </c>
      <c r="E4" s="3" t="s">
        <v>3072</v>
      </c>
      <c r="F4" s="70" t="s">
        <v>3073</v>
      </c>
      <c r="G4" s="45"/>
    </row>
    <row r="5" spans="1:7" ht="75" customHeight="1" x14ac:dyDescent="0.25">
      <c r="A5" s="38">
        <v>2</v>
      </c>
      <c r="B5" s="43" t="s">
        <v>3074</v>
      </c>
      <c r="C5" s="64">
        <v>5</v>
      </c>
      <c r="D5" s="3" t="s">
        <v>3075</v>
      </c>
      <c r="E5" s="3" t="s">
        <v>3076</v>
      </c>
      <c r="F5" s="70" t="s">
        <v>3073</v>
      </c>
      <c r="G5" s="45"/>
    </row>
    <row r="6" spans="1:7" ht="75" customHeight="1" x14ac:dyDescent="0.25">
      <c r="A6" s="38">
        <v>3</v>
      </c>
      <c r="B6" s="43" t="s">
        <v>3077</v>
      </c>
      <c r="C6" s="64">
        <v>6</v>
      </c>
      <c r="D6" s="3" t="s">
        <v>3078</v>
      </c>
      <c r="E6" s="3" t="s">
        <v>3079</v>
      </c>
      <c r="F6" s="70" t="s">
        <v>3073</v>
      </c>
      <c r="G6" s="45"/>
    </row>
    <row r="7" spans="1:7" ht="75" customHeight="1" x14ac:dyDescent="0.25">
      <c r="A7" s="38">
        <v>4</v>
      </c>
      <c r="B7" s="43" t="s">
        <v>3080</v>
      </c>
      <c r="C7" s="64">
        <v>6</v>
      </c>
      <c r="D7" s="3" t="s">
        <v>3081</v>
      </c>
      <c r="E7" s="3" t="s">
        <v>3082</v>
      </c>
      <c r="F7" s="70" t="s">
        <v>3073</v>
      </c>
      <c r="G7" s="45"/>
    </row>
    <row r="8" spans="1:7" ht="75" customHeight="1" x14ac:dyDescent="0.25">
      <c r="A8" s="38">
        <v>5</v>
      </c>
      <c r="B8" s="43" t="s">
        <v>3083</v>
      </c>
      <c r="C8" s="64">
        <v>6</v>
      </c>
      <c r="D8" s="3" t="s">
        <v>3084</v>
      </c>
      <c r="E8" s="3" t="s">
        <v>3085</v>
      </c>
      <c r="F8" s="70" t="s">
        <v>3073</v>
      </c>
      <c r="G8" s="45"/>
    </row>
    <row r="9" spans="1:7" ht="75" customHeight="1" x14ac:dyDescent="0.25">
      <c r="A9" s="38">
        <v>6</v>
      </c>
      <c r="B9" s="43" t="s">
        <v>3086</v>
      </c>
      <c r="C9" s="64">
        <v>7</v>
      </c>
      <c r="D9" s="3" t="s">
        <v>3087</v>
      </c>
      <c r="E9" s="3" t="s">
        <v>3088</v>
      </c>
      <c r="F9" s="70" t="s">
        <v>3073</v>
      </c>
      <c r="G9" s="45"/>
    </row>
    <row r="10" spans="1:7" ht="75" customHeight="1" x14ac:dyDescent="0.25">
      <c r="A10" s="38">
        <v>7</v>
      </c>
      <c r="B10" s="43" t="s">
        <v>3089</v>
      </c>
      <c r="C10" s="64">
        <v>7</v>
      </c>
      <c r="D10" s="3" t="s">
        <v>3090</v>
      </c>
      <c r="E10" s="3" t="s">
        <v>3091</v>
      </c>
      <c r="F10" s="70" t="s">
        <v>3073</v>
      </c>
      <c r="G10" s="45"/>
    </row>
  </sheetData>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900-000000000000}">
          <x14:formula1>
            <xm:f>Paramètres!$W$6:$W$9</xm:f>
          </x14:formula1>
          <x14:formula2>
            <xm:f>0</xm:f>
          </x14:formula2>
          <xm:sqref>F4:F30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1"/>
  <dimension ref="A1:K203"/>
  <sheetViews>
    <sheetView zoomScaleNormal="100" workbookViewId="0">
      <pane xSplit="2" ySplit="3" topLeftCell="C4" activePane="bottomRight" state="frozen"/>
      <selection pane="topRight" activeCell="C1" sqref="C1"/>
      <selection pane="bottomLeft" activeCell="A4" sqref="A4"/>
      <selection pane="bottomRight"/>
    </sheetView>
  </sheetViews>
  <sheetFormatPr baseColWidth="10" defaultColWidth="8.7109375" defaultRowHeight="15" x14ac:dyDescent="0.25"/>
  <cols>
    <col min="1" max="1" width="9" customWidth="1"/>
    <col min="2" max="2" width="22" customWidth="1"/>
    <col min="3" max="3" width="44" customWidth="1"/>
    <col min="4" max="4" width="10" customWidth="1"/>
    <col min="5" max="5" width="6" customWidth="1"/>
    <col min="6" max="6" width="48" customWidth="1"/>
    <col min="7" max="8" width="40" customWidth="1"/>
    <col min="9" max="9" width="16" customWidth="1"/>
    <col min="10" max="10" width="8" customWidth="1"/>
    <col min="11" max="11" width="11" customWidth="1"/>
  </cols>
  <sheetData>
    <row r="1" spans="1:11" ht="20.25" x14ac:dyDescent="0.3">
      <c r="B1" s="6" t="s">
        <v>39</v>
      </c>
    </row>
    <row r="2" spans="1:11" x14ac:dyDescent="0.25">
      <c r="B2" s="9" t="s">
        <v>3092</v>
      </c>
    </row>
    <row r="3" spans="1:11" ht="31.5" customHeight="1" x14ac:dyDescent="0.25">
      <c r="A3" s="5" t="s">
        <v>51</v>
      </c>
      <c r="B3" s="5" t="s">
        <v>169</v>
      </c>
      <c r="C3" s="5" t="s">
        <v>173</v>
      </c>
      <c r="D3" s="5" t="s">
        <v>1662</v>
      </c>
      <c r="E3" s="5" t="s">
        <v>147</v>
      </c>
      <c r="F3" s="5" t="s">
        <v>53</v>
      </c>
      <c r="G3" s="5" t="s">
        <v>55</v>
      </c>
      <c r="H3" s="5" t="s">
        <v>3093</v>
      </c>
      <c r="I3" s="5" t="s">
        <v>3094</v>
      </c>
      <c r="J3" s="5" t="s">
        <v>3095</v>
      </c>
      <c r="K3" s="5" t="s">
        <v>3061</v>
      </c>
    </row>
    <row r="4" spans="1:11" ht="25.5" x14ac:dyDescent="0.25">
      <c r="A4" s="38" t="s">
        <v>230</v>
      </c>
      <c r="B4" s="39" t="str">
        <f>IF($A4="","",IFERROR(INDEX(Références!$C$2:$C$201,MATCH($A4,Références!$A$2:$A$201,0)),""))</f>
        <v>De Beer et al. (2012)</v>
      </c>
      <c r="C4" s="39" t="str">
        <f>IF($A4="","",IFERROR(INDEX(Références!$D$2:$D$201,MATCH($A4,Références!$A$2:$A$201,0)),""))</f>
        <v>Toward using tire-road contact stresses in pavement design and analysis</v>
      </c>
      <c r="D4" s="39" t="str">
        <f>IF($A4="","",IFERROR(INDEX(Références!$J$2:$J$201,MATCH($A4,Références!$A$2:$A$201,0)),""))</f>
        <v>À lire</v>
      </c>
      <c r="E4" s="39">
        <f>IF($A4="","",IFERROR(INDEX(Références!$I$2:$I$201,MATCH($A4,Références!$A$2:$A$201,0)),""))</f>
        <v>1</v>
      </c>
      <c r="F4" s="45"/>
      <c r="G4" s="45"/>
      <c r="H4" s="45"/>
      <c r="I4" s="45"/>
      <c r="J4" s="45"/>
      <c r="K4" s="71"/>
    </row>
    <row r="5" spans="1:11" ht="25.5" x14ac:dyDescent="0.25">
      <c r="A5" s="38" t="s">
        <v>253</v>
      </c>
      <c r="B5" s="39" t="str">
        <f>IF($A5="","",IFERROR(INDEX(Références!$C$2:$C$201,MATCH($A5,Références!$A$2:$A$201,0)),""))</f>
        <v>De Beer &amp; Fisher (2013)</v>
      </c>
      <c r="C5" s="39" t="str">
        <f>IF($A5="","",IFERROR(INDEX(Références!$D$2:$D$201,MATCH($A5,Références!$A$2:$A$201,0)),""))</f>
        <v>Stress-In-Motion (SIM) system for capturing tri-axial tyre–road interaction in the contact patch</v>
      </c>
      <c r="D5" s="39" t="str">
        <f>IF($A5="","",IFERROR(INDEX(Références!$J$2:$J$201,MATCH($A5,Références!$A$2:$A$201,0)),""))</f>
        <v>À lire</v>
      </c>
      <c r="E5" s="39">
        <f>IF($A5="","",IFERROR(INDEX(Références!$I$2:$I$201,MATCH($A5,Références!$A$2:$A$201,0)),""))</f>
        <v>1</v>
      </c>
      <c r="F5" s="45"/>
      <c r="G5" s="45"/>
      <c r="H5" s="45"/>
      <c r="I5" s="45"/>
      <c r="J5" s="45"/>
      <c r="K5" s="71"/>
    </row>
    <row r="6" spans="1:11" x14ac:dyDescent="0.25">
      <c r="A6" s="38" t="s">
        <v>268</v>
      </c>
      <c r="B6" s="39" t="str">
        <f>IF($A6="","",IFERROR(INDEX(Références!$C$2:$C$201,MATCH($A6,Références!$A$2:$A$201,0)),""))</f>
        <v>Tielking (1989)</v>
      </c>
      <c r="C6" s="39" t="str">
        <f>IF($A6="","",IFERROR(INDEX(Références!$D$2:$D$201,MATCH($A6,Références!$A$2:$A$201,0)),""))</f>
        <v>Aircraft tire/pavement pressure distribution</v>
      </c>
      <c r="D6" s="39" t="str">
        <f>IF($A6="","",IFERROR(INDEX(Références!$J$2:$J$201,MATCH($A6,Références!$A$2:$A$201,0)),""))</f>
        <v>À lire</v>
      </c>
      <c r="E6" s="39">
        <f>IF($A6="","",IFERROR(INDEX(Références!$I$2:$I$201,MATCH($A6,Références!$A$2:$A$201,0)),""))</f>
        <v>1</v>
      </c>
      <c r="F6" s="45"/>
      <c r="G6" s="45"/>
      <c r="H6" s="45"/>
      <c r="I6" s="45"/>
      <c r="J6" s="45"/>
      <c r="K6" s="71"/>
    </row>
    <row r="7" spans="1:11" ht="25.5" x14ac:dyDescent="0.25">
      <c r="A7" s="38" t="s">
        <v>283</v>
      </c>
      <c r="B7" s="39" t="str">
        <f>IF($A7="","",IFERROR(INDEX(Références!$C$2:$C$201,MATCH($A7,Références!$A$2:$A$201,0)),""))</f>
        <v>Sadoun et al. (2022)</v>
      </c>
      <c r="C7" s="39" t="str">
        <f>IF($A7="","",IFERROR(INDEX(Références!$D$2:$D$201,MATCH($A7,Références!$A$2:$A$201,0)),""))</f>
        <v>Top-down cracking in airfield pavement structures—An in-situ test survey</v>
      </c>
      <c r="D7" s="39" t="str">
        <f>IF($A7="","",IFERROR(INDEX(Références!$J$2:$J$201,MATCH($A7,Références!$A$2:$A$201,0)),""))</f>
        <v>À lire</v>
      </c>
      <c r="E7" s="39">
        <f>IF($A7="","",IFERROR(INDEX(Références!$I$2:$I$201,MATCH($A7,Références!$A$2:$A$201,0)),""))</f>
        <v>1</v>
      </c>
      <c r="F7" s="45"/>
      <c r="G7" s="45"/>
      <c r="H7" s="45"/>
      <c r="I7" s="45"/>
      <c r="J7" s="45"/>
      <c r="K7" s="71"/>
    </row>
    <row r="8" spans="1:11" x14ac:dyDescent="0.25">
      <c r="A8" s="38" t="s">
        <v>300</v>
      </c>
      <c r="B8" s="39" t="str">
        <f>IF($A8="","",IFERROR(INDEX(Références!$C$2:$C$201,MATCH($A8,Références!$A$2:$A$201,0)),""))</f>
        <v>Airbus S.A.S. (2010)</v>
      </c>
      <c r="C8" s="39" t="str">
        <f>IF($A8="","",IFERROR(INDEX(Références!$D$2:$D$201,MATCH($A8,Références!$A$2:$A$201,0)),""))</f>
        <v>High Tire Pressure Test (HTPT) — Final report</v>
      </c>
      <c r="D8" s="39" t="str">
        <f>IF($A8="","",IFERROR(INDEX(Références!$J$2:$J$201,MATCH($A8,Références!$A$2:$A$201,0)),""))</f>
        <v>À lire</v>
      </c>
      <c r="E8" s="39">
        <f>IF($A8="","",IFERROR(INDEX(Références!$I$2:$I$201,MATCH($A8,Références!$A$2:$A$201,0)),""))</f>
        <v>1</v>
      </c>
      <c r="F8" s="45"/>
      <c r="G8" s="45"/>
      <c r="H8" s="45"/>
      <c r="I8" s="45"/>
      <c r="J8" s="45"/>
      <c r="K8" s="71"/>
    </row>
    <row r="9" spans="1:11" ht="25.5" x14ac:dyDescent="0.25">
      <c r="A9" s="38" t="s">
        <v>312</v>
      </c>
      <c r="B9" s="39" t="str">
        <f>IF($A9="","",IFERROR(INDEX(Références!$C$2:$C$201,MATCH($A9,Références!$A$2:$A$201,0)),""))</f>
        <v>Petitjean et al. (2001)</v>
      </c>
      <c r="C9" s="39" t="str">
        <f>IF($A9="","",IFERROR(INDEX(Références!$D$2:$D$201,MATCH($A9,Références!$A$2:$A$201,0)),""))</f>
        <v>LCPC / Airbus / STBA A380 Pavement Experimental Programme</v>
      </c>
      <c r="D9" s="39" t="str">
        <f>IF($A9="","",IFERROR(INDEX(Références!$J$2:$J$201,MATCH($A9,Références!$A$2:$A$201,0)),""))</f>
        <v>À lire</v>
      </c>
      <c r="E9" s="39">
        <f>IF($A9="","",IFERROR(INDEX(Références!$I$2:$I$201,MATCH($A9,Références!$A$2:$A$201,0)),""))</f>
        <v>1</v>
      </c>
      <c r="F9" s="45"/>
      <c r="G9" s="45"/>
      <c r="H9" s="45"/>
      <c r="I9" s="45"/>
      <c r="J9" s="45"/>
      <c r="K9" s="71"/>
    </row>
    <row r="10" spans="1:11" ht="25.5" x14ac:dyDescent="0.25">
      <c r="A10" s="38" t="s">
        <v>324</v>
      </c>
      <c r="B10" s="39" t="str">
        <f>IF($A10="","",IFERROR(INDEX(Références!$C$2:$C$201,MATCH($A10,Références!$A$2:$A$201,0)),""))</f>
        <v>STAC (2011)</v>
      </c>
      <c r="C10" s="39" t="str">
        <f>IF($A10="","",IFERROR(INDEX(Références!$D$2:$D$201,MATCH($A10,Références!$A$2:$A$201,0)),""))</f>
        <v>High tire pressure test — Rapport d'étude (version 1)</v>
      </c>
      <c r="D10" s="39" t="str">
        <f>IF($A10="","",IFERROR(INDEX(Références!$J$2:$J$201,MATCH($A10,Références!$A$2:$A$201,0)),""))</f>
        <v>À lire</v>
      </c>
      <c r="E10" s="39">
        <f>IF($A10="","",IFERROR(INDEX(Références!$I$2:$I$201,MATCH($A10,Références!$A$2:$A$201,0)),""))</f>
        <v>1</v>
      </c>
      <c r="F10" s="45"/>
      <c r="G10" s="45"/>
      <c r="H10" s="45"/>
      <c r="I10" s="45"/>
      <c r="J10" s="45"/>
      <c r="K10" s="71"/>
    </row>
    <row r="11" spans="1:11" ht="51" x14ac:dyDescent="0.25">
      <c r="A11" s="38" t="s">
        <v>335</v>
      </c>
      <c r="B11" s="39" t="str">
        <f>IF($A11="","",IFERROR(INDEX(Références!$C$2:$C$201,MATCH($A11,Références!$A$2:$A$201,0)),""))</f>
        <v>De Beer &amp; Fisher (2000)</v>
      </c>
      <c r="C11" s="39" t="str">
        <f>IF($A11="","",IFERROR(INDEX(Références!$D$2:$D$201,MATCH($A11,Références!$A$2:$A$201,0)),""))</f>
        <v>Contact stresses of the 11.00-R22.5 pneumatic radial tyres on the Gautrans Heavy Vehicle Simulator (HVS) measured with the Vehicle-Road Pressure Transducer Array (VRSPTA) system</v>
      </c>
      <c r="D11" s="39" t="str">
        <f>IF($A11="","",IFERROR(INDEX(Références!$J$2:$J$201,MATCH($A11,Références!$A$2:$A$201,0)),""))</f>
        <v>À lire</v>
      </c>
      <c r="E11" s="39">
        <f>IF($A11="","",IFERROR(INDEX(Références!$I$2:$I$201,MATCH($A11,Références!$A$2:$A$201,0)),""))</f>
        <v>1</v>
      </c>
      <c r="F11" s="45"/>
      <c r="G11" s="45"/>
      <c r="H11" s="45"/>
      <c r="I11" s="45"/>
      <c r="J11" s="45"/>
      <c r="K11" s="71"/>
    </row>
    <row r="12" spans="1:11" ht="38.25" x14ac:dyDescent="0.25">
      <c r="A12" s="38" t="s">
        <v>349</v>
      </c>
      <c r="B12" s="39" t="str">
        <f>IF($A12="","",IFERROR(INDEX(Références!$C$2:$C$201,MATCH($A12,Références!$A$2:$A$201,0)),""))</f>
        <v>De Beer et al. (2004)</v>
      </c>
      <c r="C12" s="39" t="str">
        <f>IF($A12="","",IFERROR(INDEX(Références!$D$2:$D$201,MATCH($A12,Références!$A$2:$A$201,0)),""))</f>
        <v>Towards the application of Stress-In-Motion (SIM) results in pavement design and infrastructure protection</v>
      </c>
      <c r="D12" s="39" t="str">
        <f>IF($A12="","",IFERROR(INDEX(Références!$J$2:$J$201,MATCH($A12,Références!$A$2:$A$201,0)),""))</f>
        <v>À lire</v>
      </c>
      <c r="E12" s="39">
        <f>IF($A12="","",IFERROR(INDEX(Références!$I$2:$I$201,MATCH($A12,Références!$A$2:$A$201,0)),""))</f>
        <v>1</v>
      </c>
      <c r="F12" s="45"/>
      <c r="G12" s="45"/>
      <c r="H12" s="45"/>
      <c r="I12" s="45"/>
      <c r="J12" s="45"/>
      <c r="K12" s="71"/>
    </row>
    <row r="13" spans="1:11" ht="25.5" x14ac:dyDescent="0.25">
      <c r="A13" s="38" t="s">
        <v>362</v>
      </c>
      <c r="B13" s="39" t="str">
        <f>IF($A13="","",IFERROR(INDEX(Références!$C$2:$C$201,MATCH($A13,Références!$A$2:$A$201,0)),""))</f>
        <v>Gong et al. (2024)</v>
      </c>
      <c r="C13" s="39" t="str">
        <f>IF($A13="","",IFERROR(INDEX(Références!$D$2:$D$201,MATCH($A13,Références!$A$2:$A$201,0)),""))</f>
        <v>Review of research on tire–pavement contact behavior</v>
      </c>
      <c r="D13" s="39" t="str">
        <f>IF($A13="","",IFERROR(INDEX(Références!$J$2:$J$201,MATCH($A13,Références!$A$2:$A$201,0)),""))</f>
        <v>À lire</v>
      </c>
      <c r="E13" s="39">
        <f>IF($A13="","",IFERROR(INDEX(Références!$I$2:$I$201,MATCH($A13,Références!$A$2:$A$201,0)),""))</f>
        <v>1</v>
      </c>
      <c r="F13" s="45"/>
      <c r="G13" s="45"/>
      <c r="H13" s="45"/>
      <c r="I13" s="45"/>
      <c r="J13" s="45"/>
      <c r="K13" s="71"/>
    </row>
    <row r="14" spans="1:11" ht="38.25" x14ac:dyDescent="0.25">
      <c r="A14" s="38" t="s">
        <v>376</v>
      </c>
      <c r="B14" s="39" t="str">
        <f>IF($A14="","",IFERROR(INDEX(Références!$C$2:$C$201,MATCH($A14,Références!$A$2:$A$201,0)),""))</f>
        <v>Hansen et al. (1989)</v>
      </c>
      <c r="C14" s="39" t="str">
        <f>IF($A14="","",IFERROR(INDEX(Références!$D$2:$D$201,MATCH($A14,Références!$A$2:$A$201,0)),""))</f>
        <v>Truck tire pavement contact pressure distribution characteristics for super single 18-22.5 and smooth 11R24.5 tires</v>
      </c>
      <c r="D14" s="39" t="str">
        <f>IF($A14="","",IFERROR(INDEX(Références!$J$2:$J$201,MATCH($A14,Références!$A$2:$A$201,0)),""))</f>
        <v>À lire</v>
      </c>
      <c r="E14" s="39">
        <f>IF($A14="","",IFERROR(INDEX(Références!$I$2:$I$201,MATCH($A14,Références!$A$2:$A$201,0)),""))</f>
        <v>1</v>
      </c>
      <c r="F14" s="45"/>
      <c r="G14" s="45"/>
      <c r="H14" s="45"/>
      <c r="I14" s="45"/>
      <c r="J14" s="45"/>
      <c r="K14" s="71"/>
    </row>
    <row r="15" spans="1:11" ht="25.5" x14ac:dyDescent="0.25">
      <c r="A15" s="38" t="s">
        <v>388</v>
      </c>
      <c r="B15" s="39" t="str">
        <f>IF($A15="","",IFERROR(INDEX(Références!$C$2:$C$201,MATCH($A15,Références!$A$2:$A$201,0)),""))</f>
        <v>Tielking &amp; Roberts (1987)</v>
      </c>
      <c r="C15" s="39" t="str">
        <f>IF($A15="","",IFERROR(INDEX(Références!$D$2:$D$201,MATCH($A15,Références!$A$2:$A$201,0)),""))</f>
        <v>Tire contact pressure and its effect on pavement strain</v>
      </c>
      <c r="D15" s="39" t="str">
        <f>IF($A15="","",IFERROR(INDEX(Références!$J$2:$J$201,MATCH($A15,Références!$A$2:$A$201,0)),""))</f>
        <v>À lire</v>
      </c>
      <c r="E15" s="39">
        <f>IF($A15="","",IFERROR(INDEX(Références!$I$2:$I$201,MATCH($A15,Références!$A$2:$A$201,0)),""))</f>
        <v>1</v>
      </c>
      <c r="F15" s="45"/>
      <c r="G15" s="45"/>
      <c r="H15" s="45"/>
      <c r="I15" s="45"/>
      <c r="J15" s="45"/>
      <c r="K15" s="71"/>
    </row>
    <row r="16" spans="1:11" ht="25.5" x14ac:dyDescent="0.25">
      <c r="A16" s="38" t="s">
        <v>402</v>
      </c>
      <c r="B16" s="39" t="str">
        <f>IF($A16="","",IFERROR(INDEX(Références!$C$2:$C$201,MATCH($A16,Références!$A$2:$A$201,0)),""))</f>
        <v>Guan et al. (2023)</v>
      </c>
      <c r="C16" s="39" t="str">
        <f>IF($A16="","",IFERROR(INDEX(Références!$D$2:$D$201,MATCH($A16,Références!$A$2:$A$201,0)),""))</f>
        <v>Measurement of tire-pavement contact tri-axial stress distribution based on sensor array</v>
      </c>
      <c r="D16" s="39" t="str">
        <f>IF($A16="","",IFERROR(INDEX(Références!$J$2:$J$201,MATCH($A16,Références!$A$2:$A$201,0)),""))</f>
        <v>À lire</v>
      </c>
      <c r="E16" s="39">
        <f>IF($A16="","",IFERROR(INDEX(Références!$I$2:$I$201,MATCH($A16,Références!$A$2:$A$201,0)),""))</f>
        <v>1</v>
      </c>
      <c r="F16" s="45"/>
      <c r="G16" s="45"/>
      <c r="H16" s="45"/>
      <c r="I16" s="45"/>
      <c r="J16" s="45"/>
      <c r="K16" s="71"/>
    </row>
    <row r="17" spans="1:11" ht="25.5" x14ac:dyDescent="0.25">
      <c r="A17" s="38" t="s">
        <v>415</v>
      </c>
      <c r="B17" s="39" t="str">
        <f>IF($A17="","",IFERROR(INDEX(Références!$C$2:$C$201,MATCH($A17,Références!$A$2:$A$201,0)),""))</f>
        <v>Luo et al. (2025)</v>
      </c>
      <c r="C17" s="39" t="str">
        <f>IF($A17="","",IFERROR(INDEX(Références!$D$2:$D$201,MATCH($A17,Références!$A$2:$A$201,0)),""))</f>
        <v>Tire-pavement contact behavior: A simplified model for predictive surface contact analysis</v>
      </c>
      <c r="D17" s="39" t="str">
        <f>IF($A17="","",IFERROR(INDEX(Références!$J$2:$J$201,MATCH($A17,Références!$A$2:$A$201,0)),""))</f>
        <v>À lire</v>
      </c>
      <c r="E17" s="39">
        <f>IF($A17="","",IFERROR(INDEX(Références!$I$2:$I$201,MATCH($A17,Références!$A$2:$A$201,0)),""))</f>
        <v>1</v>
      </c>
      <c r="F17" s="45"/>
      <c r="G17" s="45"/>
      <c r="H17" s="45"/>
      <c r="I17" s="45"/>
      <c r="J17" s="45"/>
      <c r="K17" s="71"/>
    </row>
    <row r="18" spans="1:11" ht="38.25" x14ac:dyDescent="0.25">
      <c r="A18" s="38" t="s">
        <v>427</v>
      </c>
      <c r="B18" s="39" t="str">
        <f>IF($A18="","",IFERROR(INDEX(Références!$C$2:$C$201,MATCH($A18,Références!$A$2:$A$201,0)),""))</f>
        <v>Song et al. (2025)</v>
      </c>
      <c r="C18" s="39" t="str">
        <f>IF($A18="","",IFERROR(INDEX(Références!$D$2:$D$201,MATCH($A18,Références!$A$2:$A$201,0)),""))</f>
        <v>High-precision normal stress measurement methods for tire–road contact and its spatial and frequency domain distribution characteristics</v>
      </c>
      <c r="D18" s="39" t="str">
        <f>IF($A18="","",IFERROR(INDEX(Références!$J$2:$J$201,MATCH($A18,Références!$A$2:$A$201,0)),""))</f>
        <v>À lire</v>
      </c>
      <c r="E18" s="39">
        <f>IF($A18="","",IFERROR(INDEX(Références!$I$2:$I$201,MATCH($A18,Références!$A$2:$A$201,0)),""))</f>
        <v>1</v>
      </c>
      <c r="F18" s="45"/>
      <c r="G18" s="45"/>
      <c r="H18" s="45"/>
      <c r="I18" s="45"/>
      <c r="J18" s="45"/>
      <c r="K18" s="71"/>
    </row>
    <row r="19" spans="1:11" x14ac:dyDescent="0.25">
      <c r="A19" s="38" t="s">
        <v>437</v>
      </c>
      <c r="B19" s="39" t="str">
        <f>IF($A19="","",IFERROR(INDEX(Références!$C$2:$C$201,MATCH($A19,Références!$A$2:$A$201,0)),""))</f>
        <v>Tielking (1989)</v>
      </c>
      <c r="C19" s="39" t="str">
        <f>IF($A19="","",IFERROR(INDEX(Références!$D$2:$D$201,MATCH($A19,Références!$A$2:$A$201,0)),""))</f>
        <v>Aircraft tire/pavement pressure distributions</v>
      </c>
      <c r="D19" s="39" t="str">
        <f>IF($A19="","",IFERROR(INDEX(Références!$J$2:$J$201,MATCH($A19,Références!$A$2:$A$201,0)),""))</f>
        <v>À lire</v>
      </c>
      <c r="E19" s="39">
        <f>IF($A19="","",IFERROR(INDEX(Références!$I$2:$I$201,MATCH($A19,Références!$A$2:$A$201,0)),""))</f>
        <v>1</v>
      </c>
      <c r="F19" s="45"/>
      <c r="G19" s="45"/>
      <c r="H19" s="45"/>
      <c r="I19" s="45"/>
      <c r="J19" s="45"/>
      <c r="K19" s="71"/>
    </row>
    <row r="20" spans="1:11" ht="38.25" x14ac:dyDescent="0.25">
      <c r="A20" s="38" t="s">
        <v>449</v>
      </c>
      <c r="B20" s="39" t="str">
        <f>IF($A20="","",IFERROR(INDEX(Références!$C$2:$C$201,MATCH($A20,Références!$A$2:$A$201,0)),""))</f>
        <v>Wang et al. (2021)</v>
      </c>
      <c r="C20" s="39" t="str">
        <f>IF($A20="","",IFERROR(INDEX(Références!$D$2:$D$201,MATCH($A20,Références!$A$2:$A$201,0)),""))</f>
        <v>Characterization of dynamic response of asphalt pavement in dry and saturated conditions using the full-scale accelerated loading test</v>
      </c>
      <c r="D20" s="39" t="str">
        <f>IF($A20="","",IFERROR(INDEX(Références!$J$2:$J$201,MATCH($A20,Références!$A$2:$A$201,0)),""))</f>
        <v>À lire</v>
      </c>
      <c r="E20" s="39">
        <f>IF($A20="","",IFERROR(INDEX(Références!$I$2:$I$201,MATCH($A20,Références!$A$2:$A$201,0)),""))</f>
        <v>1</v>
      </c>
      <c r="F20" s="45"/>
      <c r="G20" s="45"/>
      <c r="H20" s="45"/>
      <c r="I20" s="45"/>
      <c r="J20" s="45"/>
      <c r="K20" s="71"/>
    </row>
    <row r="21" spans="1:11" ht="38.25" x14ac:dyDescent="0.25">
      <c r="A21" s="38" t="s">
        <v>459</v>
      </c>
      <c r="B21" s="39" t="str">
        <f>IF($A21="","",IFERROR(INDEX(Références!$C$2:$C$201,MATCH($A21,Références!$A$2:$A$201,0)),""))</f>
        <v>Wesołowski et al. (2020)</v>
      </c>
      <c r="C21" s="39" t="str">
        <f>IF($A21="","",IFERROR(INDEX(Références!$D$2:$D$201,MATCH($A21,Références!$A$2:$A$201,0)),""))</f>
        <v>Analysis of the actual contact surface of selected aircraft tires with the airport pavement as a function of pressure and vertical load</v>
      </c>
      <c r="D21" s="39" t="str">
        <f>IF($A21="","",IFERROR(INDEX(Références!$J$2:$J$201,MATCH($A21,Références!$A$2:$A$201,0)),""))</f>
        <v>À lire</v>
      </c>
      <c r="E21" s="39">
        <f>IF($A21="","",IFERROR(INDEX(Références!$I$2:$I$201,MATCH($A21,Références!$A$2:$A$201,0)),""))</f>
        <v>1</v>
      </c>
      <c r="F21" s="45"/>
      <c r="G21" s="45"/>
      <c r="H21" s="45"/>
      <c r="I21" s="45"/>
      <c r="J21" s="45"/>
      <c r="K21" s="71"/>
    </row>
    <row r="22" spans="1:11" ht="25.5" x14ac:dyDescent="0.25">
      <c r="A22" s="38" t="s">
        <v>470</v>
      </c>
      <c r="B22" s="39" t="str">
        <f>IF($A22="","",IFERROR(INDEX(Références!$C$2:$C$201,MATCH($A22,Références!$A$2:$A$201,0)),""))</f>
        <v>Di Benedetto et al. (2004)</v>
      </c>
      <c r="C22" s="39" t="str">
        <f>IF($A22="","",IFERROR(INDEX(Références!$D$2:$D$201,MATCH($A22,Références!$A$2:$A$201,0)),""))</f>
        <v>Linear viscoelastic behaviour of bituminous materials: From binders to mixes</v>
      </c>
      <c r="D22" s="39" t="str">
        <f>IF($A22="","",IFERROR(INDEX(Références!$J$2:$J$201,MATCH($A22,Références!$A$2:$A$201,0)),""))</f>
        <v>À lire</v>
      </c>
      <c r="E22" s="39">
        <f>IF($A22="","",IFERROR(INDEX(Références!$I$2:$I$201,MATCH($A22,Références!$A$2:$A$201,0)),""))</f>
        <v>2</v>
      </c>
      <c r="F22" s="45"/>
      <c r="G22" s="45"/>
      <c r="H22" s="45"/>
      <c r="I22" s="45"/>
      <c r="J22" s="45"/>
      <c r="K22" s="71"/>
    </row>
    <row r="23" spans="1:11" ht="38.25" x14ac:dyDescent="0.25">
      <c r="A23" s="38" t="s">
        <v>485</v>
      </c>
      <c r="B23" s="39" t="str">
        <f>IF($A23="","",IFERROR(INDEX(Références!$C$2:$C$201,MATCH($A23,Références!$A$2:$A$201,0)),""))</f>
        <v>Olard &amp; Di Benedetto (2003)</v>
      </c>
      <c r="C23" s="39" t="str">
        <f>IF($A23="","",IFERROR(INDEX(Références!$D$2:$D$201,MATCH($A23,Références!$A$2:$A$201,0)),""))</f>
        <v>General "2S2P1D" model and relation between the linear viscoelastic behaviours of bituminous binders and mixes</v>
      </c>
      <c r="D23" s="39" t="str">
        <f>IF($A23="","",IFERROR(INDEX(Références!$J$2:$J$201,MATCH($A23,Références!$A$2:$A$201,0)),""))</f>
        <v>À lire</v>
      </c>
      <c r="E23" s="39">
        <f>IF($A23="","",IFERROR(INDEX(Références!$I$2:$I$201,MATCH($A23,Références!$A$2:$A$201,0)),""))</f>
        <v>2</v>
      </c>
      <c r="F23" s="45"/>
      <c r="G23" s="45"/>
      <c r="H23" s="45"/>
      <c r="I23" s="45"/>
      <c r="J23" s="45"/>
      <c r="K23" s="71"/>
    </row>
    <row r="24" spans="1:11" ht="38.25" x14ac:dyDescent="0.25">
      <c r="A24" s="38" t="s">
        <v>496</v>
      </c>
      <c r="B24" s="39" t="str">
        <f>IF($A24="","",IFERROR(INDEX(Références!$C$2:$C$201,MATCH($A24,Références!$A$2:$A$201,0)),""))</f>
        <v>Tiouajni et al. (2011)</v>
      </c>
      <c r="C24" s="39" t="str">
        <f>IF($A24="","",IFERROR(INDEX(Références!$D$2:$D$201,MATCH($A24,Références!$A$2:$A$201,0)),""))</f>
        <v>Approximation of linear viscoelastic model in the 3 dimensional case with mechanical analogues of finite size: Application to bituminous materials</v>
      </c>
      <c r="D24" s="39" t="str">
        <f>IF($A24="","",IFERROR(INDEX(Références!$J$2:$J$201,MATCH($A24,Références!$A$2:$A$201,0)),""))</f>
        <v>À lire</v>
      </c>
      <c r="E24" s="39">
        <f>IF($A24="","",IFERROR(INDEX(Références!$I$2:$I$201,MATCH($A24,Références!$A$2:$A$201,0)),""))</f>
        <v>2</v>
      </c>
      <c r="F24" s="45"/>
      <c r="G24" s="45"/>
      <c r="H24" s="45"/>
      <c r="I24" s="45"/>
      <c r="J24" s="45"/>
      <c r="K24" s="71"/>
    </row>
    <row r="25" spans="1:11" ht="51" x14ac:dyDescent="0.25">
      <c r="A25" s="38" t="s">
        <v>507</v>
      </c>
      <c r="B25" s="39" t="str">
        <f>IF($A25="","",IFERROR(INDEX(Références!$C$2:$C$201,MATCH($A25,Références!$A$2:$A$201,0)),""))</f>
        <v>De Beer et al. (1997)</v>
      </c>
      <c r="C25" s="39" t="str">
        <f>IF($A25="","",IFERROR(INDEX(Références!$D$2:$D$201,MATCH($A25,Références!$A$2:$A$201,0)),""))</f>
        <v>Determination of pneumatic tyre/pavement interface contact stresses under moving loads and some effects on pavements with thin asphalt surfacing layers</v>
      </c>
      <c r="D25" s="39" t="str">
        <f>IF($A25="","",IFERROR(INDEX(Références!$J$2:$J$201,MATCH($A25,Références!$A$2:$A$201,0)),""))</f>
        <v>À lire</v>
      </c>
      <c r="E25" s="39">
        <f>IF($A25="","",IFERROR(INDEX(Références!$I$2:$I$201,MATCH($A25,Références!$A$2:$A$201,0)),""))</f>
        <v>2</v>
      </c>
      <c r="F25" s="45"/>
      <c r="G25" s="45"/>
      <c r="H25" s="45"/>
      <c r="I25" s="45"/>
      <c r="J25" s="45"/>
      <c r="K25" s="71"/>
    </row>
    <row r="26" spans="1:11" ht="25.5" x14ac:dyDescent="0.25">
      <c r="A26" s="38" t="s">
        <v>521</v>
      </c>
      <c r="B26" s="39" t="str">
        <f>IF($A26="","",IFERROR(INDEX(Références!$C$2:$C$201,MATCH($A26,Références!$A$2:$A$201,0)),""))</f>
        <v>De Beer et al. (2002)</v>
      </c>
      <c r="C26" s="39" t="str">
        <f>IF($A26="","",IFERROR(INDEX(Références!$D$2:$D$201,MATCH($A26,Références!$A$2:$A$201,0)),""))</f>
        <v>Evaluation of non-uniform tyre contact stresses on thin asphalt pavements</v>
      </c>
      <c r="D26" s="39" t="str">
        <f>IF($A26="","",IFERROR(INDEX(Références!$J$2:$J$201,MATCH($A26,Références!$A$2:$A$201,0)),""))</f>
        <v>À lire</v>
      </c>
      <c r="E26" s="39">
        <f>IF($A26="","",IFERROR(INDEX(Références!$I$2:$I$201,MATCH($A26,Références!$A$2:$A$201,0)),""))</f>
        <v>2</v>
      </c>
      <c r="F26" s="45"/>
      <c r="G26" s="45"/>
      <c r="H26" s="45"/>
      <c r="I26" s="45"/>
      <c r="J26" s="45"/>
      <c r="K26" s="71"/>
    </row>
    <row r="27" spans="1:11" ht="25.5" x14ac:dyDescent="0.25">
      <c r="A27" s="38" t="s">
        <v>534</v>
      </c>
      <c r="B27" s="39" t="str">
        <f>IF($A27="","",IFERROR(INDEX(Références!$C$2:$C$201,MATCH($A27,Références!$A$2:$A$201,0)),""))</f>
        <v>Daugherty (2003)</v>
      </c>
      <c r="C27" s="39" t="str">
        <f>IF($A27="","",IFERROR(INDEX(Références!$D$2:$D$201,MATCH($A27,Références!$A$2:$A$201,0)),""))</f>
        <v>A study of the mechanical properties of modern radial aircraft tires</v>
      </c>
      <c r="D27" s="39" t="str">
        <f>IF($A27="","",IFERROR(INDEX(Références!$J$2:$J$201,MATCH($A27,Références!$A$2:$A$201,0)),""))</f>
        <v>À lire</v>
      </c>
      <c r="E27" s="39">
        <f>IF($A27="","",IFERROR(INDEX(Références!$I$2:$I$201,MATCH($A27,Références!$A$2:$A$201,0)),""))</f>
        <v>2</v>
      </c>
      <c r="F27" s="45"/>
      <c r="G27" s="45"/>
      <c r="H27" s="45"/>
      <c r="I27" s="45"/>
      <c r="J27" s="45"/>
      <c r="K27" s="71"/>
    </row>
    <row r="28" spans="1:11" ht="25.5" x14ac:dyDescent="0.25">
      <c r="A28" s="38" t="s">
        <v>545</v>
      </c>
      <c r="B28" s="39" t="str">
        <f>IF($A28="","",IFERROR(INDEX(Références!$C$2:$C$201,MATCH($A28,Références!$A$2:$A$201,0)),""))</f>
        <v>He et al. (2021)</v>
      </c>
      <c r="C28" s="39" t="str">
        <f>IF($A28="","",IFERROR(INDEX(Références!$D$2:$D$201,MATCH($A28,Références!$A$2:$A$201,0)),""))</f>
        <v>Analysis of the tire-pavement contact stress characteristics during vehicle maneuvering</v>
      </c>
      <c r="D28" s="39" t="str">
        <f>IF($A28="","",IFERROR(INDEX(Références!$J$2:$J$201,MATCH($A28,Références!$A$2:$A$201,0)),""))</f>
        <v>À lire</v>
      </c>
      <c r="E28" s="39">
        <f>IF($A28="","",IFERROR(INDEX(Références!$I$2:$I$201,MATCH($A28,Références!$A$2:$A$201,0)),""))</f>
        <v>2</v>
      </c>
      <c r="F28" s="45"/>
      <c r="G28" s="45"/>
      <c r="H28" s="45"/>
      <c r="I28" s="45"/>
      <c r="J28" s="45"/>
      <c r="K28" s="71"/>
    </row>
    <row r="29" spans="1:11" ht="25.5" x14ac:dyDescent="0.25">
      <c r="A29" s="38" t="s">
        <v>557</v>
      </c>
      <c r="B29" s="39" t="str">
        <f>IF($A29="","",IFERROR(INDEX(Références!$C$2:$C$201,MATCH($A29,Références!$A$2:$A$201,0)),""))</f>
        <v>Kongo Kondé et al. (2013)</v>
      </c>
      <c r="C29" s="39" t="str">
        <f>IF($A29="","",IFERROR(INDEX(Références!$D$2:$D$201,MATCH($A29,Références!$A$2:$A$201,0)),""))</f>
        <v>On the modeling of aircraft tire</v>
      </c>
      <c r="D29" s="39" t="str">
        <f>IF($A29="","",IFERROR(INDEX(Références!$J$2:$J$201,MATCH($A29,Références!$A$2:$A$201,0)),""))</f>
        <v>À lire</v>
      </c>
      <c r="E29" s="39">
        <f>IF($A29="","",IFERROR(INDEX(Références!$I$2:$I$201,MATCH($A29,Références!$A$2:$A$201,0)),""))</f>
        <v>2</v>
      </c>
      <c r="F29" s="45"/>
      <c r="G29" s="45"/>
      <c r="H29" s="45"/>
      <c r="I29" s="45"/>
      <c r="J29" s="45"/>
      <c r="K29" s="71"/>
    </row>
    <row r="30" spans="1:11" ht="38.25" x14ac:dyDescent="0.25">
      <c r="A30" s="38" t="s">
        <v>569</v>
      </c>
      <c r="B30" s="39" t="str">
        <f>IF($A30="","",IFERROR(INDEX(Références!$C$2:$C$201,MATCH($A30,Références!$A$2:$A$201,0)),""))</f>
        <v>Wang et al. (2012)</v>
      </c>
      <c r="C30" s="39" t="str">
        <f>IF($A30="","",IFERROR(INDEX(Références!$D$2:$D$201,MATCH($A30,Références!$A$2:$A$201,0)),""))</f>
        <v>Simulation of tyre–pavement interaction for predicting contact stresses at static and various rolling conditions</v>
      </c>
      <c r="D30" s="39" t="str">
        <f>IF($A30="","",IFERROR(INDEX(Références!$J$2:$J$201,MATCH($A30,Références!$A$2:$A$201,0)),""))</f>
        <v>À lire</v>
      </c>
      <c r="E30" s="39">
        <f>IF($A30="","",IFERROR(INDEX(Références!$I$2:$I$201,MATCH($A30,Références!$A$2:$A$201,0)),""))</f>
        <v>2</v>
      </c>
      <c r="F30" s="45"/>
      <c r="G30" s="45"/>
      <c r="H30" s="45"/>
      <c r="I30" s="45"/>
      <c r="J30" s="45"/>
      <c r="K30" s="71"/>
    </row>
    <row r="31" spans="1:11" ht="25.5" x14ac:dyDescent="0.25">
      <c r="A31" s="38" t="s">
        <v>580</v>
      </c>
      <c r="B31" s="39" t="str">
        <f>IF($A31="","",IFERROR(INDEX(Références!$C$2:$C$201,MATCH($A31,Références!$A$2:$A$201,0)),""))</f>
        <v>Xie &amp; Yang (2019)</v>
      </c>
      <c r="C31" s="39" t="str">
        <f>IF($A31="","",IFERROR(INDEX(Références!$D$2:$D$201,MATCH($A31,Références!$A$2:$A$201,0)),""))</f>
        <v>Tyre–pavement contact stress distribution considering tyre types</v>
      </c>
      <c r="D31" s="39" t="str">
        <f>IF($A31="","",IFERROR(INDEX(Références!$J$2:$J$201,MATCH($A31,Références!$A$2:$A$201,0)),""))</f>
        <v>À lire</v>
      </c>
      <c r="E31" s="39">
        <f>IF($A31="","",IFERROR(INDEX(Références!$I$2:$I$201,MATCH($A31,Références!$A$2:$A$201,0)),""))</f>
        <v>2</v>
      </c>
      <c r="F31" s="45"/>
      <c r="G31" s="45"/>
      <c r="H31" s="45"/>
      <c r="I31" s="45"/>
      <c r="J31" s="45"/>
      <c r="K31" s="71"/>
    </row>
    <row r="32" spans="1:11" ht="38.25" x14ac:dyDescent="0.25">
      <c r="A32" s="38" t="s">
        <v>591</v>
      </c>
      <c r="B32" s="39" t="str">
        <f>IF($A32="","",IFERROR(INDEX(Références!$C$2:$C$201,MATCH($A32,Références!$A$2:$A$201,0)),""))</f>
        <v>Huet (1963)</v>
      </c>
      <c r="C32" s="39" t="str">
        <f>IF($A32="","",IFERROR(INDEX(Références!$D$2:$D$201,MATCH($A32,Références!$A$2:$A$201,0)),""))</f>
        <v>Étude par une méthode d'impédance du comportement viscoélastique des matériaux hydrocarbonés</v>
      </c>
      <c r="D32" s="39" t="str">
        <f>IF($A32="","",IFERROR(INDEX(Références!$J$2:$J$201,MATCH($A32,Références!$A$2:$A$201,0)),""))</f>
        <v>À lire</v>
      </c>
      <c r="E32" s="39">
        <f>IF($A32="","",IFERROR(INDEX(Références!$I$2:$I$201,MATCH($A32,Références!$A$2:$A$201,0)),""))</f>
        <v>2</v>
      </c>
      <c r="F32" s="45"/>
      <c r="G32" s="45"/>
      <c r="H32" s="45"/>
      <c r="I32" s="45"/>
      <c r="J32" s="45"/>
      <c r="K32" s="71"/>
    </row>
    <row r="33" spans="1:11" ht="38.25" x14ac:dyDescent="0.25">
      <c r="A33" s="38" t="s">
        <v>603</v>
      </c>
      <c r="B33" s="39" t="str">
        <f>IF($A33="","",IFERROR(INDEX(Références!$C$2:$C$201,MATCH($A33,Références!$A$2:$A$201,0)),""))</f>
        <v>Park &amp; Schapery (1999)</v>
      </c>
      <c r="C33" s="39" t="str">
        <f>IF($A33="","",IFERROR(INDEX(Références!$D$2:$D$201,MATCH($A33,Références!$A$2:$A$201,0)),""))</f>
        <v>Methods of interconversion between linear viscoelastic material functions. Part I—A numerical method based on Prony series</v>
      </c>
      <c r="D33" s="39" t="str">
        <f>IF($A33="","",IFERROR(INDEX(Références!$J$2:$J$201,MATCH($A33,Références!$A$2:$A$201,0)),""))</f>
        <v>À lire</v>
      </c>
      <c r="E33" s="39">
        <f>IF($A33="","",IFERROR(INDEX(Références!$I$2:$I$201,MATCH($A33,Références!$A$2:$A$201,0)),""))</f>
        <v>2</v>
      </c>
      <c r="F33" s="45"/>
      <c r="G33" s="45"/>
      <c r="H33" s="45"/>
      <c r="I33" s="45"/>
      <c r="J33" s="45"/>
      <c r="K33" s="71"/>
    </row>
    <row r="34" spans="1:11" ht="38.25" x14ac:dyDescent="0.25">
      <c r="A34" s="38" t="s">
        <v>616</v>
      </c>
      <c r="B34" s="39" t="str">
        <f>IF($A34="","",IFERROR(INDEX(Références!$C$2:$C$201,MATCH($A34,Références!$A$2:$A$201,0)),""))</f>
        <v>Sayegh (1965)</v>
      </c>
      <c r="C34" s="39" t="str">
        <f>IF($A34="","",IFERROR(INDEX(Références!$D$2:$D$201,MATCH($A34,Références!$A$2:$A$201,0)),""))</f>
        <v>Contribution à l'étude des propriétés viscoélastiques des bitumes purs et des bétons bitumineux</v>
      </c>
      <c r="D34" s="39" t="str">
        <f>IF($A34="","",IFERROR(INDEX(Références!$J$2:$J$201,MATCH($A34,Références!$A$2:$A$201,0)),""))</f>
        <v>À lire</v>
      </c>
      <c r="E34" s="39">
        <f>IF($A34="","",IFERROR(INDEX(Références!$I$2:$I$201,MATCH($A34,Références!$A$2:$A$201,0)),""))</f>
        <v>2</v>
      </c>
      <c r="F34" s="45"/>
      <c r="G34" s="45"/>
      <c r="H34" s="45"/>
      <c r="I34" s="45"/>
      <c r="J34" s="45"/>
      <c r="K34" s="71"/>
    </row>
    <row r="35" spans="1:11" ht="38.25" x14ac:dyDescent="0.25">
      <c r="A35" s="38" t="s">
        <v>624</v>
      </c>
      <c r="B35" s="39" t="str">
        <f>IF($A35="","",IFERROR(INDEX(Références!$C$2:$C$201,MATCH($A35,Références!$A$2:$A$201,0)),""))</f>
        <v>Behroozi et al. (2012)</v>
      </c>
      <c r="C35" s="39" t="str">
        <f>IF($A35="","",IFERROR(INDEX(Références!$D$2:$D$201,MATCH($A35,Références!$A$2:$A$201,0)),""))</f>
        <v>Finite element analysis of aircraft tyre – Effect of model complexity on tyre performance characteristics</v>
      </c>
      <c r="D35" s="39" t="str">
        <f>IF($A35="","",IFERROR(INDEX(Références!$J$2:$J$201,MATCH($A35,Références!$A$2:$A$201,0)),""))</f>
        <v>À lire</v>
      </c>
      <c r="E35" s="39">
        <f>IF($A35="","",IFERROR(INDEX(Références!$I$2:$I$201,MATCH($A35,Références!$A$2:$A$201,0)),""))</f>
        <v>2</v>
      </c>
      <c r="F35" s="45"/>
      <c r="G35" s="45"/>
      <c r="H35" s="45"/>
      <c r="I35" s="45"/>
      <c r="J35" s="45"/>
      <c r="K35" s="71"/>
    </row>
    <row r="36" spans="1:11" x14ac:dyDescent="0.25">
      <c r="A36" s="38" t="s">
        <v>635</v>
      </c>
      <c r="B36" s="39" t="str">
        <f>IF($A36="","",IFERROR(INDEX(Références!$C$2:$C$201,MATCH($A36,Références!$A$2:$A$201,0)),""))</f>
        <v>El Fahham et al. (2023)</v>
      </c>
      <c r="C36" s="39" t="str">
        <f>IF($A36="","",IFERROR(INDEX(Références!$D$2:$D$201,MATCH($A36,Références!$A$2:$A$201,0)),""))</f>
        <v>Analysis of vehicle tire strength test</v>
      </c>
      <c r="D36" s="39" t="str">
        <f>IF($A36="","",IFERROR(INDEX(Références!$J$2:$J$201,MATCH($A36,Références!$A$2:$A$201,0)),""))</f>
        <v>À lire</v>
      </c>
      <c r="E36" s="39">
        <f>IF($A36="","",IFERROR(INDEX(Références!$I$2:$I$201,MATCH($A36,Références!$A$2:$A$201,0)),""))</f>
        <v>2</v>
      </c>
      <c r="F36" s="45"/>
      <c r="G36" s="45"/>
      <c r="H36" s="45"/>
      <c r="I36" s="45"/>
      <c r="J36" s="45"/>
      <c r="K36" s="71"/>
    </row>
    <row r="37" spans="1:11" x14ac:dyDescent="0.25">
      <c r="A37" s="38" t="s">
        <v>646</v>
      </c>
      <c r="B37" s="39" t="str">
        <f>IF($A37="","",IFERROR(INDEX(Références!$C$2:$C$201,MATCH($A37,Références!$A$2:$A$201,0)),""))</f>
        <v>Ford &amp; Charles (1988)</v>
      </c>
      <c r="C37" s="39" t="str">
        <f>IF($A37="","",IFERROR(INDEX(Références!$D$2:$D$201,MATCH($A37,Références!$A$2:$A$201,0)),""))</f>
        <v>Heavy duty truck tire engineering</v>
      </c>
      <c r="D37" s="39" t="str">
        <f>IF($A37="","",IFERROR(INDEX(Références!$J$2:$J$201,MATCH($A37,Références!$A$2:$A$201,0)),""))</f>
        <v>À lire</v>
      </c>
      <c r="E37" s="39">
        <f>IF($A37="","",IFERROR(INDEX(Références!$I$2:$I$201,MATCH($A37,Références!$A$2:$A$201,0)),""))</f>
        <v>2</v>
      </c>
      <c r="F37" s="45"/>
      <c r="G37" s="45"/>
      <c r="H37" s="45"/>
      <c r="I37" s="45"/>
      <c r="J37" s="45"/>
      <c r="K37" s="71"/>
    </row>
    <row r="38" spans="1:11" x14ac:dyDescent="0.25">
      <c r="A38" s="38" t="s">
        <v>658</v>
      </c>
      <c r="B38" s="39" t="str">
        <f>IF($A38="","",IFERROR(INDEX(Références!$C$2:$C$201,MATCH($A38,Références!$A$2:$A$201,0)),""))</f>
        <v>Gent &amp; Walter (2006)</v>
      </c>
      <c r="C38" s="39" t="str">
        <f>IF($A38="","",IFERROR(INDEX(Références!$D$2:$D$201,MATCH($A38,Références!$A$2:$A$201,0)),""))</f>
        <v>The pneumatic tire</v>
      </c>
      <c r="D38" s="39" t="str">
        <f>IF($A38="","",IFERROR(INDEX(Références!$J$2:$J$201,MATCH($A38,Références!$A$2:$A$201,0)),""))</f>
        <v>À lire</v>
      </c>
      <c r="E38" s="39">
        <f>IF($A38="","",IFERROR(INDEX(Références!$I$2:$I$201,MATCH($A38,Références!$A$2:$A$201,0)),""))</f>
        <v>2</v>
      </c>
      <c r="F38" s="45"/>
      <c r="G38" s="45"/>
      <c r="H38" s="45"/>
      <c r="I38" s="45"/>
      <c r="J38" s="45"/>
      <c r="K38" s="71"/>
    </row>
    <row r="39" spans="1:11" ht="25.5" x14ac:dyDescent="0.25">
      <c r="A39" s="38" t="s">
        <v>670</v>
      </c>
      <c r="B39" s="39" t="str">
        <f>IF($A39="","",IFERROR(INDEX(Références!$C$2:$C$201,MATCH($A39,Références!$A$2:$A$201,0)),""))</f>
        <v>Hernandez &amp; Al-Qadi (2016)</v>
      </c>
      <c r="C39" s="39" t="str">
        <f>IF($A39="","",IFERROR(INDEX(Références!$D$2:$D$201,MATCH($A39,Références!$A$2:$A$201,0)),""))</f>
        <v>Contact phenomenon of free-rolling wide-base tires: Effect of speed and temperature</v>
      </c>
      <c r="D39" s="39" t="str">
        <f>IF($A39="","",IFERROR(INDEX(Références!$J$2:$J$201,MATCH($A39,Références!$A$2:$A$201,0)),""))</f>
        <v>À lire</v>
      </c>
      <c r="E39" s="39">
        <f>IF($A39="","",IFERROR(INDEX(Références!$I$2:$I$201,MATCH($A39,Références!$A$2:$A$201,0)),""))</f>
        <v>2</v>
      </c>
      <c r="F39" s="45"/>
      <c r="G39" s="45"/>
      <c r="H39" s="45"/>
      <c r="I39" s="45"/>
      <c r="J39" s="45"/>
      <c r="K39" s="71"/>
    </row>
    <row r="40" spans="1:11" ht="25.5" x14ac:dyDescent="0.25">
      <c r="A40" s="38" t="s">
        <v>681</v>
      </c>
      <c r="B40" s="39" t="str">
        <f>IF($A40="","",IFERROR(INDEX(Références!$C$2:$C$201,MATCH($A40,Références!$A$2:$A$201,0)),""))</f>
        <v>Kongo Kondé (2011)</v>
      </c>
      <c r="C40" s="39" t="str">
        <f>IF($A40="","",IFERROR(INDEX(Références!$D$2:$D$201,MATCH($A40,Références!$A$2:$A$201,0)),""))</f>
        <v>Modélisation du roulement d'un pneumatique d'avion</v>
      </c>
      <c r="D40" s="39" t="str">
        <f>IF($A40="","",IFERROR(INDEX(Références!$J$2:$J$201,MATCH($A40,Références!$A$2:$A$201,0)),""))</f>
        <v>À lire</v>
      </c>
      <c r="E40" s="39">
        <f>IF($A40="","",IFERROR(INDEX(Références!$I$2:$I$201,MATCH($A40,Références!$A$2:$A$201,0)),""))</f>
        <v>2</v>
      </c>
      <c r="F40" s="45"/>
      <c r="G40" s="45"/>
      <c r="H40" s="45"/>
      <c r="I40" s="45"/>
      <c r="J40" s="45"/>
      <c r="K40" s="71"/>
    </row>
    <row r="41" spans="1:11" ht="25.5" x14ac:dyDescent="0.25">
      <c r="A41" s="38" t="s">
        <v>695</v>
      </c>
      <c r="B41" s="39" t="str">
        <f>IF($A41="","",IFERROR(INDEX(Références!$C$2:$C$201,MATCH($A41,Références!$A$2:$A$201,0)),""))</f>
        <v>Liu et al. (2022)</v>
      </c>
      <c r="C41" s="39" t="str">
        <f>IF($A41="","",IFERROR(INDEX(Références!$D$2:$D$201,MATCH($A41,Références!$A$2:$A$201,0)),""))</f>
        <v>In-plane flexible ring modeling and a nonlinear stiffness solution for heavy-load radial tires</v>
      </c>
      <c r="D41" s="39" t="str">
        <f>IF($A41="","",IFERROR(INDEX(Références!$J$2:$J$201,MATCH($A41,Références!$A$2:$A$201,0)),""))</f>
        <v>À lire</v>
      </c>
      <c r="E41" s="39">
        <f>IF($A41="","",IFERROR(INDEX(Références!$I$2:$I$201,MATCH($A41,Références!$A$2:$A$201,0)),""))</f>
        <v>2</v>
      </c>
      <c r="F41" s="45"/>
      <c r="G41" s="45"/>
      <c r="H41" s="45"/>
      <c r="I41" s="45"/>
      <c r="J41" s="45"/>
      <c r="K41" s="71"/>
    </row>
    <row r="42" spans="1:11" ht="25.5" x14ac:dyDescent="0.25">
      <c r="A42" s="38" t="s">
        <v>707</v>
      </c>
      <c r="B42" s="39" t="str">
        <f>IF($A42="","",IFERROR(INDEX(Références!$C$2:$C$201,MATCH($A42,Références!$A$2:$A$201,0)),""))</f>
        <v>Liu &amp; Al-Qadi (2022)</v>
      </c>
      <c r="C42" s="39" t="str">
        <f>IF($A42="","",IFERROR(INDEX(Références!$D$2:$D$201,MATCH($A42,Références!$A$2:$A$201,0)),""))</f>
        <v>Three-dimensional tire-pavement contact stresses prediction by deep learning approach</v>
      </c>
      <c r="D42" s="39" t="str">
        <f>IF($A42="","",IFERROR(INDEX(Références!$J$2:$J$201,MATCH($A42,Références!$A$2:$A$201,0)),""))</f>
        <v>À lire</v>
      </c>
      <c r="E42" s="39">
        <f>IF($A42="","",IFERROR(INDEX(Références!$I$2:$I$201,MATCH($A42,Références!$A$2:$A$201,0)),""))</f>
        <v>2</v>
      </c>
      <c r="F42" s="45"/>
      <c r="G42" s="45"/>
      <c r="H42" s="45"/>
      <c r="I42" s="45"/>
      <c r="J42" s="45"/>
      <c r="K42" s="71"/>
    </row>
    <row r="43" spans="1:11" ht="38.25" x14ac:dyDescent="0.25">
      <c r="A43" s="38" t="s">
        <v>718</v>
      </c>
      <c r="B43" s="39" t="str">
        <f>IF($A43="","",IFERROR(INDEX(Références!$C$2:$C$201,MATCH($A43,Références!$A$2:$A$201,0)),""))</f>
        <v>Rosu et al. (2018)</v>
      </c>
      <c r="C43" s="39" t="str">
        <f>IF($A43="","",IFERROR(INDEX(Références!$D$2:$D$201,MATCH($A43,Références!$A$2:$A$201,0)),""))</f>
        <v>Finite element modeling of an aircraft tire rolling on a steel drum: Experimental investigations and numerical simulations</v>
      </c>
      <c r="D43" s="39" t="str">
        <f>IF($A43="","",IFERROR(INDEX(Références!$J$2:$J$201,MATCH($A43,Références!$A$2:$A$201,0)),""))</f>
        <v>À lire</v>
      </c>
      <c r="E43" s="39">
        <f>IF($A43="","",IFERROR(INDEX(Références!$I$2:$I$201,MATCH($A43,Références!$A$2:$A$201,0)),""))</f>
        <v>2</v>
      </c>
      <c r="F43" s="45"/>
      <c r="G43" s="45"/>
      <c r="H43" s="45"/>
      <c r="I43" s="45"/>
      <c r="J43" s="45"/>
      <c r="K43" s="71"/>
    </row>
    <row r="44" spans="1:11" ht="25.5" x14ac:dyDescent="0.25">
      <c r="A44" s="38" t="s">
        <v>728</v>
      </c>
      <c r="B44" s="39" t="str">
        <f>IF($A44="","",IFERROR(INDEX(Références!$C$2:$C$201,MATCH($A44,Références!$A$2:$A$201,0)),""))</f>
        <v>Tang et al. (2022)</v>
      </c>
      <c r="C44" s="39" t="str">
        <f>IF($A44="","",IFERROR(INDEX(Références!$D$2:$D$201,MATCH($A44,Références!$A$2:$A$201,0)),""))</f>
        <v>Predictions of three-dimensional contact stresses of a radial truck tire under different driving modes</v>
      </c>
      <c r="D44" s="39" t="str">
        <f>IF($A44="","",IFERROR(INDEX(Références!$J$2:$J$201,MATCH($A44,Références!$A$2:$A$201,0)),""))</f>
        <v>À lire</v>
      </c>
      <c r="E44" s="39">
        <f>IF($A44="","",IFERROR(INDEX(Références!$I$2:$I$201,MATCH($A44,Références!$A$2:$A$201,0)),""))</f>
        <v>2</v>
      </c>
      <c r="F44" s="45"/>
      <c r="G44" s="45"/>
      <c r="H44" s="45"/>
      <c r="I44" s="45"/>
      <c r="J44" s="45"/>
      <c r="K44" s="71"/>
    </row>
    <row r="45" spans="1:11" ht="25.5" x14ac:dyDescent="0.25">
      <c r="A45" s="38" t="s">
        <v>739</v>
      </c>
      <c r="B45" s="39" t="str">
        <f>IF($A45="","",IFERROR(INDEX(Références!$C$2:$C$201,MATCH($A45,Références!$A$2:$A$201,0)),""))</f>
        <v>Di Benedetto &amp; Corté (2005)</v>
      </c>
      <c r="C45" s="39" t="str">
        <f>IF($A45="","",IFERROR(INDEX(Références!$D$2:$D$201,MATCH($A45,Références!$A$2:$A$201,0)),""))</f>
        <v>Matériaux routiers bitumineux 2 : constitution et propriétés thermomécaniques des mélanges</v>
      </c>
      <c r="D45" s="39" t="str">
        <f>IF($A45="","",IFERROR(INDEX(Références!$J$2:$J$201,MATCH($A45,Références!$A$2:$A$201,0)),""))</f>
        <v>À lire</v>
      </c>
      <c r="E45" s="39">
        <f>IF($A45="","",IFERROR(INDEX(Références!$I$2:$I$201,MATCH($A45,Références!$A$2:$A$201,0)),""))</f>
        <v>2</v>
      </c>
      <c r="F45" s="45"/>
      <c r="G45" s="45"/>
      <c r="H45" s="45"/>
      <c r="I45" s="45"/>
      <c r="J45" s="45"/>
      <c r="K45" s="71"/>
    </row>
    <row r="46" spans="1:11" ht="38.25" x14ac:dyDescent="0.25">
      <c r="A46" s="38" t="s">
        <v>751</v>
      </c>
      <c r="B46" s="39" t="str">
        <f>IF($A46="","",IFERROR(INDEX(Références!$C$2:$C$201,MATCH($A46,Références!$A$2:$A$201,0)),""))</f>
        <v>Olard (2003)</v>
      </c>
      <c r="C46" s="39" t="str">
        <f>IF($A46="","",IFERROR(INDEX(Références!$D$2:$D$201,MATCH($A46,Références!$A$2:$A$201,0)),""))</f>
        <v>Comportement thermomécanique des enrobés bitumineux à basses températures. Relations entre les propriétés du liant et de l'enrobé</v>
      </c>
      <c r="D46" s="39" t="str">
        <f>IF($A46="","",IFERROR(INDEX(Références!$J$2:$J$201,MATCH($A46,Références!$A$2:$A$201,0)),""))</f>
        <v>À lire</v>
      </c>
      <c r="E46" s="39">
        <f>IF($A46="","",IFERROR(INDEX(Références!$I$2:$I$201,MATCH($A46,Références!$A$2:$A$201,0)),""))</f>
        <v>2</v>
      </c>
      <c r="F46" s="45"/>
      <c r="G46" s="45"/>
      <c r="H46" s="45"/>
      <c r="I46" s="45"/>
      <c r="J46" s="45"/>
      <c r="K46" s="71"/>
    </row>
    <row r="47" spans="1:11" ht="25.5" x14ac:dyDescent="0.25">
      <c r="A47" s="38" t="s">
        <v>762</v>
      </c>
      <c r="B47" s="39" t="str">
        <f>IF($A47="","",IFERROR(INDEX(Références!$C$2:$C$201,MATCH($A47,Références!$A$2:$A$201,0)),""))</f>
        <v>Tschoegl (1989)</v>
      </c>
      <c r="C47" s="39" t="str">
        <f>IF($A47="","",IFERROR(INDEX(Références!$D$2:$D$201,MATCH($A47,Références!$A$2:$A$201,0)),""))</f>
        <v>The phenomenological theory of linear viscoelastic behavior: An introduction</v>
      </c>
      <c r="D47" s="39" t="str">
        <f>IF($A47="","",IFERROR(INDEX(Références!$J$2:$J$201,MATCH($A47,Références!$A$2:$A$201,0)),""))</f>
        <v>À lire</v>
      </c>
      <c r="E47" s="39">
        <f>IF($A47="","",IFERROR(INDEX(Références!$I$2:$I$201,MATCH($A47,Références!$A$2:$A$201,0)),""))</f>
        <v>2</v>
      </c>
      <c r="F47" s="45"/>
      <c r="G47" s="45"/>
      <c r="H47" s="45"/>
      <c r="I47" s="45"/>
      <c r="J47" s="45"/>
      <c r="K47" s="71"/>
    </row>
    <row r="48" spans="1:11" ht="25.5" x14ac:dyDescent="0.25">
      <c r="A48" s="38" t="s">
        <v>774</v>
      </c>
      <c r="B48" s="39" t="str">
        <f>IF($A48="","",IFERROR(INDEX(Références!$C$2:$C$201,MATCH($A48,Références!$A$2:$A$201,0)),""))</f>
        <v>AFNOR (2023)</v>
      </c>
      <c r="C48" s="39" t="str">
        <f>IF($A48="","",IFERROR(INDEX(Références!$D$2:$D$201,MATCH($A48,Références!$A$2:$A$201,0)),""))</f>
        <v>NF EN 12697-26+A1 — Mélanges bitumineux — Méthodes d'essai — Partie 26 : rigidité</v>
      </c>
      <c r="D48" s="39" t="str">
        <f>IF($A48="","",IFERROR(INDEX(Références!$J$2:$J$201,MATCH($A48,Références!$A$2:$A$201,0)),""))</f>
        <v>À lire</v>
      </c>
      <c r="E48" s="39">
        <f>IF($A48="","",IFERROR(INDEX(Références!$I$2:$I$201,MATCH($A48,Références!$A$2:$A$201,0)),""))</f>
        <v>3</v>
      </c>
      <c r="F48" s="45"/>
      <c r="G48" s="45"/>
      <c r="H48" s="45"/>
      <c r="I48" s="45"/>
      <c r="J48" s="45"/>
      <c r="K48" s="71"/>
    </row>
    <row r="49" spans="1:11" ht="25.5" x14ac:dyDescent="0.25">
      <c r="A49" s="38" t="s">
        <v>787</v>
      </c>
      <c r="B49" s="39" t="str">
        <f>IF($A49="","",IFERROR(INDEX(Références!$C$2:$C$201,MATCH($A49,Références!$A$2:$A$201,0)),""))</f>
        <v>Di Benedetto et al. (2011)</v>
      </c>
      <c r="C49" s="39" t="str">
        <f>IF($A49="","",IFERROR(INDEX(Références!$D$2:$D$201,MATCH($A49,Références!$A$2:$A$201,0)),""))</f>
        <v>Nonlinearity, heating, fatigue and thixotropy during cyclic loading of asphalt mixtures</v>
      </c>
      <c r="D49" s="39" t="str">
        <f>IF($A49="","",IFERROR(INDEX(Références!$J$2:$J$201,MATCH($A49,Références!$A$2:$A$201,0)),""))</f>
        <v>À lire</v>
      </c>
      <c r="E49" s="39">
        <f>IF($A49="","",IFERROR(INDEX(Références!$I$2:$I$201,MATCH($A49,Références!$A$2:$A$201,0)),""))</f>
        <v>3</v>
      </c>
      <c r="F49" s="45"/>
      <c r="G49" s="45"/>
      <c r="H49" s="45"/>
      <c r="I49" s="45"/>
      <c r="J49" s="45"/>
      <c r="K49" s="71"/>
    </row>
    <row r="50" spans="1:11" ht="38.25" x14ac:dyDescent="0.25">
      <c r="A50" s="38" t="s">
        <v>797</v>
      </c>
      <c r="B50" s="39" t="str">
        <f>IF($A50="","",IFERROR(INDEX(Références!$C$2:$C$201,MATCH($A50,Références!$A$2:$A$201,0)),""))</f>
        <v>Nguyen et al. (2017)</v>
      </c>
      <c r="C50" s="39" t="str">
        <f>IF($A50="","",IFERROR(INDEX(Références!$D$2:$D$201,MATCH($A50,Références!$A$2:$A$201,0)),""))</f>
        <v>3D complex modulus tests on bituminous mixture with sinusoidal loadings in tension and/or compression</v>
      </c>
      <c r="D50" s="39" t="str">
        <f>IF($A50="","",IFERROR(INDEX(Références!$J$2:$J$201,MATCH($A50,Références!$A$2:$A$201,0)),""))</f>
        <v>À lire</v>
      </c>
      <c r="E50" s="39">
        <f>IF($A50="","",IFERROR(INDEX(Références!$I$2:$I$201,MATCH($A50,Références!$A$2:$A$201,0)),""))</f>
        <v>3</v>
      </c>
      <c r="F50" s="45"/>
      <c r="G50" s="45"/>
      <c r="H50" s="45"/>
      <c r="I50" s="45"/>
      <c r="J50" s="45"/>
      <c r="K50" s="71"/>
    </row>
    <row r="51" spans="1:11" ht="25.5" x14ac:dyDescent="0.25">
      <c r="A51" s="38" t="s">
        <v>810</v>
      </c>
      <c r="B51" s="39" t="str">
        <f>IF($A51="","",IFERROR(INDEX(Références!$C$2:$C$201,MATCH($A51,Références!$A$2:$A$201,0)),""))</f>
        <v>Di Benedetto et al. (2007)</v>
      </c>
      <c r="C51" s="39" t="str">
        <f>IF($A51="","",IFERROR(INDEX(Références!$D$2:$D$201,MATCH($A51,Références!$A$2:$A$201,0)),""))</f>
        <v>Three-dimensional linear behavior of bituminous materials: Experiments and modeling</v>
      </c>
      <c r="D51" s="39" t="str">
        <f>IF($A51="","",IFERROR(INDEX(Références!$J$2:$J$201,MATCH($A51,Références!$A$2:$A$201,0)),""))</f>
        <v>À lire</v>
      </c>
      <c r="E51" s="39">
        <f>IF($A51="","",IFERROR(INDEX(Références!$I$2:$I$201,MATCH($A51,Références!$A$2:$A$201,0)),""))</f>
        <v>3</v>
      </c>
      <c r="F51" s="45"/>
      <c r="G51" s="45"/>
      <c r="H51" s="45"/>
      <c r="I51" s="45"/>
      <c r="J51" s="45"/>
      <c r="K51" s="71"/>
    </row>
    <row r="52" spans="1:11" ht="25.5" x14ac:dyDescent="0.25">
      <c r="A52" s="38" t="s">
        <v>821</v>
      </c>
      <c r="B52" s="39" t="str">
        <f>IF($A52="","",IFERROR(INDEX(Références!$C$2:$C$201,MATCH($A52,Références!$A$2:$A$201,0)),""))</f>
        <v>Graziani et al. (2014)</v>
      </c>
      <c r="C52" s="39" t="str">
        <f>IF($A52="","",IFERROR(INDEX(Références!$D$2:$D$201,MATCH($A52,Références!$A$2:$A$201,0)),""))</f>
        <v>Bulk and shear characterization of bituminous mixtures in the linear viscoelastic domain</v>
      </c>
      <c r="D52" s="39" t="str">
        <f>IF($A52="","",IFERROR(INDEX(Références!$J$2:$J$201,MATCH($A52,Références!$A$2:$A$201,0)),""))</f>
        <v>À lire</v>
      </c>
      <c r="E52" s="39">
        <f>IF($A52="","",IFERROR(INDEX(Références!$I$2:$I$201,MATCH($A52,Références!$A$2:$A$201,0)),""))</f>
        <v>3</v>
      </c>
      <c r="F52" s="45"/>
      <c r="G52" s="45"/>
      <c r="H52" s="45"/>
      <c r="I52" s="45"/>
      <c r="J52" s="45"/>
      <c r="K52" s="71"/>
    </row>
    <row r="53" spans="1:11" ht="25.5" x14ac:dyDescent="0.25">
      <c r="A53" s="38" t="s">
        <v>835</v>
      </c>
      <c r="B53" s="39" t="str">
        <f>IF($A53="","",IFERROR(INDEX(Références!$C$2:$C$201,MATCH($A53,Références!$A$2:$A$201,0)),""))</f>
        <v>Graziani et al. (2014)</v>
      </c>
      <c r="C53" s="39" t="str">
        <f>IF($A53="","",IFERROR(INDEX(Références!$D$2:$D$201,MATCH($A53,Références!$A$2:$A$201,0)),""))</f>
        <v>Complex Poisson's ratio of bituminous mixtures: measurement and modeling</v>
      </c>
      <c r="D53" s="39" t="str">
        <f>IF($A53="","",IFERROR(INDEX(Références!$J$2:$J$201,MATCH($A53,Références!$A$2:$A$201,0)),""))</f>
        <v>À lire</v>
      </c>
      <c r="E53" s="39">
        <f>IF($A53="","",IFERROR(INDEX(Références!$I$2:$I$201,MATCH($A53,Références!$A$2:$A$201,0)),""))</f>
        <v>3</v>
      </c>
      <c r="F53" s="45"/>
      <c r="G53" s="45"/>
      <c r="H53" s="45"/>
      <c r="I53" s="45"/>
      <c r="J53" s="45"/>
      <c r="K53" s="71"/>
    </row>
    <row r="54" spans="1:11" ht="38.25" x14ac:dyDescent="0.25">
      <c r="A54" s="38" t="s">
        <v>847</v>
      </c>
      <c r="B54" s="39" t="str">
        <f>IF($A54="","",IFERROR(INDEX(Références!$C$2:$C$201,MATCH($A54,Références!$A$2:$A$201,0)),""))</f>
        <v>Graziani et al. (2017)</v>
      </c>
      <c r="C54" s="39" t="str">
        <f>IF($A54="","",IFERROR(INDEX(Références!$D$2:$D$201,MATCH($A54,Références!$A$2:$A$201,0)),""))</f>
        <v>Recommendation of RILEM TC 237-SIB on complex Poisson's ratio characterization of bituminous mixtures</v>
      </c>
      <c r="D54" s="39" t="str">
        <f>IF($A54="","",IFERROR(INDEX(Références!$J$2:$J$201,MATCH($A54,Références!$A$2:$A$201,0)),""))</f>
        <v>À lire</v>
      </c>
      <c r="E54" s="39">
        <f>IF($A54="","",IFERROR(INDEX(Références!$I$2:$I$201,MATCH($A54,Références!$A$2:$A$201,0)),""))</f>
        <v>3</v>
      </c>
      <c r="F54" s="45"/>
      <c r="G54" s="45"/>
      <c r="H54" s="45"/>
      <c r="I54" s="45"/>
      <c r="J54" s="45"/>
      <c r="K54" s="71"/>
    </row>
    <row r="55" spans="1:11" ht="25.5" x14ac:dyDescent="0.25">
      <c r="A55" s="38" t="s">
        <v>857</v>
      </c>
      <c r="B55" s="39" t="str">
        <f>IF($A55="","",IFERROR(INDEX(Références!$C$2:$C$201,MATCH($A55,Références!$A$2:$A$201,0)),""))</f>
        <v>Pham et al. (2015)</v>
      </c>
      <c r="C55" s="39" t="str">
        <f>IF($A55="","",IFERROR(INDEX(Références!$D$2:$D$201,MATCH($A55,Références!$A$2:$A$201,0)),""))</f>
        <v>Analysis and modeling of 3D complex modulus tests on hot and warm bituminous mixtures</v>
      </c>
      <c r="D55" s="39" t="str">
        <f>IF($A55="","",IFERROR(INDEX(Références!$J$2:$J$201,MATCH($A55,Références!$A$2:$A$201,0)),""))</f>
        <v>À lire</v>
      </c>
      <c r="E55" s="39">
        <f>IF($A55="","",IFERROR(INDEX(Références!$I$2:$I$201,MATCH($A55,Références!$A$2:$A$201,0)),""))</f>
        <v>3</v>
      </c>
      <c r="F55" s="45"/>
      <c r="G55" s="45"/>
      <c r="H55" s="45"/>
      <c r="I55" s="45"/>
      <c r="J55" s="45"/>
      <c r="K55" s="71"/>
    </row>
    <row r="56" spans="1:11" ht="25.5" x14ac:dyDescent="0.25">
      <c r="A56" s="38" t="s">
        <v>868</v>
      </c>
      <c r="B56" s="39" t="str">
        <f>IF($A56="","",IFERROR(INDEX(Références!$C$2:$C$201,MATCH($A56,Références!$A$2:$A$201,0)),""))</f>
        <v>Di Benedetto et al. (2001)</v>
      </c>
      <c r="C56" s="39" t="str">
        <f>IF($A56="","",IFERROR(INDEX(Références!$D$2:$D$201,MATCH($A56,Références!$A$2:$A$201,0)),""))</f>
        <v>Stiffness testing for bituminous mixtures</v>
      </c>
      <c r="D56" s="39" t="str">
        <f>IF($A56="","",IFERROR(INDEX(Références!$J$2:$J$201,MATCH($A56,Références!$A$2:$A$201,0)),""))</f>
        <v>À lire</v>
      </c>
      <c r="E56" s="39">
        <f>IF($A56="","",IFERROR(INDEX(Références!$I$2:$I$201,MATCH($A56,Références!$A$2:$A$201,0)),""))</f>
        <v>3</v>
      </c>
      <c r="F56" s="45"/>
      <c r="G56" s="45"/>
      <c r="H56" s="45"/>
      <c r="I56" s="45"/>
      <c r="J56" s="45"/>
      <c r="K56" s="71"/>
    </row>
    <row r="57" spans="1:11" ht="25.5" x14ac:dyDescent="0.25">
      <c r="A57" s="38" t="s">
        <v>878</v>
      </c>
      <c r="B57" s="39" t="str">
        <f>IF($A57="","",IFERROR(INDEX(Références!$C$2:$C$201,MATCH($A57,Références!$A$2:$A$201,0)),""))</f>
        <v>Gayte et al. (2016)</v>
      </c>
      <c r="C57" s="39" t="str">
        <f>IF($A57="","",IFERROR(INDEX(Références!$D$2:$D$201,MATCH($A57,Références!$A$2:$A$201,0)),""))</f>
        <v>Influence of transient effects for analysis of complex modulus tests on bituminous mixtures</v>
      </c>
      <c r="D57" s="39" t="str">
        <f>IF($A57="","",IFERROR(INDEX(Références!$J$2:$J$201,MATCH($A57,Références!$A$2:$A$201,0)),""))</f>
        <v>À lire</v>
      </c>
      <c r="E57" s="39">
        <f>IF($A57="","",IFERROR(INDEX(Références!$I$2:$I$201,MATCH($A57,Références!$A$2:$A$201,0)),""))</f>
        <v>3</v>
      </c>
      <c r="F57" s="45"/>
      <c r="G57" s="45"/>
      <c r="H57" s="45"/>
      <c r="I57" s="45"/>
      <c r="J57" s="45"/>
      <c r="K57" s="71"/>
    </row>
    <row r="58" spans="1:11" ht="38.25" x14ac:dyDescent="0.25">
      <c r="A58" s="38" t="s">
        <v>891</v>
      </c>
      <c r="B58" s="39" t="str">
        <f>IF($A58="","",IFERROR(INDEX(Références!$C$2:$C$201,MATCH($A58,Références!$A$2:$A$201,0)),""))</f>
        <v>Nguyen et al. (2013)</v>
      </c>
      <c r="C58" s="39" t="str">
        <f>IF($A58="","",IFERROR(INDEX(Références!$D$2:$D$201,MATCH($A58,Références!$A$2:$A$201,0)),""))</f>
        <v>Time temperature superposition principle validation for bituminous mixes in the linear and nonlinear domains</v>
      </c>
      <c r="D58" s="39" t="str">
        <f>IF($A58="","",IFERROR(INDEX(Références!$J$2:$J$201,MATCH($A58,Références!$A$2:$A$201,0)),""))</f>
        <v>À lire</v>
      </c>
      <c r="E58" s="39">
        <f>IF($A58="","",IFERROR(INDEX(Références!$I$2:$I$201,MATCH($A58,Références!$A$2:$A$201,0)),""))</f>
        <v>3</v>
      </c>
      <c r="F58" s="45"/>
      <c r="G58" s="45"/>
      <c r="H58" s="45"/>
      <c r="I58" s="45"/>
      <c r="J58" s="45"/>
      <c r="K58" s="71"/>
    </row>
    <row r="59" spans="1:11" ht="38.25" x14ac:dyDescent="0.25">
      <c r="A59" s="38" t="s">
        <v>903</v>
      </c>
      <c r="B59" s="39" t="str">
        <f>IF($A59="","",IFERROR(INDEX(Références!$C$2:$C$201,MATCH($A59,Références!$A$2:$A$201,0)),""))</f>
        <v>Di Benedetto (1990)</v>
      </c>
      <c r="C59" s="39" t="str">
        <f>IF($A59="","",IFERROR(INDEX(Références!$D$2:$D$201,MATCH($A59,Références!$A$2:$A$201,0)),""))</f>
        <v>Nouvelle approche du comportement des enrobés bitumineux : résultats expérimentaux et formulation rhéologique</v>
      </c>
      <c r="D59" s="39" t="str">
        <f>IF($A59="","",IFERROR(INDEX(Références!$J$2:$J$201,MATCH($A59,Références!$A$2:$A$201,0)),""))</f>
        <v>À lire</v>
      </c>
      <c r="E59" s="39">
        <f>IF($A59="","",IFERROR(INDEX(Références!$I$2:$I$201,MATCH($A59,Références!$A$2:$A$201,0)),""))</f>
        <v>3</v>
      </c>
      <c r="F59" s="45"/>
      <c r="G59" s="45"/>
      <c r="H59" s="45"/>
      <c r="I59" s="45"/>
      <c r="J59" s="45"/>
      <c r="K59" s="71"/>
    </row>
    <row r="60" spans="1:11" ht="38.25" x14ac:dyDescent="0.25">
      <c r="A60" s="38" t="s">
        <v>916</v>
      </c>
      <c r="B60" s="39" t="str">
        <f>IF($A60="","",IFERROR(INDEX(Références!$C$2:$C$201,MATCH($A60,Références!$A$2:$A$201,0)),""))</f>
        <v>Nilsson et al. (2002)</v>
      </c>
      <c r="C60" s="39" t="str">
        <f>IF($A60="","",IFERROR(INDEX(Références!$D$2:$D$201,MATCH($A60,Références!$A$2:$A$201,0)),""))</f>
        <v>Influence of different rheological models on predicted pavement responses in flexible pavements</v>
      </c>
      <c r="D60" s="39" t="str">
        <f>IF($A60="","",IFERROR(INDEX(Références!$J$2:$J$201,MATCH($A60,Références!$A$2:$A$201,0)),""))</f>
        <v>À lire</v>
      </c>
      <c r="E60" s="39">
        <f>IF($A60="","",IFERROR(INDEX(Références!$I$2:$I$201,MATCH($A60,Références!$A$2:$A$201,0)),""))</f>
        <v>3</v>
      </c>
      <c r="F60" s="45"/>
      <c r="G60" s="45"/>
      <c r="H60" s="45"/>
      <c r="I60" s="45"/>
      <c r="J60" s="45"/>
      <c r="K60" s="71"/>
    </row>
    <row r="61" spans="1:11" ht="38.25" x14ac:dyDescent="0.25">
      <c r="A61" s="38" t="s">
        <v>926</v>
      </c>
      <c r="B61" s="39" t="str">
        <f>IF($A61="","",IFERROR(INDEX(Références!$C$2:$C$201,MATCH($A61,Références!$A$2:$A$201,0)),""))</f>
        <v>Williams et al. (1955)</v>
      </c>
      <c r="C61" s="39" t="str">
        <f>IF($A61="","",IFERROR(INDEX(Références!$D$2:$D$201,MATCH($A61,Références!$A$2:$A$201,0)),""))</f>
        <v>The temperature dependence of relaxation mechanisms in amorphous polymers and other glass-forming liquids</v>
      </c>
      <c r="D61" s="39" t="str">
        <f>IF($A61="","",IFERROR(INDEX(Références!$J$2:$J$201,MATCH($A61,Références!$A$2:$A$201,0)),""))</f>
        <v>À lire</v>
      </c>
      <c r="E61" s="39">
        <f>IF($A61="","",IFERROR(INDEX(Références!$I$2:$I$201,MATCH($A61,Références!$A$2:$A$201,0)),""))</f>
        <v>3</v>
      </c>
      <c r="F61" s="45"/>
      <c r="G61" s="45"/>
      <c r="H61" s="45"/>
      <c r="I61" s="45"/>
      <c r="J61" s="45"/>
      <c r="K61" s="71"/>
    </row>
    <row r="62" spans="1:11" ht="25.5" x14ac:dyDescent="0.25">
      <c r="A62" s="38" t="s">
        <v>938</v>
      </c>
      <c r="B62" s="39" t="str">
        <f>IF($A62="","",IFERROR(INDEX(Références!$C$2:$C$201,MATCH($A62,Références!$A$2:$A$201,0)),""))</f>
        <v>AFNOR (2015)</v>
      </c>
      <c r="C62" s="39" t="str">
        <f>IF($A62="","",IFERROR(INDEX(Références!$D$2:$D$201,MATCH($A62,Références!$A$2:$A$201,0)),""))</f>
        <v>NF EN 12593 — Bitumes et liants bitumineux — Détermination du point de fragilité Fraass</v>
      </c>
      <c r="D62" s="39" t="str">
        <f>IF($A62="","",IFERROR(INDEX(Références!$J$2:$J$201,MATCH($A62,Références!$A$2:$A$201,0)),""))</f>
        <v>À lire</v>
      </c>
      <c r="E62" s="39">
        <f>IF($A62="","",IFERROR(INDEX(Références!$I$2:$I$201,MATCH($A62,Références!$A$2:$A$201,0)),""))</f>
        <v>3</v>
      </c>
      <c r="F62" s="45"/>
      <c r="G62" s="45"/>
      <c r="H62" s="45"/>
      <c r="I62" s="45"/>
      <c r="J62" s="45"/>
      <c r="K62" s="71"/>
    </row>
    <row r="63" spans="1:11" ht="38.25" x14ac:dyDescent="0.25">
      <c r="A63" s="38" t="s">
        <v>946</v>
      </c>
      <c r="B63" s="39" t="str">
        <f>IF($A63="","",IFERROR(INDEX(Références!$C$2:$C$201,MATCH($A63,Références!$A$2:$A$201,0)),""))</f>
        <v>AFNOR (2018)</v>
      </c>
      <c r="C63" s="39" t="str">
        <f>IF($A63="","",IFERROR(INDEX(Références!$D$2:$D$201,MATCH($A63,Références!$A$2:$A$201,0)),""))</f>
        <v>NF EN 1427 — Bitumes et liants bitumineux — Détermination du point de ramollissement — Méthode Bille et Anneau</v>
      </c>
      <c r="D63" s="39" t="str">
        <f>IF($A63="","",IFERROR(INDEX(Références!$J$2:$J$201,MATCH($A63,Références!$A$2:$A$201,0)),""))</f>
        <v>À lire</v>
      </c>
      <c r="E63" s="39">
        <f>IF($A63="","",IFERROR(INDEX(Références!$I$2:$I$201,MATCH($A63,Références!$A$2:$A$201,0)),""))</f>
        <v>3</v>
      </c>
      <c r="F63" s="45"/>
      <c r="G63" s="45"/>
      <c r="H63" s="45"/>
      <c r="I63" s="45"/>
      <c r="J63" s="45"/>
      <c r="K63" s="71"/>
    </row>
    <row r="64" spans="1:11" ht="25.5" x14ac:dyDescent="0.25">
      <c r="A64" s="38" t="s">
        <v>954</v>
      </c>
      <c r="B64" s="39" t="str">
        <f>IF($A64="","",IFERROR(INDEX(Références!$C$2:$C$201,MATCH($A64,Références!$A$2:$A$201,0)),""))</f>
        <v>AFNOR (2024)</v>
      </c>
      <c r="C64" s="39" t="str">
        <f>IF($A64="","",IFERROR(INDEX(Références!$D$2:$D$201,MATCH($A64,Références!$A$2:$A$201,0)),""))</f>
        <v>NF EN 1426 — Bitumes et liants bitumineux — Détermination de la pénétrabilité à l'aiguille</v>
      </c>
      <c r="D64" s="39" t="str">
        <f>IF($A64="","",IFERROR(INDEX(Références!$J$2:$J$201,MATCH($A64,Références!$A$2:$A$201,0)),""))</f>
        <v>À lire</v>
      </c>
      <c r="E64" s="39">
        <f>IF($A64="","",IFERROR(INDEX(Références!$I$2:$I$201,MATCH($A64,Références!$A$2:$A$201,0)),""))</f>
        <v>3</v>
      </c>
      <c r="F64" s="45"/>
      <c r="G64" s="45"/>
      <c r="H64" s="45"/>
      <c r="I64" s="45"/>
      <c r="J64" s="45"/>
      <c r="K64" s="71"/>
    </row>
    <row r="65" spans="1:11" ht="38.25" x14ac:dyDescent="0.25">
      <c r="A65" s="38" t="s">
        <v>963</v>
      </c>
      <c r="B65" s="39" t="str">
        <f>IF($A65="","",IFERROR(INDEX(Références!$C$2:$C$201,MATCH($A65,Références!$A$2:$A$201,0)),""))</f>
        <v>Chailleux et al. (2006)</v>
      </c>
      <c r="C65" s="39" t="str">
        <f>IF($A65="","",IFERROR(INDEX(Références!$D$2:$D$201,MATCH($A65,Références!$A$2:$A$201,0)),""))</f>
        <v>A mathematical-based master-curve construction method applied to complex modulus of bituminous materials</v>
      </c>
      <c r="D65" s="39" t="str">
        <f>IF($A65="","",IFERROR(INDEX(Références!$J$2:$J$201,MATCH($A65,Références!$A$2:$A$201,0)),""))</f>
        <v>À lire</v>
      </c>
      <c r="E65" s="39">
        <f>IF($A65="","",IFERROR(INDEX(Références!$I$2:$I$201,MATCH($A65,Références!$A$2:$A$201,0)),""))</f>
        <v>3</v>
      </c>
      <c r="F65" s="45"/>
      <c r="G65" s="45"/>
      <c r="H65" s="45"/>
      <c r="I65" s="45"/>
      <c r="J65" s="45"/>
      <c r="K65" s="71"/>
    </row>
    <row r="66" spans="1:11" ht="38.25" x14ac:dyDescent="0.25">
      <c r="A66" s="38" t="s">
        <v>972</v>
      </c>
      <c r="B66" s="39" t="str">
        <f>IF($A66="","",IFERROR(INDEX(Références!$C$2:$C$201,MATCH($A66,Références!$A$2:$A$201,0)),""))</f>
        <v>Roussel (2020)</v>
      </c>
      <c r="C66" s="39" t="str">
        <f>IF($A66="","",IFERROR(INDEX(Références!$D$2:$D$201,MATCH($A66,Références!$A$2:$A$201,0)),""))</f>
        <v>Apport de la viscoélasticité dans l'analyse dynamique des essais au Heavy Weight Deflectometer</v>
      </c>
      <c r="D66" s="39" t="str">
        <f>IF($A66="","",IFERROR(INDEX(Références!$J$2:$J$201,MATCH($A66,Références!$A$2:$A$201,0)),""))</f>
        <v>À lire</v>
      </c>
      <c r="E66" s="39">
        <f>IF($A66="","",IFERROR(INDEX(Références!$I$2:$I$201,MATCH($A66,Références!$A$2:$A$201,0)),""))</f>
        <v>4</v>
      </c>
      <c r="F66" s="45"/>
      <c r="G66" s="45"/>
      <c r="H66" s="45"/>
      <c r="I66" s="45"/>
      <c r="J66" s="45"/>
      <c r="K66" s="71"/>
    </row>
    <row r="67" spans="1:11" ht="38.25" x14ac:dyDescent="0.25">
      <c r="A67" s="38" t="s">
        <v>985</v>
      </c>
      <c r="B67" s="39" t="str">
        <f>IF($A67="","",IFERROR(INDEX(Références!$C$2:$C$201,MATCH($A67,Références!$A$2:$A$201,0)),""))</f>
        <v>STAC (2016)</v>
      </c>
      <c r="C67" s="39" t="str">
        <f>IF($A67="","",IFERROR(INDEX(Références!$D$2:$D$201,MATCH($A67,Références!$A$2:$A$201,0)),""))</f>
        <v>Méthode rationnelle de dimensionnement des chaussées aéronautiques souples — Guide technique</v>
      </c>
      <c r="D67" s="39" t="str">
        <f>IF($A67="","",IFERROR(INDEX(Références!$J$2:$J$201,MATCH($A67,Références!$A$2:$A$201,0)),""))</f>
        <v>À lire</v>
      </c>
      <c r="E67" s="39">
        <f>IF($A67="","",IFERROR(INDEX(Références!$I$2:$I$201,MATCH($A67,Références!$A$2:$A$201,0)),""))</f>
        <v>4</v>
      </c>
      <c r="F67" s="45"/>
      <c r="G67" s="45"/>
      <c r="H67" s="45"/>
      <c r="I67" s="45"/>
      <c r="J67" s="45"/>
      <c r="K67" s="71"/>
    </row>
    <row r="68" spans="1:11" ht="25.5" x14ac:dyDescent="0.25">
      <c r="A68" s="38" t="s">
        <v>994</v>
      </c>
      <c r="B68" s="39" t="str">
        <f>IF($A68="","",IFERROR(INDEX(Références!$C$2:$C$201,MATCH($A68,Références!$A$2:$A$201,0)),""))</f>
        <v>Burmister (1945)</v>
      </c>
      <c r="C68" s="39" t="str">
        <f>IF($A68="","",IFERROR(INDEX(Références!$D$2:$D$201,MATCH($A68,Références!$A$2:$A$201,0)),""))</f>
        <v>The general theory of stresses and displacements in layered systems. I</v>
      </c>
      <c r="D68" s="39" t="str">
        <f>IF($A68="","",IFERROR(INDEX(Références!$J$2:$J$201,MATCH($A68,Références!$A$2:$A$201,0)),""))</f>
        <v>À lire</v>
      </c>
      <c r="E68" s="39">
        <f>IF($A68="","",IFERROR(INDEX(Références!$I$2:$I$201,MATCH($A68,Références!$A$2:$A$201,0)),""))</f>
        <v>4</v>
      </c>
      <c r="F68" s="45"/>
      <c r="G68" s="45"/>
      <c r="H68" s="45"/>
      <c r="I68" s="45"/>
      <c r="J68" s="45"/>
      <c r="K68" s="71"/>
    </row>
    <row r="69" spans="1:11" ht="25.5" x14ac:dyDescent="0.25">
      <c r="A69" s="38" t="s">
        <v>1007</v>
      </c>
      <c r="B69" s="39" t="str">
        <f>IF($A69="","",IFERROR(INDEX(Références!$C$2:$C$201,MATCH($A69,Références!$A$2:$A$201,0)),""))</f>
        <v>Elseifi et al. (2006)</v>
      </c>
      <c r="C69" s="39" t="str">
        <f>IF($A69="","",IFERROR(INDEX(Références!$D$2:$D$201,MATCH($A69,Références!$A$2:$A$201,0)),""))</f>
        <v>Viscoelastic modeling and field validation of flexible pavements</v>
      </c>
      <c r="D69" s="39" t="str">
        <f>IF($A69="","",IFERROR(INDEX(Références!$J$2:$J$201,MATCH($A69,Références!$A$2:$A$201,0)),""))</f>
        <v>À lire</v>
      </c>
      <c r="E69" s="39">
        <f>IF($A69="","",IFERROR(INDEX(Références!$I$2:$I$201,MATCH($A69,Références!$A$2:$A$201,0)),""))</f>
        <v>4</v>
      </c>
      <c r="F69" s="45"/>
      <c r="G69" s="45"/>
      <c r="H69" s="45"/>
      <c r="I69" s="45"/>
      <c r="J69" s="45"/>
      <c r="K69" s="71"/>
    </row>
    <row r="70" spans="1:11" ht="25.5" x14ac:dyDescent="0.25">
      <c r="A70" s="38" t="s">
        <v>1019</v>
      </c>
      <c r="B70" s="39" t="str">
        <f>IF($A70="","",IFERROR(INDEX(Références!$C$2:$C$201,MATCH($A70,Références!$A$2:$A$201,0)),""))</f>
        <v>Jiang et al. (2019)</v>
      </c>
      <c r="C70" s="39" t="str">
        <f>IF($A70="","",IFERROR(INDEX(Références!$D$2:$D$201,MATCH($A70,Références!$A$2:$A$201,0)),""))</f>
        <v>3D FEM analysis of flexible base asphalt pavement structure under non-uniform tyre contact pressure</v>
      </c>
      <c r="D70" s="39" t="str">
        <f>IF($A70="","",IFERROR(INDEX(Références!$J$2:$J$201,MATCH($A70,Références!$A$2:$A$201,0)),""))</f>
        <v>À lire</v>
      </c>
      <c r="E70" s="39">
        <f>IF($A70="","",IFERROR(INDEX(Références!$I$2:$I$201,MATCH($A70,Références!$A$2:$A$201,0)),""))</f>
        <v>4</v>
      </c>
      <c r="F70" s="45"/>
      <c r="G70" s="45"/>
      <c r="H70" s="45"/>
      <c r="I70" s="45"/>
      <c r="J70" s="45"/>
      <c r="K70" s="71"/>
    </row>
    <row r="71" spans="1:11" ht="25.5" x14ac:dyDescent="0.25">
      <c r="A71" s="38" t="s">
        <v>1030</v>
      </c>
      <c r="B71" s="39" t="str">
        <f>IF($A71="","",IFERROR(INDEX(Références!$C$2:$C$201,MATCH($A71,Références!$A$2:$A$201,0)),""))</f>
        <v>Perret (2003)</v>
      </c>
      <c r="C71" s="39" t="str">
        <f>IF($A71="","",IFERROR(INDEX(Références!$D$2:$D$201,MATCH($A71,Références!$A$2:$A$201,0)),""))</f>
        <v>Déformations des couches bitumineuses au passage d'une charge de trafic</v>
      </c>
      <c r="D71" s="39" t="str">
        <f>IF($A71="","",IFERROR(INDEX(Références!$J$2:$J$201,MATCH($A71,Références!$A$2:$A$201,0)),""))</f>
        <v>À lire</v>
      </c>
      <c r="E71" s="39">
        <f>IF($A71="","",IFERROR(INDEX(Références!$I$2:$I$201,MATCH($A71,Références!$A$2:$A$201,0)),""))</f>
        <v>4</v>
      </c>
      <c r="F71" s="45"/>
      <c r="G71" s="45"/>
      <c r="H71" s="45"/>
      <c r="I71" s="45"/>
      <c r="J71" s="45"/>
      <c r="K71" s="71"/>
    </row>
    <row r="72" spans="1:11" ht="38.25" x14ac:dyDescent="0.25">
      <c r="A72" s="38" t="s">
        <v>1043</v>
      </c>
      <c r="B72" s="39" t="str">
        <f>IF($A72="","",IFERROR(INDEX(Références!$C$2:$C$201,MATCH($A72,Références!$A$2:$A$201,0)),""))</f>
        <v>Pouget (2011)</v>
      </c>
      <c r="C72" s="39" t="str">
        <f>IF($A72="","",IFERROR(INDEX(Références!$D$2:$D$201,MATCH($A72,Références!$A$2:$A$201,0)),""))</f>
        <v>Influence des propriétés élastiques ou viscoélastiques des revêtements sur le comportement des ponts à dalle orthotrope</v>
      </c>
      <c r="D72" s="39" t="str">
        <f>IF($A72="","",IFERROR(INDEX(Références!$J$2:$J$201,MATCH($A72,Références!$A$2:$A$201,0)),""))</f>
        <v>À lire</v>
      </c>
      <c r="E72" s="39">
        <f>IF($A72="","",IFERROR(INDEX(Références!$I$2:$I$201,MATCH($A72,Références!$A$2:$A$201,0)),""))</f>
        <v>4</v>
      </c>
      <c r="F72" s="45"/>
      <c r="G72" s="45"/>
      <c r="H72" s="45"/>
      <c r="I72" s="45"/>
      <c r="J72" s="45"/>
      <c r="K72" s="71"/>
    </row>
    <row r="73" spans="1:11" ht="38.25" x14ac:dyDescent="0.25">
      <c r="A73" s="38" t="s">
        <v>1054</v>
      </c>
      <c r="B73" s="39" t="str">
        <f>IF($A73="","",IFERROR(INDEX(Références!$C$2:$C$201,MATCH($A73,Références!$A$2:$A$201,0)),""))</f>
        <v>Roussel et al. (2019)</v>
      </c>
      <c r="C73" s="39" t="str">
        <f>IF($A73="","",IFERROR(INDEX(Références!$D$2:$D$201,MATCH($A73,Références!$A$2:$A$201,0)),""))</f>
        <v>Numerical simulation of falling/heavy weight deflectometer test considering linear viscoelastic behaviour in bituminous layers and inertia effects</v>
      </c>
      <c r="D73" s="39" t="str">
        <f>IF($A73="","",IFERROR(INDEX(Références!$J$2:$J$201,MATCH($A73,Références!$A$2:$A$201,0)),""))</f>
        <v>À lire</v>
      </c>
      <c r="E73" s="39">
        <f>IF($A73="","",IFERROR(INDEX(Références!$I$2:$I$201,MATCH($A73,Références!$A$2:$A$201,0)),""))</f>
        <v>4</v>
      </c>
      <c r="F73" s="45"/>
      <c r="G73" s="45"/>
      <c r="H73" s="45"/>
      <c r="I73" s="45"/>
      <c r="J73" s="45"/>
      <c r="K73" s="71"/>
    </row>
    <row r="74" spans="1:11" ht="38.25" x14ac:dyDescent="0.25">
      <c r="A74" s="38" t="s">
        <v>1066</v>
      </c>
      <c r="B74" s="39" t="str">
        <f>IF($A74="","",IFERROR(INDEX(Références!$C$2:$C$201,MATCH($A74,Références!$A$2:$A$201,0)),""))</f>
        <v>Wang &amp; Al-Qadi (2009)</v>
      </c>
      <c r="C74" s="39" t="str">
        <f>IF($A74="","",IFERROR(INDEX(Références!$D$2:$D$201,MATCH($A74,Références!$A$2:$A$201,0)),""))</f>
        <v>Combined effect of moving wheel loading and three-dimensional contact stresses on perpetual pavement responses</v>
      </c>
      <c r="D74" s="39" t="str">
        <f>IF($A74="","",IFERROR(INDEX(Références!$J$2:$J$201,MATCH($A74,Références!$A$2:$A$201,0)),""))</f>
        <v>À lire</v>
      </c>
      <c r="E74" s="39">
        <f>IF($A74="","",IFERROR(INDEX(Références!$I$2:$I$201,MATCH($A74,Références!$A$2:$A$201,0)),""))</f>
        <v>4</v>
      </c>
      <c r="F74" s="45"/>
      <c r="G74" s="45"/>
      <c r="H74" s="45"/>
      <c r="I74" s="45"/>
      <c r="J74" s="45"/>
      <c r="K74" s="71"/>
    </row>
    <row r="75" spans="1:11" ht="38.25" x14ac:dyDescent="0.25">
      <c r="A75" s="38" t="s">
        <v>1079</v>
      </c>
      <c r="B75" s="39" t="str">
        <f>IF($A75="","",IFERROR(INDEX(Références!$C$2:$C$201,MATCH($A75,Références!$A$2:$A$201,0)),""))</f>
        <v>Wu et al. (2020)</v>
      </c>
      <c r="C75" s="39" t="str">
        <f>IF($A75="","",IFERROR(INDEX(Références!$D$2:$D$201,MATCH($A75,Références!$A$2:$A$201,0)),""))</f>
        <v>Prediction of viscoelastic pavement responses under moving load and nonuniform tire contact stresses using 2.5-D finite element method</v>
      </c>
      <c r="D75" s="39" t="str">
        <f>IF($A75="","",IFERROR(INDEX(Références!$J$2:$J$201,MATCH($A75,Références!$A$2:$A$201,0)),""))</f>
        <v>À lire</v>
      </c>
      <c r="E75" s="39">
        <f>IF($A75="","",IFERROR(INDEX(Références!$I$2:$I$201,MATCH($A75,Références!$A$2:$A$201,0)),""))</f>
        <v>4</v>
      </c>
      <c r="F75" s="45"/>
      <c r="G75" s="45"/>
      <c r="H75" s="45"/>
      <c r="I75" s="45"/>
      <c r="J75" s="45"/>
      <c r="K75" s="71"/>
    </row>
    <row r="76" spans="1:11" ht="38.25" x14ac:dyDescent="0.25">
      <c r="A76" s="38" t="s">
        <v>1093</v>
      </c>
      <c r="B76" s="39" t="str">
        <f>IF($A76="","",IFERROR(INDEX(Références!$C$2:$C$201,MATCH($A76,Références!$A$2:$A$201,0)),""))</f>
        <v>Yoo et al. (2006)</v>
      </c>
      <c r="C76" s="39" t="str">
        <f>IF($A76="","",IFERROR(INDEX(Références!$D$2:$D$201,MATCH($A76,Références!$A$2:$A$201,0)),""))</f>
        <v>Flexible pavement responses to different loading amplitudes considering layer interface condition and lateral shear forces</v>
      </c>
      <c r="D76" s="39" t="str">
        <f>IF($A76="","",IFERROR(INDEX(Références!$J$2:$J$201,MATCH($A76,Références!$A$2:$A$201,0)),""))</f>
        <v>À lire</v>
      </c>
      <c r="E76" s="39">
        <f>IF($A76="","",IFERROR(INDEX(Références!$I$2:$I$201,MATCH($A76,Références!$A$2:$A$201,0)),""))</f>
        <v>4</v>
      </c>
      <c r="F76" s="45"/>
      <c r="G76" s="45"/>
      <c r="H76" s="45"/>
      <c r="I76" s="45"/>
      <c r="J76" s="45"/>
      <c r="K76" s="71"/>
    </row>
    <row r="77" spans="1:11" ht="25.5" x14ac:dyDescent="0.25">
      <c r="A77" s="38" t="s">
        <v>1103</v>
      </c>
      <c r="B77" s="39" t="str">
        <f>IF($A77="","",IFERROR(INDEX(Références!$C$2:$C$201,MATCH($A77,Références!$A$2:$A$201,0)),""))</f>
        <v>Blanc et al. (2016)</v>
      </c>
      <c r="C77" s="39" t="str">
        <f>IF($A77="","",IFERROR(INDEX(Références!$D$2:$D$201,MATCH($A77,Références!$A$2:$A$201,0)),""))</f>
        <v>Alizé-Aéronautique, version 1.5 — Manuel d'utilisation</v>
      </c>
      <c r="D77" s="39" t="str">
        <f>IF($A77="","",IFERROR(INDEX(Références!$J$2:$J$201,MATCH($A77,Références!$A$2:$A$201,0)),""))</f>
        <v>À lire</v>
      </c>
      <c r="E77" s="39">
        <f>IF($A77="","",IFERROR(INDEX(Références!$I$2:$I$201,MATCH($A77,Références!$A$2:$A$201,0)),""))</f>
        <v>4</v>
      </c>
      <c r="F77" s="45"/>
      <c r="G77" s="45"/>
      <c r="H77" s="45"/>
      <c r="I77" s="45"/>
      <c r="J77" s="45"/>
      <c r="K77" s="71"/>
    </row>
    <row r="78" spans="1:11" ht="63.75" x14ac:dyDescent="0.25">
      <c r="A78" s="38" t="s">
        <v>1116</v>
      </c>
      <c r="B78" s="39" t="str">
        <f>IF($A78="","",IFERROR(INDEX(Références!$C$2:$C$201,MATCH($A78,Références!$A$2:$A$201,0)),""))</f>
        <v>Broutin (2010)</v>
      </c>
      <c r="C78" s="39" t="str">
        <f>IF($A78="","",IFERROR(INDEX(Références!$D$2:$D$201,MATCH($A78,Références!$A$2:$A$201,0)),""))</f>
        <v>Évaluation des chaussées souples aéroportuaires à l'aide du déflectomètre à masse tombante (HWD) : développement d'une méthode d'analyse dynamique temporelle par éléments finis pour le calcul inverse des propriétés structurelles</v>
      </c>
      <c r="D78" s="39" t="str">
        <f>IF($A78="","",IFERROR(INDEX(Références!$J$2:$J$201,MATCH($A78,Références!$A$2:$A$201,0)),""))</f>
        <v>À lire</v>
      </c>
      <c r="E78" s="39">
        <f>IF($A78="","",IFERROR(INDEX(Références!$I$2:$I$201,MATCH($A78,Références!$A$2:$A$201,0)),""))</f>
        <v>4</v>
      </c>
      <c r="F78" s="45"/>
      <c r="G78" s="45"/>
      <c r="H78" s="45"/>
      <c r="I78" s="45"/>
      <c r="J78" s="45"/>
      <c r="K78" s="71"/>
    </row>
    <row r="79" spans="1:11" ht="38.25" x14ac:dyDescent="0.25">
      <c r="A79" s="38" t="s">
        <v>1128</v>
      </c>
      <c r="B79" s="39" t="str">
        <f>IF($A79="","",IFERROR(INDEX(Références!$C$2:$C$201,MATCH($A79,Références!$A$2:$A$201,0)),""))</f>
        <v>Clavel &amp; Courant (2018)</v>
      </c>
      <c r="C79" s="39" t="str">
        <f>IF($A79="","",IFERROR(INDEX(Références!$D$2:$D$201,MATCH($A79,Références!$A$2:$A$201,0)),""))</f>
        <v>Conception étape par étape avec utilisation d'Alizé-aéro — Méthode rationnelle de dimensionnement des chaussées aéronautiques souples</v>
      </c>
      <c r="D79" s="39" t="str">
        <f>IF($A79="","",IFERROR(INDEX(Références!$J$2:$J$201,MATCH($A79,Références!$A$2:$A$201,0)),""))</f>
        <v>À lire</v>
      </c>
      <c r="E79" s="39">
        <f>IF($A79="","",IFERROR(INDEX(Références!$I$2:$I$201,MATCH($A79,Références!$A$2:$A$201,0)),""))</f>
        <v>4</v>
      </c>
      <c r="F79" s="45"/>
      <c r="G79" s="45"/>
      <c r="H79" s="45"/>
      <c r="I79" s="45"/>
      <c r="J79" s="45"/>
      <c r="K79" s="71"/>
    </row>
    <row r="80" spans="1:11" ht="25.5" x14ac:dyDescent="0.25">
      <c r="A80" s="38" t="s">
        <v>1138</v>
      </c>
      <c r="B80" s="39" t="str">
        <f>IF($A80="","",IFERROR(INDEX(Références!$C$2:$C$201,MATCH($A80,Références!$A$2:$A$201,0)),""))</f>
        <v>Wang et al. (2013)</v>
      </c>
      <c r="C80" s="39" t="str">
        <f>IF($A80="","",IFERROR(INDEX(Références!$D$2:$D$201,MATCH($A80,Références!$A$2:$A$201,0)),""))</f>
        <v>Three-dimensional finite element modeling of instrumented airport runway pavement responses</v>
      </c>
      <c r="D80" s="39" t="str">
        <f>IF($A80="","",IFERROR(INDEX(Références!$J$2:$J$201,MATCH($A80,Références!$A$2:$A$201,0)),""))</f>
        <v>À lire</v>
      </c>
      <c r="E80" s="39">
        <f>IF($A80="","",IFERROR(INDEX(Références!$I$2:$I$201,MATCH($A80,Références!$A$2:$A$201,0)),""))</f>
        <v>4</v>
      </c>
      <c r="F80" s="45"/>
      <c r="G80" s="45"/>
      <c r="H80" s="45"/>
      <c r="I80" s="45"/>
      <c r="J80" s="45"/>
      <c r="K80" s="71"/>
    </row>
    <row r="81" spans="1:11" ht="25.5" x14ac:dyDescent="0.25">
      <c r="A81" s="38" t="s">
        <v>1149</v>
      </c>
      <c r="B81" s="39" t="str">
        <f>IF($A81="","",IFERROR(INDEX(Références!$C$2:$C$201,MATCH($A81,Références!$A$2:$A$201,0)),""))</f>
        <v>LCPC &amp; SETRA (1994)</v>
      </c>
      <c r="C81" s="39" t="str">
        <f>IF($A81="","",IFERROR(INDEX(Références!$D$2:$D$201,MATCH($A81,Références!$A$2:$A$201,0)),""))</f>
        <v>Conception et dimensionnement des structures de chaussée : guide technique</v>
      </c>
      <c r="D81" s="39" t="str">
        <f>IF($A81="","",IFERROR(INDEX(Références!$J$2:$J$201,MATCH($A81,Références!$A$2:$A$201,0)),""))</f>
        <v>À lire</v>
      </c>
      <c r="E81" s="39">
        <f>IF($A81="","",IFERROR(INDEX(Références!$I$2:$I$201,MATCH($A81,Références!$A$2:$A$201,0)),""))</f>
        <v>4</v>
      </c>
      <c r="F81" s="45"/>
      <c r="G81" s="45"/>
      <c r="H81" s="45"/>
      <c r="I81" s="45"/>
      <c r="J81" s="45"/>
      <c r="K81" s="71"/>
    </row>
    <row r="82" spans="1:11" ht="25.5" x14ac:dyDescent="0.25">
      <c r="A82" s="38" t="s">
        <v>1161</v>
      </c>
      <c r="B82" s="39" t="str">
        <f>IF($A82="","",IFERROR(INDEX(Références!$C$2:$C$201,MATCH($A82,Références!$A$2:$A$201,0)),""))</f>
        <v>Cho et al. (1996)</v>
      </c>
      <c r="C82" s="39" t="str">
        <f>IF($A82="","",IFERROR(INDEX(Références!$D$2:$D$201,MATCH($A82,Références!$A$2:$A$201,0)),""))</f>
        <v>Considerations on finite-element method application in pavement structural analysis</v>
      </c>
      <c r="D82" s="39" t="str">
        <f>IF($A82="","",IFERROR(INDEX(Références!$J$2:$J$201,MATCH($A82,Références!$A$2:$A$201,0)),""))</f>
        <v>À lire</v>
      </c>
      <c r="E82" s="39">
        <f>IF($A82="","",IFERROR(INDEX(Références!$I$2:$I$201,MATCH($A82,Références!$A$2:$A$201,0)),""))</f>
        <v>4</v>
      </c>
      <c r="F82" s="45"/>
      <c r="G82" s="45"/>
      <c r="H82" s="45"/>
      <c r="I82" s="45"/>
      <c r="J82" s="45"/>
      <c r="K82" s="71"/>
    </row>
    <row r="83" spans="1:11" ht="25.5" x14ac:dyDescent="0.25">
      <c r="A83" s="38" t="s">
        <v>1172</v>
      </c>
      <c r="B83" s="39" t="str">
        <f>IF($A83="","",IFERROR(INDEX(Références!$C$2:$C$201,MATCH($A83,Références!$A$2:$A$201,0)),""))</f>
        <v>Pouget et al. (2012)</v>
      </c>
      <c r="C83" s="39" t="str">
        <f>IF($A83="","",IFERROR(INDEX(Références!$D$2:$D$201,MATCH($A83,Références!$A$2:$A$201,0)),""))</f>
        <v>Modeling of viscous bituminous wearing course materials on orthotropic steel deck</v>
      </c>
      <c r="D83" s="39" t="str">
        <f>IF($A83="","",IFERROR(INDEX(Références!$J$2:$J$201,MATCH($A83,Références!$A$2:$A$201,0)),""))</f>
        <v>À lire</v>
      </c>
      <c r="E83" s="39">
        <f>IF($A83="","",IFERROR(INDEX(Références!$I$2:$I$201,MATCH($A83,Références!$A$2:$A$201,0)),""))</f>
        <v>4</v>
      </c>
      <c r="F83" s="45"/>
      <c r="G83" s="45"/>
      <c r="H83" s="45"/>
      <c r="I83" s="45"/>
      <c r="J83" s="45"/>
      <c r="K83" s="71"/>
    </row>
    <row r="84" spans="1:11" ht="25.5" x14ac:dyDescent="0.25">
      <c r="A84" s="38" t="s">
        <v>1184</v>
      </c>
      <c r="B84" s="39" t="str">
        <f>IF($A84="","",IFERROR(INDEX(Références!$C$2:$C$201,MATCH($A84,Références!$A$2:$A$201,0)),""))</f>
        <v>Airbus S.A.S. (2025)</v>
      </c>
      <c r="C84" s="39" t="str">
        <f>IF($A84="","",IFERROR(INDEX(Références!$D$2:$D$201,MATCH($A84,Références!$A$2:$A$201,0)),""))</f>
        <v>A340-200/-300 Aircraft Characteristics – Airport and Maintenance Planning</v>
      </c>
      <c r="D84" s="39" t="str">
        <f>IF($A84="","",IFERROR(INDEX(Références!$J$2:$J$201,MATCH($A84,Références!$A$2:$A$201,0)),""))</f>
        <v>À lire</v>
      </c>
      <c r="E84" s="39">
        <f>IF($A84="","",IFERROR(INDEX(Références!$I$2:$I$201,MATCH($A84,Références!$A$2:$A$201,0)),""))</f>
        <v>4</v>
      </c>
      <c r="F84" s="45"/>
      <c r="G84" s="45"/>
      <c r="H84" s="45"/>
      <c r="I84" s="45"/>
      <c r="J84" s="45"/>
      <c r="K84" s="71"/>
    </row>
    <row r="85" spans="1:11" ht="38.25" x14ac:dyDescent="0.25">
      <c r="A85" s="38" t="s">
        <v>1193</v>
      </c>
      <c r="B85" s="39" t="str">
        <f>IF($A85="","",IFERROR(INDEX(Références!$C$2:$C$201,MATCH($A85,Références!$A$2:$A$201,0)),""))</f>
        <v>Gharbi et al. (2022)</v>
      </c>
      <c r="C85" s="39" t="str">
        <f>IF($A85="","",IFERROR(INDEX(Références!$D$2:$D$201,MATCH($A85,Références!$A$2:$A$201,0)),""))</f>
        <v>Analysis of ovalization measurements on flexible airfield pavement under HWD dynamic impulse load</v>
      </c>
      <c r="D85" s="39" t="str">
        <f>IF($A85="","",IFERROR(INDEX(Références!$J$2:$J$201,MATCH($A85,Références!$A$2:$A$201,0)),""))</f>
        <v>À lire</v>
      </c>
      <c r="E85" s="39">
        <f>IF($A85="","",IFERROR(INDEX(Références!$I$2:$I$201,MATCH($A85,Références!$A$2:$A$201,0)),""))</f>
        <v>4</v>
      </c>
      <c r="F85" s="45"/>
      <c r="G85" s="45"/>
      <c r="H85" s="45"/>
      <c r="I85" s="45"/>
      <c r="J85" s="45"/>
      <c r="K85" s="71"/>
    </row>
    <row r="86" spans="1:11" ht="38.25" x14ac:dyDescent="0.25">
      <c r="A86" s="38" t="s">
        <v>1203</v>
      </c>
      <c r="B86" s="39" t="str">
        <f>IF($A86="","",IFERROR(INDEX(Références!$C$2:$C$201,MATCH($A86,Références!$A$2:$A$201,0)),""))</f>
        <v>AFNOR (2019)</v>
      </c>
      <c r="C86" s="39" t="str">
        <f>IF($A86="","",IFERROR(INDEX(Références!$D$2:$D$201,MATCH($A86,Références!$A$2:$A$201,0)),""))</f>
        <v>NF P98-086 — Dimensionnement structurel des chaussées routières — Application aux chaussées neuves</v>
      </c>
      <c r="D86" s="39" t="str">
        <f>IF($A86="","",IFERROR(INDEX(Références!$J$2:$J$201,MATCH($A86,Références!$A$2:$A$201,0)),""))</f>
        <v>À lire</v>
      </c>
      <c r="E86" s="39">
        <f>IF($A86="","",IFERROR(INDEX(Références!$I$2:$I$201,MATCH($A86,Références!$A$2:$A$201,0)),""))</f>
        <v>4</v>
      </c>
      <c r="F86" s="45"/>
      <c r="G86" s="45"/>
      <c r="H86" s="45"/>
      <c r="I86" s="45"/>
      <c r="J86" s="45"/>
      <c r="K86" s="71"/>
    </row>
    <row r="87" spans="1:11" x14ac:dyDescent="0.25">
      <c r="A87" s="38" t="s">
        <v>1211</v>
      </c>
      <c r="B87" s="39" t="str">
        <f>IF($A87="","",IFERROR(INDEX(Références!$C$2:$C$201,MATCH($A87,Références!$A$2:$A$201,0)),""))</f>
        <v>IFSTTAR (2016)</v>
      </c>
      <c r="C87" s="39" t="str">
        <f>IF($A87="","",IFERROR(INDEX(Références!$D$2:$D$201,MATCH($A87,Références!$A$2:$A$201,0)),""))</f>
        <v>Alizé-Lcpc, version 1.5 — Manuel d'utilisation</v>
      </c>
      <c r="D87" s="39" t="str">
        <f>IF($A87="","",IFERROR(INDEX(Références!$J$2:$J$201,MATCH($A87,Références!$A$2:$A$201,0)),""))</f>
        <v>À lire</v>
      </c>
      <c r="E87" s="39">
        <f>IF($A87="","",IFERROR(INDEX(Références!$I$2:$I$201,MATCH($A87,Références!$A$2:$A$201,0)),""))</f>
        <v>4</v>
      </c>
      <c r="F87" s="45"/>
      <c r="G87" s="45"/>
      <c r="H87" s="45"/>
      <c r="I87" s="45"/>
      <c r="J87" s="45"/>
      <c r="K87" s="71"/>
    </row>
    <row r="88" spans="1:11" ht="25.5" x14ac:dyDescent="0.25">
      <c r="A88" s="38" t="s">
        <v>1220</v>
      </c>
      <c r="B88" s="39" t="str">
        <f>IF($A88="","",IFERROR(INDEX(Références!$C$2:$C$201,MATCH($A88,Références!$A$2:$A$201,0)),""))</f>
        <v>Boussinesq (1885)</v>
      </c>
      <c r="C88" s="39" t="str">
        <f>IF($A88="","",IFERROR(INDEX(Références!$D$2:$D$201,MATCH($A88,Références!$A$2:$A$201,0)),""))</f>
        <v>Application des potentiels à l'étude de l'équilibre et du mouvement des solides élastiques</v>
      </c>
      <c r="D88" s="39" t="str">
        <f>IF($A88="","",IFERROR(INDEX(Références!$J$2:$J$201,MATCH($A88,Références!$A$2:$A$201,0)),""))</f>
        <v>À lire</v>
      </c>
      <c r="E88" s="39">
        <f>IF($A88="","",IFERROR(INDEX(Références!$I$2:$I$201,MATCH($A88,Références!$A$2:$A$201,0)),""))</f>
        <v>5</v>
      </c>
      <c r="F88" s="45"/>
      <c r="G88" s="45"/>
      <c r="H88" s="45"/>
      <c r="I88" s="45"/>
      <c r="J88" s="45"/>
      <c r="K88" s="71"/>
    </row>
    <row r="89" spans="1:11" ht="38.25" x14ac:dyDescent="0.25">
      <c r="A89" s="38" t="s">
        <v>1232</v>
      </c>
      <c r="B89" s="39" t="str">
        <f>IF($A89="","",IFERROR(INDEX(Références!$C$2:$C$201,MATCH($A89,Références!$A$2:$A$201,0)),""))</f>
        <v>Cardoso da Silva et al. (2025)</v>
      </c>
      <c r="C89" s="39" t="str">
        <f>IF($A89="","",IFERROR(INDEX(Références!$D$2:$D$201,MATCH($A89,Références!$A$2:$A$201,0)),""))</f>
        <v>Semi-analytical modelling of realistic tire-pavement contact: an analysis of pavement surface cracking damage under critical driving conditions</v>
      </c>
      <c r="D89" s="39" t="str">
        <f>IF($A89="","",IFERROR(INDEX(Références!$J$2:$J$201,MATCH($A89,Références!$A$2:$A$201,0)),""))</f>
        <v>À lire</v>
      </c>
      <c r="E89" s="39">
        <f>IF($A89="","",IFERROR(INDEX(Références!$I$2:$I$201,MATCH($A89,Références!$A$2:$A$201,0)),""))</f>
        <v>5</v>
      </c>
      <c r="F89" s="45"/>
      <c r="G89" s="45"/>
      <c r="H89" s="45"/>
      <c r="I89" s="45"/>
      <c r="J89" s="45"/>
      <c r="K89" s="71"/>
    </row>
    <row r="90" spans="1:11" ht="25.5" x14ac:dyDescent="0.25">
      <c r="A90" s="38" t="s">
        <v>1245</v>
      </c>
      <c r="B90" s="39" t="str">
        <f>IF($A90="","",IFERROR(INDEX(Références!$C$2:$C$201,MATCH($A90,Références!$A$2:$A$201,0)),""))</f>
        <v>Chabot et al. (2010)</v>
      </c>
      <c r="C90" s="39" t="str">
        <f>IF($A90="","",IFERROR(INDEX(Références!$D$2:$D$201,MATCH($A90,Références!$A$2:$A$201,0)),""))</f>
        <v>ViscoRoute 2.0: A tool for the simulation of moving load effects on asphalt pavement</v>
      </c>
      <c r="D90" s="39" t="str">
        <f>IF($A90="","",IFERROR(INDEX(Références!$J$2:$J$201,MATCH($A90,Références!$A$2:$A$201,0)),""))</f>
        <v>À lire</v>
      </c>
      <c r="E90" s="39">
        <f>IF($A90="","",IFERROR(INDEX(Références!$I$2:$I$201,MATCH($A90,Références!$A$2:$A$201,0)),""))</f>
        <v>5</v>
      </c>
      <c r="F90" s="45"/>
      <c r="G90" s="45"/>
      <c r="H90" s="45"/>
      <c r="I90" s="45"/>
      <c r="J90" s="45"/>
      <c r="K90" s="71"/>
    </row>
    <row r="91" spans="1:11" ht="25.5" x14ac:dyDescent="0.25">
      <c r="A91" s="38" t="s">
        <v>1257</v>
      </c>
      <c r="B91" s="39" t="str">
        <f>IF($A91="","",IFERROR(INDEX(Références!$C$2:$C$201,MATCH($A91,Références!$A$2:$A$201,0)),""))</f>
        <v>Liu et al. (2000)</v>
      </c>
      <c r="C91" s="39" t="str">
        <f>IF($A91="","",IFERROR(INDEX(Références!$D$2:$D$201,MATCH($A91,Références!$A$2:$A$201,0)),""))</f>
        <v>A versatile method of discrete convolution and FFT (DC-FFT) for contact analyses</v>
      </c>
      <c r="D91" s="39" t="str">
        <f>IF($A91="","",IFERROR(INDEX(Références!$J$2:$J$201,MATCH($A91,Références!$A$2:$A$201,0)),""))</f>
        <v>À lire</v>
      </c>
      <c r="E91" s="39">
        <f>IF($A91="","",IFERROR(INDEX(Références!$I$2:$I$201,MATCH($A91,Références!$A$2:$A$201,0)),""))</f>
        <v>5</v>
      </c>
      <c r="F91" s="45"/>
      <c r="G91" s="45"/>
      <c r="H91" s="45"/>
      <c r="I91" s="45"/>
      <c r="J91" s="45"/>
      <c r="K91" s="71"/>
    </row>
    <row r="92" spans="1:11" ht="38.25" x14ac:dyDescent="0.25">
      <c r="A92" s="38" t="s">
        <v>1270</v>
      </c>
      <c r="B92" s="39" t="str">
        <f>IF($A92="","",IFERROR(INDEX(Références!$C$2:$C$201,MATCH($A92,Références!$A$2:$A$201,0)),""))</f>
        <v>Al-Khoury et al. (2001)</v>
      </c>
      <c r="C92" s="39" t="str">
        <f>IF($A92="","",IFERROR(INDEX(Références!$D$2:$D$201,MATCH($A92,Références!$A$2:$A$201,0)),""))</f>
        <v>Spectral element technique for efficient parameter identification of layered media. I. Forward calculation</v>
      </c>
      <c r="D92" s="39" t="str">
        <f>IF($A92="","",IFERROR(INDEX(Références!$J$2:$J$201,MATCH($A92,Références!$A$2:$A$201,0)),""))</f>
        <v>À lire</v>
      </c>
      <c r="E92" s="39">
        <f>IF($A92="","",IFERROR(INDEX(Références!$I$2:$I$201,MATCH($A92,Références!$A$2:$A$201,0)),""))</f>
        <v>5</v>
      </c>
      <c r="F92" s="45"/>
      <c r="G92" s="45"/>
      <c r="H92" s="45"/>
      <c r="I92" s="45"/>
      <c r="J92" s="45"/>
      <c r="K92" s="71"/>
    </row>
    <row r="93" spans="1:11" ht="25.5" x14ac:dyDescent="0.25">
      <c r="A93" s="38" t="s">
        <v>1281</v>
      </c>
      <c r="B93" s="39" t="str">
        <f>IF($A93="","",IFERROR(INDEX(Références!$C$2:$C$201,MATCH($A93,Références!$A$2:$A$201,0)),""))</f>
        <v>Hopman (1996)</v>
      </c>
      <c r="C93" s="39" t="str">
        <f>IF($A93="","",IFERROR(INDEX(Références!$D$2:$D$201,MATCH($A93,Références!$A$2:$A$201,0)),""))</f>
        <v>VEROAD: A viscoelastic multilayer computer program</v>
      </c>
      <c r="D93" s="39" t="str">
        <f>IF($A93="","",IFERROR(INDEX(Références!$J$2:$J$201,MATCH($A93,Références!$A$2:$A$201,0)),""))</f>
        <v>À lire</v>
      </c>
      <c r="E93" s="39">
        <f>IF($A93="","",IFERROR(INDEX(Références!$I$2:$I$201,MATCH($A93,Références!$A$2:$A$201,0)),""))</f>
        <v>5</v>
      </c>
      <c r="F93" s="45"/>
      <c r="G93" s="45"/>
      <c r="H93" s="45"/>
      <c r="I93" s="45"/>
      <c r="J93" s="45"/>
      <c r="K93" s="71"/>
    </row>
    <row r="94" spans="1:11" ht="25.5" x14ac:dyDescent="0.25">
      <c r="A94" s="38" t="s">
        <v>1291</v>
      </c>
      <c r="B94" s="39" t="str">
        <f>IF($A94="","",IFERROR(INDEX(Références!$C$2:$C$201,MATCH($A94,Références!$A$2:$A$201,0)),""))</f>
        <v>Jacq et al. (2002)</v>
      </c>
      <c r="C94" s="39" t="str">
        <f>IF($A94="","",IFERROR(INDEX(Références!$D$2:$D$201,MATCH($A94,Références!$A$2:$A$201,0)),""))</f>
        <v>Development of a three-dimensional semi-analytical elastic-plastic contact code</v>
      </c>
      <c r="D94" s="39" t="str">
        <f>IF($A94="","",IFERROR(INDEX(Références!$J$2:$J$201,MATCH($A94,Références!$A$2:$A$201,0)),""))</f>
        <v>À lire</v>
      </c>
      <c r="E94" s="39">
        <f>IF($A94="","",IFERROR(INDEX(Références!$I$2:$I$201,MATCH($A94,Références!$A$2:$A$201,0)),""))</f>
        <v>5</v>
      </c>
      <c r="F94" s="45"/>
      <c r="G94" s="45"/>
      <c r="H94" s="45"/>
      <c r="I94" s="45"/>
      <c r="J94" s="45"/>
      <c r="K94" s="71"/>
    </row>
    <row r="95" spans="1:11" x14ac:dyDescent="0.25">
      <c r="A95" s="38" t="s">
        <v>1305</v>
      </c>
      <c r="B95" s="39" t="str">
        <f>IF($A95="","",IFERROR(INDEX(Références!$C$2:$C$201,MATCH($A95,Références!$A$2:$A$201,0)),""))</f>
        <v>Johnson (1985)</v>
      </c>
      <c r="C95" s="39" t="str">
        <f>IF($A95="","",IFERROR(INDEX(Références!$D$2:$D$201,MATCH($A95,Références!$A$2:$A$201,0)),""))</f>
        <v>Contact mechanics</v>
      </c>
      <c r="D95" s="39" t="str">
        <f>IF($A95="","",IFERROR(INDEX(Références!$J$2:$J$201,MATCH($A95,Références!$A$2:$A$201,0)),""))</f>
        <v>À lire</v>
      </c>
      <c r="E95" s="39">
        <f>IF($A95="","",IFERROR(INDEX(Références!$I$2:$I$201,MATCH($A95,Références!$A$2:$A$201,0)),""))</f>
        <v>5</v>
      </c>
      <c r="F95" s="45"/>
      <c r="G95" s="45"/>
      <c r="H95" s="45"/>
      <c r="I95" s="45"/>
      <c r="J95" s="45"/>
      <c r="K95" s="71"/>
    </row>
    <row r="96" spans="1:11" ht="25.5" x14ac:dyDescent="0.25">
      <c r="A96" s="38" t="s">
        <v>1316</v>
      </c>
      <c r="B96" s="39" t="str">
        <f>IF($A96="","",IFERROR(INDEX(Références!$C$2:$C$201,MATCH($A96,Références!$A$2:$A$201,0)),""))</f>
        <v>Love (1929)</v>
      </c>
      <c r="C96" s="39" t="str">
        <f>IF($A96="","",IFERROR(INDEX(Références!$D$2:$D$201,MATCH($A96,Références!$A$2:$A$201,0)),""))</f>
        <v>The stress produced in a semi-infinite solid by pressure on part of the boundary</v>
      </c>
      <c r="D96" s="39" t="str">
        <f>IF($A96="","",IFERROR(INDEX(Références!$J$2:$J$201,MATCH($A96,Références!$A$2:$A$201,0)),""))</f>
        <v>À lire</v>
      </c>
      <c r="E96" s="39">
        <f>IF($A96="","",IFERROR(INDEX(Références!$I$2:$I$201,MATCH($A96,Références!$A$2:$A$201,0)),""))</f>
        <v>5</v>
      </c>
      <c r="F96" s="45"/>
      <c r="G96" s="45"/>
      <c r="H96" s="45"/>
      <c r="I96" s="45"/>
      <c r="J96" s="45"/>
      <c r="K96" s="71"/>
    </row>
    <row r="97" spans="1:11" ht="25.5" x14ac:dyDescent="0.25">
      <c r="A97" s="38" t="s">
        <v>1329</v>
      </c>
      <c r="B97" s="39" t="str">
        <f>IF($A97="","",IFERROR(INDEX(Références!$C$2:$C$201,MATCH($A97,Références!$A$2:$A$201,0)),""))</f>
        <v>Manyo et al. (2021)</v>
      </c>
      <c r="C97" s="39" t="str">
        <f>IF($A97="","",IFERROR(INDEX(Références!$D$2:$D$201,MATCH($A97,Références!$A$2:$A$201,0)),""))</f>
        <v>Approach of pavement surface layer degradation caused by tire contact using semi-analytical model</v>
      </c>
      <c r="D97" s="39" t="str">
        <f>IF($A97="","",IFERROR(INDEX(Références!$J$2:$J$201,MATCH($A97,Références!$A$2:$A$201,0)),""))</f>
        <v>À lire</v>
      </c>
      <c r="E97" s="39">
        <f>IF($A97="","",IFERROR(INDEX(Références!$I$2:$I$201,MATCH($A97,Références!$A$2:$A$201,0)),""))</f>
        <v>5</v>
      </c>
      <c r="F97" s="45"/>
      <c r="G97" s="45"/>
      <c r="H97" s="45"/>
      <c r="I97" s="45"/>
      <c r="J97" s="45"/>
      <c r="K97" s="71"/>
    </row>
    <row r="98" spans="1:11" ht="25.5" x14ac:dyDescent="0.25">
      <c r="A98" s="38" t="s">
        <v>1341</v>
      </c>
      <c r="B98" s="39" t="str">
        <f>IF($A98="","",IFERROR(INDEX(Références!$C$2:$C$201,MATCH($A98,Références!$A$2:$A$201,0)),""))</f>
        <v>Roussel et al. (2020)</v>
      </c>
      <c r="C98" s="39" t="str">
        <f>IF($A98="","",IFERROR(INDEX(Références!$D$2:$D$201,MATCH($A98,Références!$A$2:$A$201,0)),""))</f>
        <v>Simulation of heavy weight deflectometer test: spectral element method vs finite element method</v>
      </c>
      <c r="D98" s="39" t="str">
        <f>IF($A98="","",IFERROR(INDEX(Références!$J$2:$J$201,MATCH($A98,Références!$A$2:$A$201,0)),""))</f>
        <v>À lire</v>
      </c>
      <c r="E98" s="39">
        <f>IF($A98="","",IFERROR(INDEX(Références!$I$2:$I$201,MATCH($A98,Références!$A$2:$A$201,0)),""))</f>
        <v>5</v>
      </c>
      <c r="F98" s="45"/>
      <c r="G98" s="45"/>
      <c r="H98" s="45"/>
      <c r="I98" s="45"/>
      <c r="J98" s="45"/>
      <c r="K98" s="71"/>
    </row>
    <row r="99" spans="1:11" ht="25.5" x14ac:dyDescent="0.25">
      <c r="A99" s="38" t="s">
        <v>1356</v>
      </c>
      <c r="B99" s="39" t="str">
        <f>IF($A99="","",IFERROR(INDEX(Références!$C$2:$C$201,MATCH($A99,Références!$A$2:$A$201,0)),""))</f>
        <v>Siddharthan et al. (1998)</v>
      </c>
      <c r="C99" s="39" t="str">
        <f>IF($A99="","",IFERROR(INDEX(Références!$D$2:$D$201,MATCH($A99,Références!$A$2:$A$201,0)),""))</f>
        <v>Pavement strain from moving dynamic 3D load distribution</v>
      </c>
      <c r="D99" s="39" t="str">
        <f>IF($A99="","",IFERROR(INDEX(Références!$J$2:$J$201,MATCH($A99,Références!$A$2:$A$201,0)),""))</f>
        <v>À lire</v>
      </c>
      <c r="E99" s="39">
        <f>IF($A99="","",IFERROR(INDEX(Références!$I$2:$I$201,MATCH($A99,Références!$A$2:$A$201,0)),""))</f>
        <v>5</v>
      </c>
      <c r="F99" s="45"/>
      <c r="G99" s="45"/>
      <c r="H99" s="45"/>
      <c r="I99" s="45"/>
      <c r="J99" s="45"/>
      <c r="K99" s="71"/>
    </row>
    <row r="100" spans="1:11" ht="25.5" x14ac:dyDescent="0.25">
      <c r="A100" s="38" t="s">
        <v>1366</v>
      </c>
      <c r="B100" s="39" t="str">
        <f>IF($A100="","",IFERROR(INDEX(Références!$C$2:$C$201,MATCH($A100,Références!$A$2:$A$201,0)),""))</f>
        <v>Siddharthan et al. (2002)</v>
      </c>
      <c r="C100" s="39" t="str">
        <f>IF($A100="","",IFERROR(INDEX(Références!$D$2:$D$201,MATCH($A100,Références!$A$2:$A$201,0)),""))</f>
        <v>Investigation of tire contact stress distributions on pavement response</v>
      </c>
      <c r="D100" s="39" t="str">
        <f>IF($A100="","",IFERROR(INDEX(Références!$J$2:$J$201,MATCH($A100,Références!$A$2:$A$201,0)),""))</f>
        <v>À lire</v>
      </c>
      <c r="E100" s="39">
        <f>IF($A100="","",IFERROR(INDEX(Références!$I$2:$I$201,MATCH($A100,Références!$A$2:$A$201,0)),""))</f>
        <v>5</v>
      </c>
      <c r="F100" s="45"/>
      <c r="G100" s="45"/>
      <c r="H100" s="45"/>
      <c r="I100" s="45"/>
      <c r="J100" s="45"/>
      <c r="K100" s="71"/>
    </row>
    <row r="101" spans="1:11" ht="25.5" x14ac:dyDescent="0.25">
      <c r="A101" s="38" t="s">
        <v>1377</v>
      </c>
      <c r="B101" s="39" t="str">
        <f>IF($A101="","",IFERROR(INDEX(Références!$C$2:$C$201,MATCH($A101,Références!$A$2:$A$201,0)),""))</f>
        <v>Chupin et al. (2010)</v>
      </c>
      <c r="C101" s="39" t="str">
        <f>IF($A101="","",IFERROR(INDEX(Références!$D$2:$D$201,MATCH($A101,Références!$A$2:$A$201,0)),""))</f>
        <v>Influence of sliding interfaces on the response of a layered viscoelastic medium under a moving load</v>
      </c>
      <c r="D101" s="39" t="str">
        <f>IF($A101="","",IFERROR(INDEX(Références!$J$2:$J$201,MATCH($A101,Références!$A$2:$A$201,0)),""))</f>
        <v>À lire</v>
      </c>
      <c r="E101" s="39">
        <f>IF($A101="","",IFERROR(INDEX(Références!$I$2:$I$201,MATCH($A101,Références!$A$2:$A$201,0)),""))</f>
        <v>5</v>
      </c>
      <c r="F101" s="45"/>
      <c r="G101" s="45"/>
      <c r="H101" s="45"/>
      <c r="I101" s="45"/>
      <c r="J101" s="45"/>
      <c r="K101" s="71"/>
    </row>
    <row r="102" spans="1:11" ht="25.5" x14ac:dyDescent="0.25">
      <c r="A102" s="38" t="s">
        <v>1389</v>
      </c>
      <c r="B102" s="39" t="str">
        <f>IF($A102="","",IFERROR(INDEX(Références!$C$2:$C$201,MATCH($A102,Références!$A$2:$A$201,0)),""))</f>
        <v>Duhamel et al. (2005)</v>
      </c>
      <c r="C102" s="39" t="str">
        <f>IF($A102="","",IFERROR(INDEX(Références!$D$2:$D$201,MATCH($A102,Références!$A$2:$A$201,0)),""))</f>
        <v>ViscoRoute : modélisation des chaussées bitumineuses</v>
      </c>
      <c r="D102" s="39" t="str">
        <f>IF($A102="","",IFERROR(INDEX(Références!$J$2:$J$201,MATCH($A102,Références!$A$2:$A$201,0)),""))</f>
        <v>À lire</v>
      </c>
      <c r="E102" s="39">
        <f>IF($A102="","",IFERROR(INDEX(Références!$I$2:$I$201,MATCH($A102,Références!$A$2:$A$201,0)),""))</f>
        <v>5</v>
      </c>
      <c r="F102" s="45"/>
      <c r="G102" s="45"/>
      <c r="H102" s="45"/>
      <c r="I102" s="45"/>
      <c r="J102" s="45"/>
      <c r="K102" s="71"/>
    </row>
    <row r="103" spans="1:11" ht="38.25" x14ac:dyDescent="0.25">
      <c r="A103" s="38" t="s">
        <v>1402</v>
      </c>
      <c r="B103" s="39" t="str">
        <f>IF($A103="","",IFERROR(INDEX(Références!$C$2:$C$201,MATCH($A103,Références!$A$2:$A$201,0)),""))</f>
        <v>Grenier et al. (2009)</v>
      </c>
      <c r="C103" s="39" t="str">
        <f>IF($A103="","",IFERROR(INDEX(Références!$D$2:$D$201,MATCH($A103,Références!$A$2:$A$201,0)),""))</f>
        <v>Dynamic simulation of falling weight deflectometer tests on flexible pavements using the spectral element method: forward calculations</v>
      </c>
      <c r="D103" s="39" t="str">
        <f>IF($A103="","",IFERROR(INDEX(Références!$J$2:$J$201,MATCH($A103,Références!$A$2:$A$201,0)),""))</f>
        <v>À lire</v>
      </c>
      <c r="E103" s="39">
        <f>IF($A103="","",IFERROR(INDEX(Références!$I$2:$I$201,MATCH($A103,Références!$A$2:$A$201,0)),""))</f>
        <v>5</v>
      </c>
      <c r="F103" s="45"/>
      <c r="G103" s="45"/>
      <c r="H103" s="45"/>
      <c r="I103" s="45"/>
      <c r="J103" s="45"/>
      <c r="K103" s="71"/>
    </row>
    <row r="104" spans="1:11" ht="38.25" x14ac:dyDescent="0.25">
      <c r="A104" s="38" t="s">
        <v>1414</v>
      </c>
      <c r="B104" s="39" t="str">
        <f>IF($A104="","",IFERROR(INDEX(Références!$C$2:$C$201,MATCH($A104,Références!$A$2:$A$201,0)),""))</f>
        <v>Maina &amp; Matsui (2004)</v>
      </c>
      <c r="C104" s="39" t="str">
        <f>IF($A104="","",IFERROR(INDEX(Références!$D$2:$D$201,MATCH($A104,Références!$A$2:$A$201,0)),""))</f>
        <v>Developing software for elastic analysis of pavement structure responses to vertical and horizontal surface loadings</v>
      </c>
      <c r="D104" s="39" t="str">
        <f>IF($A104="","",IFERROR(INDEX(Références!$J$2:$J$201,MATCH($A104,Références!$A$2:$A$201,0)),""))</f>
        <v>À lire</v>
      </c>
      <c r="E104" s="39">
        <f>IF($A104="","",IFERROR(INDEX(Références!$I$2:$I$201,MATCH($A104,Références!$A$2:$A$201,0)),""))</f>
        <v>5</v>
      </c>
      <c r="F104" s="45"/>
      <c r="G104" s="45"/>
      <c r="H104" s="45"/>
      <c r="I104" s="45"/>
      <c r="J104" s="45"/>
      <c r="K104" s="71"/>
    </row>
    <row r="105" spans="1:11" ht="38.25" x14ac:dyDescent="0.25">
      <c r="A105" s="38" t="s">
        <v>1425</v>
      </c>
      <c r="B105" s="39" t="str">
        <f>IF($A105="","",IFERROR(INDEX(Références!$C$2:$C$201,MATCH($A105,Références!$A$2:$A$201,0)),""))</f>
        <v>Canestrari &amp; Ingrassia (2020)</v>
      </c>
      <c r="C105" s="39" t="str">
        <f>IF($A105="","",IFERROR(INDEX(Références!$D$2:$D$201,MATCH($A105,Références!$A$2:$A$201,0)),""))</f>
        <v>A review of top-down cracking in asphalt pavements: Causes, models, experimental tools and future challenges</v>
      </c>
      <c r="D105" s="39" t="str">
        <f>IF($A105="","",IFERROR(INDEX(Références!$J$2:$J$201,MATCH($A105,Références!$A$2:$A$201,0)),""))</f>
        <v>À lire</v>
      </c>
      <c r="E105" s="39">
        <f>IF($A105="","",IFERROR(INDEX(Références!$I$2:$I$201,MATCH($A105,Références!$A$2:$A$201,0)),""))</f>
        <v>6</v>
      </c>
      <c r="F105" s="45"/>
      <c r="G105" s="45"/>
      <c r="H105" s="45"/>
      <c r="I105" s="45"/>
      <c r="J105" s="45"/>
      <c r="K105" s="71"/>
    </row>
    <row r="106" spans="1:11" ht="25.5" x14ac:dyDescent="0.25">
      <c r="A106" s="38" t="s">
        <v>1438</v>
      </c>
      <c r="B106" s="39" t="str">
        <f>IF($A106="","",IFERROR(INDEX(Références!$C$2:$C$201,MATCH($A106,Références!$A$2:$A$201,0)),""))</f>
        <v>Wang &amp; Al-Qadi (2010)</v>
      </c>
      <c r="C106" s="39" t="str">
        <f>IF($A106="","",IFERROR(INDEX(Références!$D$2:$D$201,MATCH($A106,Références!$A$2:$A$201,0)),""))</f>
        <v>Near-surface pavement failure under multiaxial stress state in thick asphalt pavement</v>
      </c>
      <c r="D106" s="39" t="str">
        <f>IF($A106="","",IFERROR(INDEX(Références!$J$2:$J$201,MATCH($A106,Références!$A$2:$A$201,0)),""))</f>
        <v>À lire</v>
      </c>
      <c r="E106" s="39">
        <f>IF($A106="","",IFERROR(INDEX(Références!$I$2:$I$201,MATCH($A106,Références!$A$2:$A$201,0)),""))</f>
        <v>6</v>
      </c>
      <c r="F106" s="45"/>
      <c r="G106" s="45"/>
      <c r="H106" s="45"/>
      <c r="I106" s="45"/>
      <c r="J106" s="45"/>
      <c r="K106" s="71"/>
    </row>
    <row r="107" spans="1:11" ht="25.5" x14ac:dyDescent="0.25">
      <c r="A107" s="38" t="s">
        <v>1448</v>
      </c>
      <c r="B107" s="39" t="str">
        <f>IF($A107="","",IFERROR(INDEX(Références!$C$2:$C$201,MATCH($A107,Références!$A$2:$A$201,0)),""))</f>
        <v>Di Benedetto et al. (2004)</v>
      </c>
      <c r="C107" s="39" t="str">
        <f>IF($A107="","",IFERROR(INDEX(Références!$D$2:$D$201,MATCH($A107,Références!$A$2:$A$201,0)),""))</f>
        <v>Fatigue of bituminous mixtures</v>
      </c>
      <c r="D107" s="39" t="str">
        <f>IF($A107="","",IFERROR(INDEX(Références!$J$2:$J$201,MATCH($A107,Références!$A$2:$A$201,0)),""))</f>
        <v>À lire</v>
      </c>
      <c r="E107" s="39">
        <f>IF($A107="","",IFERROR(INDEX(Références!$I$2:$I$201,MATCH($A107,Références!$A$2:$A$201,0)),""))</f>
        <v>6</v>
      </c>
      <c r="F107" s="45"/>
      <c r="G107" s="45"/>
      <c r="H107" s="45"/>
      <c r="I107" s="45"/>
      <c r="J107" s="45"/>
      <c r="K107" s="71"/>
    </row>
    <row r="108" spans="1:11" ht="25.5" x14ac:dyDescent="0.25">
      <c r="A108" s="38" t="s">
        <v>1459</v>
      </c>
      <c r="B108" s="39" t="str">
        <f>IF($A108="","",IFERROR(INDEX(Références!$C$2:$C$201,MATCH($A108,Références!$A$2:$A$201,0)),""))</f>
        <v>Kim et al. (2009)</v>
      </c>
      <c r="C108" s="39" t="str">
        <f>IF($A108="","",IFERROR(INDEX(Références!$D$2:$D$201,MATCH($A108,Références!$A$2:$A$201,0)),""))</f>
        <v>Viscoelastic analysis of flexible pavements and its effects on top-down cracking</v>
      </c>
      <c r="D108" s="39" t="str">
        <f>IF($A108="","",IFERROR(INDEX(Références!$J$2:$J$201,MATCH($A108,Références!$A$2:$A$201,0)),""))</f>
        <v>À lire</v>
      </c>
      <c r="E108" s="39">
        <f>IF($A108="","",IFERROR(INDEX(Références!$I$2:$I$201,MATCH($A108,Références!$A$2:$A$201,0)),""))</f>
        <v>6</v>
      </c>
      <c r="F108" s="45"/>
      <c r="G108" s="45"/>
      <c r="H108" s="45"/>
      <c r="I108" s="45"/>
      <c r="J108" s="45"/>
      <c r="K108" s="71"/>
    </row>
    <row r="109" spans="1:11" ht="25.5" x14ac:dyDescent="0.25">
      <c r="A109" s="38" t="s">
        <v>1470</v>
      </c>
      <c r="B109" s="39" t="str">
        <f>IF($A109="","",IFERROR(INDEX(Références!$C$2:$C$201,MATCH($A109,Références!$A$2:$A$201,0)),""))</f>
        <v>Myers et al. (2001)</v>
      </c>
      <c r="C109" s="39" t="str">
        <f>IF($A109="","",IFERROR(INDEX(Références!$D$2:$D$201,MATCH($A109,Références!$A$2:$A$201,0)),""))</f>
        <v>Propagation mechanisms for surface-initiated longitudinal wheelpath cracks</v>
      </c>
      <c r="D109" s="39" t="str">
        <f>IF($A109="","",IFERROR(INDEX(Références!$J$2:$J$201,MATCH($A109,Références!$A$2:$A$201,0)),""))</f>
        <v>À lire</v>
      </c>
      <c r="E109" s="39">
        <f>IF($A109="","",IFERROR(INDEX(Références!$I$2:$I$201,MATCH($A109,Références!$A$2:$A$201,0)),""))</f>
        <v>6</v>
      </c>
      <c r="F109" s="45"/>
      <c r="G109" s="45"/>
      <c r="H109" s="45"/>
      <c r="I109" s="45"/>
      <c r="J109" s="45"/>
      <c r="K109" s="71"/>
    </row>
    <row r="110" spans="1:11" ht="25.5" x14ac:dyDescent="0.25">
      <c r="A110" s="38" t="s">
        <v>1481</v>
      </c>
      <c r="B110" s="39" t="str">
        <f>IF($A110="","",IFERROR(INDEX(Références!$C$2:$C$201,MATCH($A110,Références!$A$2:$A$201,0)),""))</f>
        <v>Oubahdou et al. (2021)</v>
      </c>
      <c r="C110" s="39" t="str">
        <f>IF($A110="","",IFERROR(INDEX(Références!$D$2:$D$201,MATCH($A110,Références!$A$2:$A$201,0)),""))</f>
        <v>Effect of the tire – pavement contact at the surface layer when the tire is tilted in bend</v>
      </c>
      <c r="D110" s="39" t="str">
        <f>IF($A110="","",IFERROR(INDEX(Références!$J$2:$J$201,MATCH($A110,Références!$A$2:$A$201,0)),""))</f>
        <v>À lire</v>
      </c>
      <c r="E110" s="39">
        <f>IF($A110="","",IFERROR(INDEX(Références!$I$2:$I$201,MATCH($A110,Références!$A$2:$A$201,0)),""))</f>
        <v>6</v>
      </c>
      <c r="F110" s="45"/>
      <c r="G110" s="45"/>
      <c r="H110" s="45"/>
      <c r="I110" s="45"/>
      <c r="J110" s="45"/>
      <c r="K110" s="71"/>
    </row>
    <row r="111" spans="1:11" ht="25.5" x14ac:dyDescent="0.25">
      <c r="A111" s="38" t="s">
        <v>1493</v>
      </c>
      <c r="B111" s="39" t="str">
        <f>IF($A111="","",IFERROR(INDEX(Références!$C$2:$C$201,MATCH($A111,Références!$A$2:$A$201,0)),""))</f>
        <v>Roque et al. (2010)</v>
      </c>
      <c r="C111" s="39" t="str">
        <f>IF($A111="","",IFERROR(INDEX(Références!$D$2:$D$201,MATCH($A111,Références!$A$2:$A$201,0)),""))</f>
        <v>Top-down cracking of hot-mix asphalt layers: Models for initiation and propagation</v>
      </c>
      <c r="D111" s="39" t="str">
        <f>IF($A111="","",IFERROR(INDEX(Références!$J$2:$J$201,MATCH($A111,Références!$A$2:$A$201,0)),""))</f>
        <v>À lire</v>
      </c>
      <c r="E111" s="39">
        <f>IF($A111="","",IFERROR(INDEX(Références!$I$2:$I$201,MATCH($A111,Références!$A$2:$A$201,0)),""))</f>
        <v>6</v>
      </c>
      <c r="F111" s="45"/>
      <c r="G111" s="45"/>
      <c r="H111" s="45"/>
      <c r="I111" s="45"/>
      <c r="J111" s="45"/>
      <c r="K111" s="71"/>
    </row>
    <row r="112" spans="1:11" ht="38.25" x14ac:dyDescent="0.25">
      <c r="A112" s="38" t="s">
        <v>1505</v>
      </c>
      <c r="B112" s="39" t="str">
        <f>IF($A112="","",IFERROR(INDEX(Références!$C$2:$C$201,MATCH($A112,Références!$A$2:$A$201,0)),""))</f>
        <v>Weissman (1999)</v>
      </c>
      <c r="C112" s="39" t="str">
        <f>IF($A112="","",IFERROR(INDEX(Références!$D$2:$D$201,MATCH($A112,Références!$A$2:$A$201,0)),""))</f>
        <v>Influence of tire-pavement contact stress distribution on development of distress mechanisms in pavements</v>
      </c>
      <c r="D112" s="39" t="str">
        <f>IF($A112="","",IFERROR(INDEX(Références!$J$2:$J$201,MATCH($A112,Références!$A$2:$A$201,0)),""))</f>
        <v>À lire</v>
      </c>
      <c r="E112" s="39">
        <f>IF($A112="","",IFERROR(INDEX(Références!$I$2:$I$201,MATCH($A112,Références!$A$2:$A$201,0)),""))</f>
        <v>6</v>
      </c>
      <c r="F112" s="45"/>
      <c r="G112" s="45"/>
      <c r="H112" s="45"/>
      <c r="I112" s="45"/>
      <c r="J112" s="45"/>
      <c r="K112" s="71"/>
    </row>
    <row r="113" spans="1:11" x14ac:dyDescent="0.25">
      <c r="A113" s="38" t="s">
        <v>1516</v>
      </c>
      <c r="B113" s="39" t="str">
        <f>IF($A113="","",IFERROR(INDEX(Références!$C$2:$C$201,MATCH($A113,Références!$A$2:$A$201,0)),""))</f>
        <v>FAA (2021)</v>
      </c>
      <c r="C113" s="39" t="str">
        <f>IF($A113="","",IFERROR(INDEX(Références!$D$2:$D$201,MATCH($A113,Références!$A$2:$A$201,0)),""))</f>
        <v>Airport Pavement Design and Evaluation</v>
      </c>
      <c r="D113" s="39" t="str">
        <f>IF($A113="","",IFERROR(INDEX(Références!$J$2:$J$201,MATCH($A113,Références!$A$2:$A$201,0)),""))</f>
        <v>À lire</v>
      </c>
      <c r="E113" s="39">
        <f>IF($A113="","",IFERROR(INDEX(Références!$I$2:$I$201,MATCH($A113,Références!$A$2:$A$201,0)),""))</f>
        <v>6</v>
      </c>
      <c r="F113" s="45"/>
      <c r="G113" s="45"/>
      <c r="H113" s="45"/>
      <c r="I113" s="45"/>
      <c r="J113" s="45"/>
      <c r="K113" s="71"/>
    </row>
    <row r="114" spans="1:11" ht="25.5" x14ac:dyDescent="0.25">
      <c r="A114" s="38" t="s">
        <v>1528</v>
      </c>
      <c r="B114" s="39" t="str">
        <f>IF($A114="","",IFERROR(INDEX(Références!$C$2:$C$201,MATCH($A114,Références!$A$2:$A$201,0)),""))</f>
        <v>FAA (2022)</v>
      </c>
      <c r="C114" s="39" t="str">
        <f>IF($A114="","",IFERROR(INDEX(Références!$D$2:$D$201,MATCH($A114,Références!$A$2:$A$201,0)),""))</f>
        <v>Standardized Method of Reporting Airport Pavement Strength – PCR</v>
      </c>
      <c r="D114" s="39" t="str">
        <f>IF($A114="","",IFERROR(INDEX(Références!$J$2:$J$201,MATCH($A114,Références!$A$2:$A$201,0)),""))</f>
        <v>À lire</v>
      </c>
      <c r="E114" s="39">
        <f>IF($A114="","",IFERROR(INDEX(Références!$I$2:$I$201,MATCH($A114,Références!$A$2:$A$201,0)),""))</f>
        <v>6</v>
      </c>
      <c r="F114" s="45"/>
      <c r="G114" s="45"/>
      <c r="H114" s="45"/>
      <c r="I114" s="45"/>
      <c r="J114" s="45"/>
      <c r="K114" s="71"/>
    </row>
    <row r="115" spans="1:11" ht="25.5" x14ac:dyDescent="0.25">
      <c r="A115" s="38" t="s">
        <v>1537</v>
      </c>
      <c r="B115" s="39" t="str">
        <f>IF($A115="","",IFERROR(INDEX(Références!$C$2:$C$201,MATCH($A115,Références!$A$2:$A$201,0)),""))</f>
        <v>HoSang (1975)</v>
      </c>
      <c r="C115" s="39" t="str">
        <f>IF($A115="","",IFERROR(INDEX(Références!$D$2:$D$201,MATCH($A115,Références!$A$2:$A$201,0)),""))</f>
        <v>Field survey and analysis of aircraft distribution on airport pavements</v>
      </c>
      <c r="D115" s="39" t="str">
        <f>IF($A115="","",IFERROR(INDEX(Références!$J$2:$J$201,MATCH($A115,Références!$A$2:$A$201,0)),""))</f>
        <v>À lire</v>
      </c>
      <c r="E115" s="39">
        <f>IF($A115="","",IFERROR(INDEX(Références!$I$2:$I$201,MATCH($A115,Références!$A$2:$A$201,0)),""))</f>
        <v>6</v>
      </c>
      <c r="F115" s="45"/>
      <c r="G115" s="45"/>
      <c r="H115" s="45"/>
      <c r="I115" s="45"/>
      <c r="J115" s="45"/>
      <c r="K115" s="71"/>
    </row>
    <row r="116" spans="1:11" ht="38.25" x14ac:dyDescent="0.25">
      <c r="A116" s="38" t="s">
        <v>1548</v>
      </c>
      <c r="B116" s="39" t="str">
        <f>IF($A116="","",IFERROR(INDEX(Références!$C$2:$C$201,MATCH($A116,Références!$A$2:$A$201,0)),""))</f>
        <v>OACI (2022)</v>
      </c>
      <c r="C116" s="39" t="str">
        <f>IF($A116="","",IFERROR(INDEX(Références!$D$2:$D$201,MATCH($A116,Références!$A$2:$A$201,0)),""))</f>
        <v>Annexe 14 — Aérodromes, Volume I : Conception et exploitation technique des aérodromes (9e édition)</v>
      </c>
      <c r="D116" s="39" t="str">
        <f>IF($A116="","",IFERROR(INDEX(Références!$J$2:$J$201,MATCH($A116,Références!$A$2:$A$201,0)),""))</f>
        <v>À lire</v>
      </c>
      <c r="E116" s="39">
        <f>IF($A116="","",IFERROR(INDEX(Références!$I$2:$I$201,MATCH($A116,Références!$A$2:$A$201,0)),""))</f>
        <v>6</v>
      </c>
      <c r="F116" s="45"/>
      <c r="G116" s="45"/>
      <c r="H116" s="45"/>
      <c r="I116" s="45"/>
      <c r="J116" s="45"/>
      <c r="K116" s="71"/>
    </row>
    <row r="117" spans="1:11" ht="25.5" x14ac:dyDescent="0.25">
      <c r="A117" s="38" t="s">
        <v>1560</v>
      </c>
      <c r="B117" s="39" t="str">
        <f>IF($A117="","",IFERROR(INDEX(Références!$C$2:$C$201,MATCH($A117,Références!$A$2:$A$201,0)),""))</f>
        <v>OACI (2022)</v>
      </c>
      <c r="C117" s="39" t="str">
        <f>IF($A117="","",IFERROR(INDEX(Références!$D$2:$D$201,MATCH($A117,Références!$A$2:$A$201,0)),""))</f>
        <v>Aerodrome Design Manual, Part 3 — Pavements (3rd edition)</v>
      </c>
      <c r="D117" s="39" t="str">
        <f>IF($A117="","",IFERROR(INDEX(Références!$J$2:$J$201,MATCH($A117,Références!$A$2:$A$201,0)),""))</f>
        <v>À lire</v>
      </c>
      <c r="E117" s="39">
        <f>IF($A117="","",IFERROR(INDEX(Références!$I$2:$I$201,MATCH($A117,Références!$A$2:$A$201,0)),""))</f>
        <v>6</v>
      </c>
      <c r="F117" s="45"/>
      <c r="G117" s="45"/>
      <c r="H117" s="45"/>
      <c r="I117" s="45"/>
      <c r="J117" s="45"/>
      <c r="K117" s="71"/>
    </row>
    <row r="118" spans="1:11" ht="25.5" x14ac:dyDescent="0.25">
      <c r="A118" s="38" t="s">
        <v>1568</v>
      </c>
      <c r="B118" s="39" t="str">
        <f>IF($A118="","",IFERROR(INDEX(Références!$C$2:$C$201,MATCH($A118,Références!$A$2:$A$201,0)),""))</f>
        <v>Roginski (2007)</v>
      </c>
      <c r="C118" s="39" t="str">
        <f>IF($A118="","",IFERROR(INDEX(Références!$D$2:$D$201,MATCH($A118,Références!$A$2:$A$201,0)),""))</f>
        <v>Effects of aircraft tire pressures on flexible pavements</v>
      </c>
      <c r="D118" s="39" t="str">
        <f>IF($A118="","",IFERROR(INDEX(Références!$J$2:$J$201,MATCH($A118,Références!$A$2:$A$201,0)),""))</f>
        <v>À lire</v>
      </c>
      <c r="E118" s="39">
        <f>IF($A118="","",IFERROR(INDEX(Références!$I$2:$I$201,MATCH($A118,Références!$A$2:$A$201,0)),""))</f>
        <v>6</v>
      </c>
      <c r="F118" s="45"/>
      <c r="G118" s="45"/>
      <c r="H118" s="45"/>
      <c r="I118" s="45"/>
      <c r="J118" s="45"/>
      <c r="K118" s="71"/>
    </row>
    <row r="119" spans="1:11" ht="25.5" x14ac:dyDescent="0.25">
      <c r="A119" s="38" t="s">
        <v>1580</v>
      </c>
      <c r="B119" s="39" t="str">
        <f>IF($A119="","",IFERROR(INDEX(Références!$C$2:$C$201,MATCH($A119,Références!$A$2:$A$201,0)),""))</f>
        <v>Travailleur &amp; Broutin (2022)</v>
      </c>
      <c r="C119" s="39" t="str">
        <f>IF($A119="","",IFERROR(INDEX(Références!$D$2:$D$201,MATCH($A119,Références!$A$2:$A$201,0)),""))</f>
        <v>Méthode ACR/PCR d'admissibilité des aéronefs</v>
      </c>
      <c r="D119" s="39" t="str">
        <f>IF($A119="","",IFERROR(INDEX(Références!$J$2:$J$201,MATCH($A119,Références!$A$2:$A$201,0)),""))</f>
        <v>À lire</v>
      </c>
      <c r="E119" s="39">
        <f>IF($A119="","",IFERROR(INDEX(Références!$I$2:$I$201,MATCH($A119,Références!$A$2:$A$201,0)),""))</f>
        <v>6</v>
      </c>
      <c r="F119" s="45"/>
      <c r="G119" s="45"/>
      <c r="H119" s="45"/>
      <c r="I119" s="45"/>
      <c r="J119" s="45"/>
      <c r="K119" s="71"/>
    </row>
    <row r="120" spans="1:11" ht="38.25" x14ac:dyDescent="0.25">
      <c r="A120" s="38" t="s">
        <v>1592</v>
      </c>
      <c r="B120" s="39" t="str">
        <f>IF($A120="","",IFERROR(INDEX(Références!$C$2:$C$201,MATCH($A120,Références!$A$2:$A$201,0)),""))</f>
        <v>AFNOR (2019)</v>
      </c>
      <c r="C120" s="39" t="str">
        <f>IF($A120="","",IFERROR(INDEX(Références!$D$2:$D$201,MATCH($A120,Références!$A$2:$A$201,0)),""))</f>
        <v>NF EN 12697-24 — Mélanges bitumineux — Méthodes d'essai — Partie 24 : résistance à la fatigue</v>
      </c>
      <c r="D120" s="39" t="str">
        <f>IF($A120="","",IFERROR(INDEX(Références!$J$2:$J$201,MATCH($A120,Références!$A$2:$A$201,0)),""))</f>
        <v>À lire</v>
      </c>
      <c r="E120" s="39">
        <f>IF($A120="","",IFERROR(INDEX(Références!$I$2:$I$201,MATCH($A120,Références!$A$2:$A$201,0)),""))</f>
        <v>6</v>
      </c>
      <c r="F120" s="45"/>
      <c r="G120" s="45"/>
      <c r="H120" s="45"/>
      <c r="I120" s="45"/>
      <c r="J120" s="45"/>
      <c r="K120" s="71"/>
    </row>
    <row r="121" spans="1:11" ht="51" x14ac:dyDescent="0.25">
      <c r="A121" s="38" t="s">
        <v>1601</v>
      </c>
      <c r="B121" s="39" t="str">
        <f>IF($A121="","",IFERROR(INDEX(Références!$C$2:$C$201,MATCH($A121,Références!$A$2:$A$201,0)),""))</f>
        <v>Garg et al. (2018)</v>
      </c>
      <c r="C121" s="39" t="str">
        <f>IF($A121="","",IFERROR(INDEX(Références!$D$2:$D$201,MATCH($A121,Références!$A$2:$A$201,0)),""))</f>
        <v>Rutting evaluation of hot and warm mix asphalt concrete under high aircraft tire pressure and temperature at National Airport Pavement and Materials Research Center</v>
      </c>
      <c r="D121" s="39" t="str">
        <f>IF($A121="","",IFERROR(INDEX(Références!$J$2:$J$201,MATCH($A121,Références!$A$2:$A$201,0)),""))</f>
        <v>À lire</v>
      </c>
      <c r="E121" s="39">
        <f>IF($A121="","",IFERROR(INDEX(Références!$I$2:$I$201,MATCH($A121,Références!$A$2:$A$201,0)),""))</f>
        <v>6</v>
      </c>
      <c r="F121" s="45"/>
      <c r="G121" s="45"/>
      <c r="H121" s="45"/>
      <c r="I121" s="45"/>
      <c r="J121" s="45"/>
      <c r="K121" s="71"/>
    </row>
    <row r="122" spans="1:11" ht="38.25" x14ac:dyDescent="0.25">
      <c r="A122" s="38" t="s">
        <v>1612</v>
      </c>
      <c r="B122" s="39" t="str">
        <f>IF($A122="","",IFERROR(INDEX(Références!$C$2:$C$201,MATCH($A122,Références!$A$2:$A$201,0)),""))</f>
        <v>Guo et al. (2025)</v>
      </c>
      <c r="C122" s="39" t="str">
        <f>IF($A122="","",IFERROR(INDEX(Références!$D$2:$D$201,MATCH($A122,Références!$A$2:$A$201,0)),""))</f>
        <v>Analysis of tire contact stresses and asphalt pavement rutting under gradient temperature and typical driving conditions</v>
      </c>
      <c r="D122" s="39" t="str">
        <f>IF($A122="","",IFERROR(INDEX(Références!$J$2:$J$201,MATCH($A122,Références!$A$2:$A$201,0)),""))</f>
        <v>À lire</v>
      </c>
      <c r="E122" s="39">
        <f>IF($A122="","",IFERROR(INDEX(Références!$I$2:$I$201,MATCH($A122,Références!$A$2:$A$201,0)),""))</f>
        <v>6</v>
      </c>
      <c r="F122" s="45"/>
      <c r="G122" s="45"/>
      <c r="H122" s="45"/>
      <c r="I122" s="45"/>
      <c r="J122" s="45"/>
      <c r="K122" s="71"/>
    </row>
    <row r="123" spans="1:11" x14ac:dyDescent="0.25">
      <c r="A123" s="38" t="s">
        <v>1625</v>
      </c>
      <c r="B123" s="39" t="str">
        <f>IF($A123="","",IFERROR(INDEX(Références!$C$2:$C$201,MATCH($A123,Références!$A$2:$A$201,0)),""))</f>
        <v>Miner (1945)</v>
      </c>
      <c r="C123" s="39" t="str">
        <f>IF($A123="","",IFERROR(INDEX(Références!$D$2:$D$201,MATCH($A123,Références!$A$2:$A$201,0)),""))</f>
        <v>Cumulative damage in fatigue</v>
      </c>
      <c r="D123" s="39" t="str">
        <f>IF($A123="","",IFERROR(INDEX(Références!$J$2:$J$201,MATCH($A123,Références!$A$2:$A$201,0)),""))</f>
        <v>À lire</v>
      </c>
      <c r="E123" s="39">
        <f>IF($A123="","",IFERROR(INDEX(Références!$I$2:$I$201,MATCH($A123,Références!$A$2:$A$201,0)),""))</f>
        <v>6</v>
      </c>
      <c r="F123" s="45"/>
      <c r="G123" s="45"/>
      <c r="H123" s="45"/>
      <c r="I123" s="45"/>
      <c r="J123" s="45"/>
      <c r="K123" s="71"/>
    </row>
    <row r="124" spans="1:11" ht="25.5" x14ac:dyDescent="0.25">
      <c r="A124" s="38" t="s">
        <v>1637</v>
      </c>
      <c r="B124" s="39" t="str">
        <f>IF($A124="","",IFERROR(INDEX(Références!$C$2:$C$201,MATCH($A124,Références!$A$2:$A$201,0)),""))</f>
        <v>Bazi et al. (2021)</v>
      </c>
      <c r="C124" s="39" t="str">
        <f>IF($A124="","",IFERROR(INDEX(Références!$D$2:$D$201,MATCH($A124,Références!$A$2:$A$201,0)),""))</f>
        <v>Instrumented flexible pavement responses under aircraft loading</v>
      </c>
      <c r="D124" s="39" t="str">
        <f>IF($A124="","",IFERROR(INDEX(Références!$J$2:$J$201,MATCH($A124,Références!$A$2:$A$201,0)),""))</f>
        <v>À lire</v>
      </c>
      <c r="E124" s="39">
        <f>IF($A124="","",IFERROR(INDEX(Références!$I$2:$I$201,MATCH($A124,Références!$A$2:$A$201,0)),""))</f>
        <v>6</v>
      </c>
      <c r="F124" s="45"/>
      <c r="G124" s="45"/>
      <c r="H124" s="45"/>
      <c r="I124" s="45"/>
      <c r="J124" s="45"/>
      <c r="K124" s="71"/>
    </row>
    <row r="125" spans="1:11" ht="25.5" x14ac:dyDescent="0.25">
      <c r="A125" s="38" t="s">
        <v>1648</v>
      </c>
      <c r="B125" s="39" t="str">
        <f>IF($A125="","",IFERROR(INDEX(Références!$C$2:$C$201,MATCH($A125,Références!$A$2:$A$201,0)),""))</f>
        <v>FAA (2024)</v>
      </c>
      <c r="C125" s="39" t="str">
        <f>IF($A125="","",IFERROR(INDEX(Références!$D$2:$D$201,MATCH($A125,Références!$A$2:$A$201,0)),""))</f>
        <v>FAARFIELD 2.1 — Airport pavement thickness design and evaluation software</v>
      </c>
      <c r="D125" s="39" t="str">
        <f>IF($A125="","",IFERROR(INDEX(Références!$J$2:$J$201,MATCH($A125,Références!$A$2:$A$201,0)),""))</f>
        <v>À lire</v>
      </c>
      <c r="E125" s="39">
        <f>IF($A125="","",IFERROR(INDEX(Références!$I$2:$I$201,MATCH($A125,Références!$A$2:$A$201,0)),""))</f>
        <v>6</v>
      </c>
      <c r="F125" s="45"/>
      <c r="G125" s="45"/>
      <c r="H125" s="45"/>
      <c r="I125" s="45"/>
      <c r="J125" s="45"/>
      <c r="K125" s="71"/>
    </row>
    <row r="126" spans="1:11" x14ac:dyDescent="0.25">
      <c r="A126" s="38" t="s">
        <v>3175</v>
      </c>
      <c r="B126" s="39" t="str">
        <f>IF($A126="","",IFERROR(INDEX(Références!$C$2:$C$201,MATCH($A126,Références!$A$2:$A$201,0)),""))</f>
        <v>Kausel &amp; Roësset (1981)</v>
      </c>
      <c r="C126" s="39" t="str">
        <f>IF($A126="","",IFERROR(INDEX(Références!$D$2:$D$201,MATCH($A126,Références!$A$2:$A$201,0)),""))</f>
        <v>Stiffness matrices for layered soils</v>
      </c>
      <c r="D126" s="39" t="str">
        <f>IF($A126="","",IFERROR(INDEX(Références!$J$2:$J$201,MATCH($A126,Références!$A$2:$A$201,0)),""))</f>
        <v>À lire</v>
      </c>
      <c r="E126" s="39">
        <f>IF($A126="","",IFERROR(INDEX(Références!$I$2:$I$201,MATCH($A126,Références!$A$2:$A$201,0)),""))</f>
        <v>5</v>
      </c>
      <c r="F126" s="45"/>
      <c r="G126" s="45"/>
      <c r="H126" s="45"/>
      <c r="I126" s="45"/>
      <c r="J126" s="45"/>
      <c r="K126" s="71"/>
    </row>
    <row r="127" spans="1:11" ht="38.25" x14ac:dyDescent="0.25">
      <c r="A127" s="38" t="s">
        <v>3190</v>
      </c>
      <c r="B127" s="39" t="str">
        <f>IF($A127="","",IFERROR(INDEX(Références!$C$2:$C$201,MATCH($A127,Références!$A$2:$A$201,0)),""))</f>
        <v>Burmister (1943)</v>
      </c>
      <c r="C127" s="39" t="str">
        <f>IF($A127="","",IFERROR(INDEX(Références!$D$2:$D$201,MATCH($A127,Références!$A$2:$A$201,0)),""))</f>
        <v>The theory of stresses and displacements in layered systems and applications to the design of airport runways</v>
      </c>
      <c r="D127" s="39" t="str">
        <f>IF($A127="","",IFERROR(INDEX(Références!$J$2:$J$201,MATCH($A127,Références!$A$2:$A$201,0)),""))</f>
        <v>À lire</v>
      </c>
      <c r="E127" s="39">
        <f>IF($A127="","",IFERROR(INDEX(Références!$I$2:$I$201,MATCH($A127,Références!$A$2:$A$201,0)),""))</f>
        <v>4</v>
      </c>
      <c r="F127" s="45"/>
      <c r="G127" s="45"/>
      <c r="H127" s="45"/>
      <c r="I127" s="45"/>
      <c r="J127" s="45"/>
      <c r="K127" s="71"/>
    </row>
    <row r="128" spans="1:11" ht="25.5" x14ac:dyDescent="0.25">
      <c r="A128" s="38" t="s">
        <v>3198</v>
      </c>
      <c r="B128" s="39" t="str">
        <f>IF($A128="","",IFERROR(INDEX(Références!$C$2:$C$201,MATCH($A128,Références!$A$2:$A$201,0)),""))</f>
        <v>Thomson (1950)</v>
      </c>
      <c r="C128" s="39" t="str">
        <f>IF($A128="","",IFERROR(INDEX(Références!$D$2:$D$201,MATCH($A128,Références!$A$2:$A$201,0)),""))</f>
        <v>Transmission of elastic waves through a stratified solid medium</v>
      </c>
      <c r="D128" s="39" t="str">
        <f>IF($A128="","",IFERROR(INDEX(Références!$J$2:$J$201,MATCH($A128,Références!$A$2:$A$201,0)),""))</f>
        <v>À lire</v>
      </c>
      <c r="E128" s="39">
        <f>IF($A128="","",IFERROR(INDEX(Références!$I$2:$I$201,MATCH($A128,Références!$A$2:$A$201,0)),""))</f>
        <v>5</v>
      </c>
      <c r="F128" s="45"/>
      <c r="G128" s="45"/>
      <c r="H128" s="45"/>
      <c r="I128" s="45"/>
      <c r="J128" s="45"/>
      <c r="K128" s="71"/>
    </row>
    <row r="129" spans="1:11" ht="25.5" x14ac:dyDescent="0.25">
      <c r="A129" s="38" t="s">
        <v>3210</v>
      </c>
      <c r="B129" s="39" t="str">
        <f>IF($A129="","",IFERROR(INDEX(Références!$C$2:$C$201,MATCH($A129,Références!$A$2:$A$201,0)),""))</f>
        <v>Haskell (1953)</v>
      </c>
      <c r="C129" s="39" t="str">
        <f>IF($A129="","",IFERROR(INDEX(Références!$D$2:$D$201,MATCH($A129,Références!$A$2:$A$201,0)),""))</f>
        <v>The dispersion of surface waves on multilayered media</v>
      </c>
      <c r="D129" s="39" t="str">
        <f>IF($A129="","",IFERROR(INDEX(Références!$J$2:$J$201,MATCH($A129,Références!$A$2:$A$201,0)),""))</f>
        <v>À lire</v>
      </c>
      <c r="E129" s="39">
        <f>IF($A129="","",IFERROR(INDEX(Références!$I$2:$I$201,MATCH($A129,Références!$A$2:$A$201,0)),""))</f>
        <v>5</v>
      </c>
      <c r="F129" s="45"/>
      <c r="G129" s="45"/>
      <c r="H129" s="45"/>
      <c r="I129" s="45"/>
      <c r="J129" s="45"/>
      <c r="K129" s="71"/>
    </row>
    <row r="130" spans="1:11" ht="25.5" x14ac:dyDescent="0.25">
      <c r="A130" s="38" t="s">
        <v>3222</v>
      </c>
      <c r="B130" s="39" t="str">
        <f>IF($A130="","",IFERROR(INDEX(Références!$C$2:$C$201,MATCH($A130,Références!$A$2:$A$201,0)),""))</f>
        <v>Kausel &amp; Peek (1982)</v>
      </c>
      <c r="C130" s="39" t="str">
        <f>IF($A130="","",IFERROR(INDEX(Références!$D$2:$D$201,MATCH($A130,Références!$A$2:$A$201,0)),""))</f>
        <v>Dynamic loads in the interior of a layered stratum: an explicit solution</v>
      </c>
      <c r="D130" s="39" t="str">
        <f>IF($A130="","",IFERROR(INDEX(Références!$J$2:$J$201,MATCH($A130,Références!$A$2:$A$201,0)),""))</f>
        <v>À lire</v>
      </c>
      <c r="E130" s="39">
        <f>IF($A130="","",IFERROR(INDEX(Références!$I$2:$I$201,MATCH($A130,Références!$A$2:$A$201,0)),""))</f>
        <v>5</v>
      </c>
      <c r="F130" s="45"/>
      <c r="G130" s="45"/>
      <c r="H130" s="45"/>
      <c r="I130" s="45"/>
      <c r="J130" s="45"/>
      <c r="K130" s="71"/>
    </row>
    <row r="131" spans="1:11" ht="25.5" x14ac:dyDescent="0.25">
      <c r="A131" s="38" t="s">
        <v>3233</v>
      </c>
      <c r="B131" s="39" t="str">
        <f>IF($A131="","",IFERROR(INDEX(Références!$C$2:$C$201,MATCH($A131,Références!$A$2:$A$201,0)),""))</f>
        <v>Kausel (2006)</v>
      </c>
      <c r="C131" s="39" t="str">
        <f>IF($A131="","",IFERROR(INDEX(Références!$D$2:$D$201,MATCH($A131,Références!$A$2:$A$201,0)),""))</f>
        <v>Fundamental solutions in elastodynamics: a compendium</v>
      </c>
      <c r="D131" s="39" t="str">
        <f>IF($A131="","",IFERROR(INDEX(Références!$J$2:$J$201,MATCH($A131,Références!$A$2:$A$201,0)),""))</f>
        <v>À lire</v>
      </c>
      <c r="E131" s="39">
        <f>IF($A131="","",IFERROR(INDEX(Références!$I$2:$I$201,MATCH($A131,Références!$A$2:$A$201,0)),""))</f>
        <v>5</v>
      </c>
      <c r="F131" s="45"/>
      <c r="G131" s="45"/>
      <c r="H131" s="45"/>
      <c r="I131" s="45"/>
      <c r="J131" s="45"/>
      <c r="K131" s="71"/>
    </row>
    <row r="132" spans="1:11" ht="25.5" x14ac:dyDescent="0.25">
      <c r="A132" s="38" t="s">
        <v>3241</v>
      </c>
      <c r="B132" s="39" t="str">
        <f>IF($A132="","",IFERROR(INDEX(Références!$C$2:$C$201,MATCH($A132,Références!$A$2:$A$201,0)),""))</f>
        <v>Timoshenko &amp; Goodier (1970)</v>
      </c>
      <c r="C132" s="39" t="str">
        <f>IF($A132="","",IFERROR(INDEX(Références!$D$2:$D$201,MATCH($A132,Références!$A$2:$A$201,0)),""))</f>
        <v>Theory of elasticity (3rd edition)</v>
      </c>
      <c r="D132" s="39" t="str">
        <f>IF($A132="","",IFERROR(INDEX(Références!$J$2:$J$201,MATCH($A132,Références!$A$2:$A$201,0)),""))</f>
        <v>À lire</v>
      </c>
      <c r="E132" s="39">
        <f>IF($A132="","",IFERROR(INDEX(Références!$I$2:$I$201,MATCH($A132,Références!$A$2:$A$201,0)),""))</f>
        <v>4</v>
      </c>
      <c r="F132" s="45"/>
      <c r="G132" s="45"/>
      <c r="H132" s="45"/>
      <c r="I132" s="45"/>
      <c r="J132" s="45"/>
      <c r="K132" s="71"/>
    </row>
    <row r="133" spans="1:11" x14ac:dyDescent="0.25">
      <c r="A133" s="38" t="s">
        <v>3251</v>
      </c>
      <c r="B133" s="39" t="str">
        <f>IF($A133="","",IFERROR(INDEX(Références!$C$2:$C$201,MATCH($A133,Références!$A$2:$A$201,0)),""))</f>
        <v>Huang (2004)</v>
      </c>
      <c r="C133" s="39" t="str">
        <f>IF($A133="","",IFERROR(INDEX(Références!$D$2:$D$201,MATCH($A133,Références!$A$2:$A$201,0)),""))</f>
        <v>Pavement analysis and design (2nd edition)</v>
      </c>
      <c r="D133" s="39" t="str">
        <f>IF($A133="","",IFERROR(INDEX(Références!$J$2:$J$201,MATCH($A133,Références!$A$2:$A$201,0)),""))</f>
        <v>À lire</v>
      </c>
      <c r="E133" s="39">
        <f>IF($A133="","",IFERROR(INDEX(Références!$I$2:$I$201,MATCH($A133,Références!$A$2:$A$201,0)),""))</f>
        <v>4</v>
      </c>
      <c r="F133" s="45"/>
      <c r="G133" s="45"/>
      <c r="H133" s="45"/>
      <c r="I133" s="45"/>
      <c r="J133" s="45"/>
      <c r="K133" s="71"/>
    </row>
    <row r="134" spans="1:11" ht="25.5" x14ac:dyDescent="0.25">
      <c r="A134" s="38" t="s">
        <v>3259</v>
      </c>
      <c r="B134" s="39" t="str">
        <f>IF($A134="","",IFERROR(INDEX(Références!$C$2:$C$201,MATCH($A134,Références!$A$2:$A$201,0)),""))</f>
        <v>Nakhaei (2023)</v>
      </c>
      <c r="C134" s="39" t="str">
        <f>IF($A134="","",IFERROR(INDEX(Références!$D$2:$D$201,MATCH($A134,Références!$A$2:$A$201,0)),""))</f>
        <v>PyMastic — Python multilayer elastic pavement analysis (code source)</v>
      </c>
      <c r="D134" s="39" t="str">
        <f>IF($A134="","",IFERROR(INDEX(Références!$J$2:$J$201,MATCH($A134,Références!$A$2:$A$201,0)),""))</f>
        <v>À lire</v>
      </c>
      <c r="E134" s="39">
        <f>IF($A134="","",IFERROR(INDEX(Références!$I$2:$I$201,MATCH($A134,Références!$A$2:$A$201,0)),""))</f>
        <v>5</v>
      </c>
      <c r="F134" s="45"/>
      <c r="G134" s="45"/>
      <c r="H134" s="45"/>
      <c r="I134" s="45"/>
      <c r="J134" s="45"/>
      <c r="K134" s="71"/>
    </row>
    <row r="135" spans="1:11" ht="25.5" x14ac:dyDescent="0.25">
      <c r="A135" s="38" t="s">
        <v>3270</v>
      </c>
      <c r="B135" s="39" t="str">
        <f>IF($A135="","",IFERROR(INDEX(Références!$C$2:$C$201,MATCH($A135,Références!$A$2:$A$201,0)),""))</f>
        <v>Muki (1956)</v>
      </c>
      <c r="C135" s="39" t="str">
        <f>IF($A135="","",IFERROR(INDEX(Références!$D$2:$D$201,MATCH($A135,Références!$A$2:$A$201,0)),""))</f>
        <v>Three dimensional problem of elasticity for a semi-infinite solid with a tangential load on its surface</v>
      </c>
      <c r="D135" s="39" t="str">
        <f>IF($A135="","",IFERROR(INDEX(Références!$J$2:$J$201,MATCH($A135,Références!$A$2:$A$201,0)),""))</f>
        <v>À lire</v>
      </c>
      <c r="E135" s="39">
        <f>IF($A135="","",IFERROR(INDEX(Références!$I$2:$I$201,MATCH($A135,Références!$A$2:$A$201,0)),""))</f>
        <v>5</v>
      </c>
      <c r="F135" s="45"/>
      <c r="G135" s="45"/>
      <c r="H135" s="45"/>
      <c r="I135" s="45"/>
      <c r="J135" s="45"/>
      <c r="K135" s="71"/>
    </row>
    <row r="136" spans="1:11" ht="25.5" x14ac:dyDescent="0.25">
      <c r="A136" s="38" t="s">
        <v>3281</v>
      </c>
      <c r="B136" s="39" t="str">
        <f>IF($A136="","",IFERROR(INDEX(Références!$C$2:$C$201,MATCH($A136,Références!$A$2:$A$201,0)),""))</f>
        <v>Khazanovich &amp; Wang (2007)</v>
      </c>
      <c r="C136" s="39" t="str">
        <f>IF($A136="","",IFERROR(INDEX(Références!$D$2:$D$201,MATCH($A136,Références!$A$2:$A$201,0)),""))</f>
        <v>MnLayer: high-performance layered elastic analysis program</v>
      </c>
      <c r="D136" s="39" t="str">
        <f>IF($A136="","",IFERROR(INDEX(Références!$J$2:$J$201,MATCH($A136,Références!$A$2:$A$201,0)),""))</f>
        <v>À lire</v>
      </c>
      <c r="E136" s="39">
        <f>IF($A136="","",IFERROR(INDEX(Références!$I$2:$I$201,MATCH($A136,Références!$A$2:$A$201,0)),""))</f>
        <v>5</v>
      </c>
      <c r="F136" s="45"/>
      <c r="G136" s="45"/>
      <c r="H136" s="45"/>
      <c r="I136" s="45"/>
      <c r="J136" s="45"/>
      <c r="K136" s="71"/>
    </row>
    <row r="137" spans="1:11" ht="25.5" x14ac:dyDescent="0.25">
      <c r="A137" s="38" t="s">
        <v>3294</v>
      </c>
      <c r="B137" s="39" t="str">
        <f>IF($A137="","",IFERROR(INDEX(Références!$C$2:$C$201,MATCH($A137,Références!$A$2:$A$201,0)),""))</f>
        <v>Chabot et al. (2006)</v>
      </c>
      <c r="C137" s="39" t="str">
        <f>IF($A137="","",IFERROR(INDEX(Références!$D$2:$D$201,MATCH($A137,Références!$A$2:$A$201,0)),""))</f>
        <v>Visco-elastic modelling for asphalt pavements – software ViscoRoute</v>
      </c>
      <c r="D137" s="39" t="str">
        <f>IF($A137="","",IFERROR(INDEX(Références!$J$2:$J$201,MATCH($A137,Références!$A$2:$A$201,0)),""))</f>
        <v>À lire</v>
      </c>
      <c r="E137" s="39">
        <f>IF($A137="","",IFERROR(INDEX(Références!$I$2:$I$201,MATCH($A137,Références!$A$2:$A$201,0)),""))</f>
        <v>4</v>
      </c>
      <c r="F137" s="45"/>
      <c r="G137" s="45"/>
      <c r="H137" s="45"/>
      <c r="I137" s="45"/>
      <c r="J137" s="45"/>
      <c r="K137" s="71"/>
    </row>
    <row r="138" spans="1:11" ht="25.5" x14ac:dyDescent="0.25">
      <c r="A138" s="38" t="s">
        <v>3305</v>
      </c>
      <c r="B138" s="39" t="str">
        <f>IF($A138="","",IFERROR(INDEX(Références!$C$2:$C$201,MATCH($A138,Références!$A$2:$A$201,0)),""))</f>
        <v>Zhao et al. (2014)</v>
      </c>
      <c r="C138" s="39" t="str">
        <f>IF($A138="","",IFERROR(INDEX(Références!$D$2:$D$201,MATCH($A138,Références!$A$2:$A$201,0)),""))</f>
        <v>Viscoelastic response solutions of multilayered asphalt pavements</v>
      </c>
      <c r="D138" s="39" t="str">
        <f>IF($A138="","",IFERROR(INDEX(Références!$J$2:$J$201,MATCH($A138,Références!$A$2:$A$201,0)),""))</f>
        <v>À lire</v>
      </c>
      <c r="E138" s="39">
        <f>IF($A138="","",IFERROR(INDEX(Références!$I$2:$I$201,MATCH($A138,Références!$A$2:$A$201,0)),""))</f>
        <v>4</v>
      </c>
      <c r="F138" s="45"/>
      <c r="G138" s="45"/>
      <c r="H138" s="45"/>
      <c r="I138" s="45"/>
      <c r="J138" s="45"/>
      <c r="K138" s="71"/>
    </row>
    <row r="139" spans="1:11" ht="25.5" x14ac:dyDescent="0.25">
      <c r="A139" s="38" t="s">
        <v>3315</v>
      </c>
      <c r="B139" s="39" t="str">
        <f>IF($A139="","",IFERROR(INDEX(Références!$C$2:$C$201,MATCH($A139,Références!$A$2:$A$201,0)),""))</f>
        <v>Hughes (2000)</v>
      </c>
      <c r="C139" s="39" t="str">
        <f>IF($A139="","",IFERROR(INDEX(Références!$D$2:$D$201,MATCH($A139,Références!$A$2:$A$201,0)),""))</f>
        <v>The finite element method: linear static and dynamic finite element analysis</v>
      </c>
      <c r="D139" s="39" t="str">
        <f>IF($A139="","",IFERROR(INDEX(Références!$J$2:$J$201,MATCH($A139,Références!$A$2:$A$201,0)),""))</f>
        <v>À lire</v>
      </c>
      <c r="E139" s="39">
        <f>IF($A139="","",IFERROR(INDEX(Références!$I$2:$I$201,MATCH($A139,Références!$A$2:$A$201,0)),""))</f>
        <v>4</v>
      </c>
      <c r="F139" s="45"/>
      <c r="G139" s="45"/>
      <c r="H139" s="45"/>
      <c r="I139" s="45"/>
      <c r="J139" s="45"/>
      <c r="K139" s="71"/>
    </row>
    <row r="140" spans="1:11" ht="25.5" x14ac:dyDescent="0.25">
      <c r="A140" s="38" t="s">
        <v>3324</v>
      </c>
      <c r="B140" s="39" t="str">
        <f>IF($A140="","",IFERROR(INDEX(Références!$C$2:$C$201,MATCH($A140,Références!$A$2:$A$201,0)),""))</f>
        <v>Bornert et al. (2001)</v>
      </c>
      <c r="C140" s="39" t="str">
        <f>IF($A140="","",IFERROR(INDEX(Références!$D$2:$D$201,MATCH($A140,Références!$A$2:$A$201,0)),""))</f>
        <v>Homogénéisation en mécanique des matériaux (2 volumes)</v>
      </c>
      <c r="D140" s="39" t="str">
        <f>IF($A140="","",IFERROR(INDEX(Références!$J$2:$J$201,MATCH($A140,Références!$A$2:$A$201,0)),""))</f>
        <v>À lire</v>
      </c>
      <c r="E140" s="39">
        <f>IF($A140="","",IFERROR(INDEX(Références!$I$2:$I$201,MATCH($A140,Références!$A$2:$A$201,0)),""))</f>
        <v>5</v>
      </c>
      <c r="F140" s="45"/>
      <c r="G140" s="45"/>
      <c r="H140" s="45"/>
      <c r="I140" s="45"/>
      <c r="J140" s="45"/>
      <c r="K140" s="71"/>
    </row>
    <row r="141" spans="1:11" ht="38.25" x14ac:dyDescent="0.25">
      <c r="A141" s="38" t="s">
        <v>3332</v>
      </c>
      <c r="B141" s="39" t="str">
        <f>IF($A141="","",IFERROR(INDEX(Références!$C$2:$C$201,MATCH($A141,Références!$A$2:$A$201,0)),""))</f>
        <v>Moulinec &amp; Suquet (1998)</v>
      </c>
      <c r="C141" s="39" t="str">
        <f>IF($A141="","",IFERROR(INDEX(Références!$D$2:$D$201,MATCH($A141,Références!$A$2:$A$201,0)),""))</f>
        <v>A numerical method for computing the overall response of nonlinear composites with complex microstructure</v>
      </c>
      <c r="D141" s="39" t="str">
        <f>IF($A141="","",IFERROR(INDEX(Références!$J$2:$J$201,MATCH($A141,Références!$A$2:$A$201,0)),""))</f>
        <v>À lire</v>
      </c>
      <c r="E141" s="39">
        <f>IF($A141="","",IFERROR(INDEX(Références!$I$2:$I$201,MATCH($A141,Références!$A$2:$A$201,0)),""))</f>
        <v>5</v>
      </c>
      <c r="F141" s="45"/>
      <c r="G141" s="45"/>
      <c r="H141" s="45"/>
      <c r="I141" s="45"/>
      <c r="J141" s="45"/>
      <c r="K141" s="71"/>
    </row>
    <row r="142" spans="1:11" x14ac:dyDescent="0.25">
      <c r="A142" s="38" t="s">
        <v>3344</v>
      </c>
      <c r="B142" s="39" t="str">
        <f>IF($A142="","",IFERROR(INDEX(Références!$C$2:$C$201,MATCH($A142,Références!$A$2:$A$201,0)),""))</f>
        <v>Lee (1955)</v>
      </c>
      <c r="C142" s="39" t="str">
        <f>IF($A142="","",IFERROR(INDEX(Références!$D$2:$D$201,MATCH($A142,Références!$A$2:$A$201,0)),""))</f>
        <v>Stress analysis in visco-elastic bodies</v>
      </c>
      <c r="D142" s="39" t="str">
        <f>IF($A142="","",IFERROR(INDEX(Références!$J$2:$J$201,MATCH($A142,Références!$A$2:$A$201,0)),""))</f>
        <v>À lire</v>
      </c>
      <c r="E142" s="39">
        <f>IF($A142="","",IFERROR(INDEX(Références!$I$2:$I$201,MATCH($A142,Références!$A$2:$A$201,0)),""))</f>
        <v>2</v>
      </c>
      <c r="F142" s="45"/>
      <c r="G142" s="45"/>
      <c r="H142" s="45"/>
      <c r="I142" s="45"/>
      <c r="J142" s="45"/>
      <c r="K142" s="71"/>
    </row>
    <row r="143" spans="1:11" ht="25.5" x14ac:dyDescent="0.25">
      <c r="A143" s="38" t="s">
        <v>3355</v>
      </c>
      <c r="B143" s="39" t="str">
        <f>IF($A143="","",IFERROR(INDEX(Références!$C$2:$C$201,MATCH($A143,Références!$A$2:$A$201,0)),""))</f>
        <v>Christensen (1982)</v>
      </c>
      <c r="C143" s="39" t="str">
        <f>IF($A143="","",IFERROR(INDEX(Références!$D$2:$D$201,MATCH($A143,Références!$A$2:$A$201,0)),""))</f>
        <v>Theory of viscoelasticity: an introduction (2nd edition)</v>
      </c>
      <c r="D143" s="39" t="str">
        <f>IF($A143="","",IFERROR(INDEX(Références!$J$2:$J$201,MATCH($A143,Références!$A$2:$A$201,0)),""))</f>
        <v>À lire</v>
      </c>
      <c r="E143" s="39">
        <f>IF($A143="","",IFERROR(INDEX(Références!$I$2:$I$201,MATCH($A143,Références!$A$2:$A$201,0)),""))</f>
        <v>2</v>
      </c>
      <c r="F143" s="45"/>
      <c r="G143" s="45"/>
      <c r="H143" s="45"/>
      <c r="I143" s="45"/>
      <c r="J143" s="45"/>
      <c r="K143" s="71"/>
    </row>
    <row r="144" spans="1:11" x14ac:dyDescent="0.25">
      <c r="A144" s="38" t="s">
        <v>3364</v>
      </c>
      <c r="B144" s="39" t="str">
        <f>IF($A144="","",IFERROR(INDEX(Références!$C$2:$C$201,MATCH($A144,Références!$A$2:$A$201,0)),""))</f>
        <v>Salençon (2009)</v>
      </c>
      <c r="C144" s="39" t="str">
        <f>IF($A144="","",IFERROR(INDEX(Références!$D$2:$D$201,MATCH($A144,Références!$A$2:$A$201,0)),""))</f>
        <v>Viscoélasticité pour le calcul des structures</v>
      </c>
      <c r="D144" s="39" t="str">
        <f>IF($A144="","",IFERROR(INDEX(Références!$J$2:$J$201,MATCH($A144,Références!$A$2:$A$201,0)),""))</f>
        <v>À lire</v>
      </c>
      <c r="E144" s="39">
        <f>IF($A144="","",IFERROR(INDEX(Références!$I$2:$I$201,MATCH($A144,Références!$A$2:$A$201,0)),""))</f>
        <v>2</v>
      </c>
      <c r="F144" s="45"/>
      <c r="G144" s="45"/>
      <c r="H144" s="45"/>
      <c r="I144" s="45"/>
      <c r="J144" s="45"/>
      <c r="K144" s="71"/>
    </row>
    <row r="145" spans="1:11" ht="38.25" x14ac:dyDescent="0.25">
      <c r="A145" s="38" t="s">
        <v>3372</v>
      </c>
      <c r="B145" s="39" t="str">
        <f>IF($A145="","",IFERROR(INDEX(Références!$C$2:$C$201,MATCH($A145,Références!$A$2:$A$201,0)),""))</f>
        <v>Polonsky &amp; Keer (1999)</v>
      </c>
      <c r="C145" s="39" t="str">
        <f>IF($A145="","",IFERROR(INDEX(Références!$D$2:$D$201,MATCH($A145,Références!$A$2:$A$201,0)),""))</f>
        <v>A numerical method for solving rough contact problems based on the multi-level multi-summation and conjugate gradient techniques</v>
      </c>
      <c r="D145" s="39" t="str">
        <f>IF($A145="","",IFERROR(INDEX(Références!$J$2:$J$201,MATCH($A145,Références!$A$2:$A$201,0)),""))</f>
        <v>À lire</v>
      </c>
      <c r="E145" s="39">
        <f>IF($A145="","",IFERROR(INDEX(Références!$I$2:$I$201,MATCH($A145,Références!$A$2:$A$201,0)),""))</f>
        <v>5</v>
      </c>
      <c r="F145" s="45"/>
      <c r="G145" s="45"/>
      <c r="H145" s="45"/>
      <c r="I145" s="45"/>
      <c r="J145" s="45"/>
      <c r="K145" s="71"/>
    </row>
    <row r="146" spans="1:11" ht="25.5" x14ac:dyDescent="0.25">
      <c r="A146" s="38" t="s">
        <v>3384</v>
      </c>
      <c r="B146" s="39" t="str">
        <f>IF($A146="","",IFERROR(INDEX(Références!$C$2:$C$201,MATCH($A146,Références!$A$2:$A$201,0)),""))</f>
        <v>Polonsky &amp; Keer (2000)</v>
      </c>
      <c r="C146" s="39" t="str">
        <f>IF($A146="","",IFERROR(INDEX(Références!$D$2:$D$201,MATCH($A146,Références!$A$2:$A$201,0)),""))</f>
        <v>A fast and accurate method for numerical analysis of elastic layered contacts</v>
      </c>
      <c r="D146" s="39" t="str">
        <f>IF($A146="","",IFERROR(INDEX(Références!$J$2:$J$201,MATCH($A146,Références!$A$2:$A$201,0)),""))</f>
        <v>À lire</v>
      </c>
      <c r="E146" s="39">
        <f>IF($A146="","",IFERROR(INDEX(Références!$I$2:$I$201,MATCH($A146,Références!$A$2:$A$201,0)),""))</f>
        <v>5</v>
      </c>
      <c r="F146" s="45"/>
      <c r="G146" s="45"/>
      <c r="H146" s="45"/>
      <c r="I146" s="45"/>
      <c r="J146" s="45"/>
      <c r="K146" s="71"/>
    </row>
    <row r="147" spans="1:11" x14ac:dyDescent="0.25">
      <c r="A147" s="38" t="s">
        <v>3396</v>
      </c>
      <c r="B147" s="39" t="str">
        <f>IF($A147="","",IFERROR(INDEX(Références!$C$2:$C$201,MATCH($A147,Références!$A$2:$A$201,0)),""))</f>
        <v>Westergaard (1939)</v>
      </c>
      <c r="C147" s="39" t="str">
        <f>IF($A147="","",IFERROR(INDEX(Références!$D$2:$D$201,MATCH($A147,Références!$A$2:$A$201,0)),""))</f>
        <v>Bearing pressures and cracks</v>
      </c>
      <c r="D147" s="39" t="str">
        <f>IF($A147="","",IFERROR(INDEX(Références!$J$2:$J$201,MATCH($A147,Références!$A$2:$A$201,0)),""))</f>
        <v>À lire</v>
      </c>
      <c r="E147" s="39">
        <f>IF($A147="","",IFERROR(INDEX(Références!$I$2:$I$201,MATCH($A147,Références!$A$2:$A$201,0)),""))</f>
        <v>5</v>
      </c>
      <c r="F147" s="45"/>
      <c r="G147" s="45"/>
      <c r="H147" s="45"/>
      <c r="I147" s="45"/>
      <c r="J147" s="45"/>
      <c r="K147" s="71"/>
    </row>
    <row r="148" spans="1:11" x14ac:dyDescent="0.25">
      <c r="A148" s="38" t="s">
        <v>3408</v>
      </c>
      <c r="B148" s="39" t="str">
        <f>IF($A148="","",IFERROR(INDEX(Références!$C$2:$C$201,MATCH($A148,Références!$A$2:$A$201,0)),""))</f>
        <v>Johnson et al. (1985)</v>
      </c>
      <c r="C148" s="39" t="str">
        <f>IF($A148="","",IFERROR(INDEX(Références!$D$2:$D$201,MATCH($A148,Références!$A$2:$A$201,0)),""))</f>
        <v>The contact of elastic regular wavy surfaces</v>
      </c>
      <c r="D148" s="39" t="str">
        <f>IF($A148="","",IFERROR(INDEX(Références!$J$2:$J$201,MATCH($A148,Références!$A$2:$A$201,0)),""))</f>
        <v>À lire</v>
      </c>
      <c r="E148" s="39">
        <f>IF($A148="","",IFERROR(INDEX(Références!$I$2:$I$201,MATCH($A148,Références!$A$2:$A$201,0)),""))</f>
        <v>5</v>
      </c>
      <c r="F148" s="45"/>
      <c r="G148" s="45"/>
      <c r="H148" s="45"/>
      <c r="I148" s="45"/>
      <c r="J148" s="45"/>
      <c r="K148" s="71"/>
    </row>
    <row r="149" spans="1:11" ht="25.5" x14ac:dyDescent="0.25">
      <c r="A149" s="38" t="s">
        <v>3418</v>
      </c>
      <c r="B149" s="39" t="str">
        <f>IF($A149="","",IFERROR(INDEX(Références!$C$2:$C$201,MATCH($A149,Références!$A$2:$A$201,0)),""))</f>
        <v>Greenwood &amp; Williamson (1966)</v>
      </c>
      <c r="C149" s="39" t="str">
        <f>IF($A149="","",IFERROR(INDEX(Références!$D$2:$D$201,MATCH($A149,Références!$A$2:$A$201,0)),""))</f>
        <v>Contact of nominally flat surfaces</v>
      </c>
      <c r="D149" s="39" t="str">
        <f>IF($A149="","",IFERROR(INDEX(Références!$J$2:$J$201,MATCH($A149,Références!$A$2:$A$201,0)),""))</f>
        <v>À lire</v>
      </c>
      <c r="E149" s="39">
        <f>IF($A149="","",IFERROR(INDEX(Références!$I$2:$I$201,MATCH($A149,Références!$A$2:$A$201,0)),""))</f>
        <v>5</v>
      </c>
      <c r="F149" s="45"/>
      <c r="G149" s="45"/>
      <c r="H149" s="45"/>
      <c r="I149" s="45"/>
      <c r="J149" s="45"/>
      <c r="K149" s="71"/>
    </row>
    <row r="150" spans="1:11" x14ac:dyDescent="0.25">
      <c r="A150" s="38" t="s">
        <v>3433</v>
      </c>
      <c r="B150" s="39" t="str">
        <f>IF($A150="","",IFERROR(INDEX(Références!$C$2:$C$201,MATCH($A150,Références!$A$2:$A$201,0)),""))</f>
        <v>Persson (2001)</v>
      </c>
      <c r="C150" s="39" t="str">
        <f>IF($A150="","",IFERROR(INDEX(Références!$D$2:$D$201,MATCH($A150,Références!$A$2:$A$201,0)),""))</f>
        <v>Theory of rubber friction and contact mechanics</v>
      </c>
      <c r="D150" s="39" t="str">
        <f>IF($A150="","",IFERROR(INDEX(Références!$J$2:$J$201,MATCH($A150,Références!$A$2:$A$201,0)),""))</f>
        <v>À lire</v>
      </c>
      <c r="E150" s="39">
        <f>IF($A150="","",IFERROR(INDEX(Références!$I$2:$I$201,MATCH($A150,Références!$A$2:$A$201,0)),""))</f>
        <v>5</v>
      </c>
      <c r="F150" s="45"/>
      <c r="G150" s="45"/>
      <c r="H150" s="45"/>
      <c r="I150" s="45"/>
      <c r="J150" s="45"/>
      <c r="K150" s="71"/>
    </row>
    <row r="151" spans="1:11" x14ac:dyDescent="0.25">
      <c r="A151" s="38" t="s">
        <v>3446</v>
      </c>
      <c r="B151" s="39" t="str">
        <f>IF($A151="","",IFERROR(INDEX(Références!$C$2:$C$201,MATCH($A151,Références!$A$2:$A$201,0)),""))</f>
        <v>Persson (2006)</v>
      </c>
      <c r="C151" s="39" t="str">
        <f>IF($A151="","",IFERROR(INDEX(Références!$D$2:$D$201,MATCH($A151,Références!$A$2:$A$201,0)),""))</f>
        <v>Contact mechanics for randomly rough surfaces</v>
      </c>
      <c r="D151" s="39" t="str">
        <f>IF($A151="","",IFERROR(INDEX(Références!$J$2:$J$201,MATCH($A151,Références!$A$2:$A$201,0)),""))</f>
        <v>À lire</v>
      </c>
      <c r="E151" s="39">
        <f>IF($A151="","",IFERROR(INDEX(Références!$I$2:$I$201,MATCH($A151,Références!$A$2:$A$201,0)),""))</f>
        <v>5</v>
      </c>
      <c r="F151" s="45"/>
      <c r="G151" s="45"/>
      <c r="H151" s="45"/>
      <c r="I151" s="45"/>
      <c r="J151" s="45"/>
      <c r="K151" s="71"/>
    </row>
    <row r="152" spans="1:11" ht="38.25" x14ac:dyDescent="0.25">
      <c r="A152" s="38" t="s">
        <v>3459</v>
      </c>
      <c r="B152" s="39" t="str">
        <f>IF($A152="","",IFERROR(INDEX(Références!$C$2:$C$201,MATCH($A152,Références!$A$2:$A$201,0)),""))</f>
        <v>Persson et al. (2005)</v>
      </c>
      <c r="C152" s="39" t="str">
        <f>IF($A152="","",IFERROR(INDEX(Références!$D$2:$D$201,MATCH($A152,Références!$A$2:$A$201,0)),""))</f>
        <v>On the nature of surface roughness with application to contact mechanics, sealing, rubber friction and adhesion</v>
      </c>
      <c r="D152" s="39" t="str">
        <f>IF($A152="","",IFERROR(INDEX(Références!$J$2:$J$201,MATCH($A152,Références!$A$2:$A$201,0)),""))</f>
        <v>À lire</v>
      </c>
      <c r="E152" s="39">
        <f>IF($A152="","",IFERROR(INDEX(Références!$I$2:$I$201,MATCH($A152,Références!$A$2:$A$201,0)),""))</f>
        <v>6</v>
      </c>
      <c r="F152" s="45"/>
      <c r="G152" s="45"/>
      <c r="H152" s="45"/>
      <c r="I152" s="45"/>
      <c r="J152" s="45"/>
      <c r="K152" s="71"/>
    </row>
    <row r="153" spans="1:11" ht="25.5" x14ac:dyDescent="0.25">
      <c r="A153" s="38" t="s">
        <v>3471</v>
      </c>
      <c r="B153" s="39" t="str">
        <f>IF($A153="","",IFERROR(INDEX(Références!$C$2:$C$201,MATCH($A153,Références!$A$2:$A$201,0)),""))</f>
        <v>Jacobs et al. (2017)</v>
      </c>
      <c r="C153" s="39" t="str">
        <f>IF($A153="","",IFERROR(INDEX(Références!$D$2:$D$201,MATCH($A153,Références!$A$2:$A$201,0)),""))</f>
        <v>Quantitative characterization of surface topography using spectral analysis</v>
      </c>
      <c r="D153" s="39" t="str">
        <f>IF($A153="","",IFERROR(INDEX(Références!$J$2:$J$201,MATCH($A153,Références!$A$2:$A$201,0)),""))</f>
        <v>À lire</v>
      </c>
      <c r="E153" s="39">
        <f>IF($A153="","",IFERROR(INDEX(Références!$I$2:$I$201,MATCH($A153,Références!$A$2:$A$201,0)),""))</f>
        <v>6</v>
      </c>
      <c r="F153" s="45"/>
      <c r="G153" s="45"/>
      <c r="H153" s="45"/>
      <c r="I153" s="45"/>
      <c r="J153" s="45"/>
      <c r="K153" s="71"/>
    </row>
    <row r="154" spans="1:11" ht="25.5" x14ac:dyDescent="0.25">
      <c r="A154" s="38" t="s">
        <v>3484</v>
      </c>
      <c r="B154" s="39" t="str">
        <f>IF($A154="","",IFERROR(INDEX(Références!$C$2:$C$201,MATCH($A154,Références!$A$2:$A$201,0)),""))</f>
        <v>Hu &amp; Tonder (1992)</v>
      </c>
      <c r="C154" s="39" t="str">
        <f>IF($A154="","",IFERROR(INDEX(Références!$D$2:$D$201,MATCH($A154,Références!$A$2:$A$201,0)),""))</f>
        <v>Simulation of 3-D random rough surface by 2-D digital filter and Fourier analysis</v>
      </c>
      <c r="D154" s="39" t="str">
        <f>IF($A154="","",IFERROR(INDEX(Références!$J$2:$J$201,MATCH($A154,Références!$A$2:$A$201,0)),""))</f>
        <v>À lire</v>
      </c>
      <c r="E154" s="39">
        <f>IF($A154="","",IFERROR(INDEX(Références!$I$2:$I$201,MATCH($A154,Références!$A$2:$A$201,0)),""))</f>
        <v>6</v>
      </c>
      <c r="F154" s="45"/>
      <c r="G154" s="45"/>
      <c r="H154" s="45"/>
      <c r="I154" s="45"/>
      <c r="J154" s="45"/>
      <c r="K154" s="71"/>
    </row>
    <row r="155" spans="1:11" ht="25.5" x14ac:dyDescent="0.25">
      <c r="A155" s="38" t="s">
        <v>3493</v>
      </c>
      <c r="B155" s="39" t="str">
        <f>IF($A155="","",IFERROR(INDEX(Références!$C$2:$C$201,MATCH($A155,Références!$A$2:$A$201,0)),""))</f>
        <v>Klüppel &amp; Heinrich (2000)</v>
      </c>
      <c r="C155" s="39" t="str">
        <f>IF($A155="","",IFERROR(INDEX(Références!$D$2:$D$201,MATCH($A155,Références!$A$2:$A$201,0)),""))</f>
        <v>Rubber friction on self-affine road tracks</v>
      </c>
      <c r="D155" s="39" t="str">
        <f>IF($A155="","",IFERROR(INDEX(Références!$J$2:$J$201,MATCH($A155,Références!$A$2:$A$201,0)),""))</f>
        <v>À lire</v>
      </c>
      <c r="E155" s="39">
        <f>IF($A155="","",IFERROR(INDEX(Références!$I$2:$I$201,MATCH($A155,Références!$A$2:$A$201,0)),""))</f>
        <v>6</v>
      </c>
      <c r="F155" s="45"/>
      <c r="G155" s="45"/>
      <c r="H155" s="45"/>
      <c r="I155" s="45"/>
      <c r="J155" s="45"/>
      <c r="K155" s="71"/>
    </row>
    <row r="156" spans="1:11" x14ac:dyDescent="0.25">
      <c r="A156" s="38" t="s">
        <v>3503</v>
      </c>
      <c r="B156" s="39" t="str">
        <f>IF($A156="","",IFERROR(INDEX(Références!$C$2:$C$201,MATCH($A156,Références!$A$2:$A$201,0)),""))</f>
        <v>Yastrebov (2013)</v>
      </c>
      <c r="C156" s="39" t="str">
        <f>IF($A156="","",IFERROR(INDEX(Références!$D$2:$D$201,MATCH($A156,Références!$A$2:$A$201,0)),""))</f>
        <v>Numerical methods in contact mechanics</v>
      </c>
      <c r="D156" s="39" t="str">
        <f>IF($A156="","",IFERROR(INDEX(Références!$J$2:$J$201,MATCH($A156,Références!$A$2:$A$201,0)),""))</f>
        <v>À lire</v>
      </c>
      <c r="E156" s="39">
        <f>IF($A156="","",IFERROR(INDEX(Références!$I$2:$I$201,MATCH($A156,Références!$A$2:$A$201,0)),""))</f>
        <v>5</v>
      </c>
      <c r="F156" s="45"/>
      <c r="G156" s="45"/>
      <c r="H156" s="45"/>
      <c r="I156" s="45"/>
      <c r="J156" s="45"/>
      <c r="K156" s="71"/>
    </row>
    <row r="157" spans="1:11" x14ac:dyDescent="0.25">
      <c r="A157" s="38" t="s">
        <v>3516</v>
      </c>
      <c r="B157" s="39" t="str">
        <f>IF($A157="","",IFERROR(INDEX(Références!$C$2:$C$201,MATCH($A157,Références!$A$2:$A$201,0)),""))</f>
        <v>Barber (2018)</v>
      </c>
      <c r="C157" s="39" t="str">
        <f>IF($A157="","",IFERROR(INDEX(Références!$D$2:$D$201,MATCH($A157,Références!$A$2:$A$201,0)),""))</f>
        <v>Contact mechanics</v>
      </c>
      <c r="D157" s="39" t="str">
        <f>IF($A157="","",IFERROR(INDEX(Références!$J$2:$J$201,MATCH($A157,Références!$A$2:$A$201,0)),""))</f>
        <v>À lire</v>
      </c>
      <c r="E157" s="39">
        <f>IF($A157="","",IFERROR(INDEX(Références!$I$2:$I$201,MATCH($A157,Références!$A$2:$A$201,0)),""))</f>
        <v>5</v>
      </c>
      <c r="F157" s="45"/>
      <c r="G157" s="45"/>
      <c r="H157" s="45"/>
      <c r="I157" s="45"/>
      <c r="J157" s="45"/>
      <c r="K157" s="71"/>
    </row>
    <row r="158" spans="1:11" x14ac:dyDescent="0.25">
      <c r="A158" s="38" t="s">
        <v>3522</v>
      </c>
      <c r="B158" s="39" t="str">
        <f>IF($A158="","",IFERROR(INDEX(Références!$C$2:$C$201,MATCH($A158,Références!$A$2:$A$201,0)),""))</f>
        <v>Wriggers (2006)</v>
      </c>
      <c r="C158" s="39" t="str">
        <f>IF($A158="","",IFERROR(INDEX(Références!$D$2:$D$201,MATCH($A158,Références!$A$2:$A$201,0)),""))</f>
        <v>Computational contact mechanics (2nd edition)</v>
      </c>
      <c r="D158" s="39" t="str">
        <f>IF($A158="","",IFERROR(INDEX(Références!$J$2:$J$201,MATCH($A158,Références!$A$2:$A$201,0)),""))</f>
        <v>À lire</v>
      </c>
      <c r="E158" s="39">
        <f>IF($A158="","",IFERROR(INDEX(Références!$I$2:$I$201,MATCH($A158,Références!$A$2:$A$201,0)),""))</f>
        <v>4</v>
      </c>
      <c r="F158" s="45"/>
      <c r="G158" s="45"/>
      <c r="H158" s="45"/>
      <c r="I158" s="45"/>
      <c r="J158" s="45"/>
      <c r="K158" s="71"/>
    </row>
    <row r="159" spans="1:11" x14ac:dyDescent="0.25">
      <c r="A159" s="38" t="s">
        <v>3530</v>
      </c>
      <c r="B159" s="39" t="str">
        <f>IF($A159="","",IFERROR(INDEX(Références!$C$2:$C$201,MATCH($A159,Références!$A$2:$A$201,0)),""))</f>
        <v>Müser et al. (2017)</v>
      </c>
      <c r="C159" s="39" t="str">
        <f>IF($A159="","",IFERROR(INDEX(Références!$D$2:$D$201,MATCH($A159,Références!$A$2:$A$201,0)),""))</f>
        <v>Meeting the contact-mechanics challenge</v>
      </c>
      <c r="D159" s="39" t="str">
        <f>IF($A159="","",IFERROR(INDEX(Références!$J$2:$J$201,MATCH($A159,Références!$A$2:$A$201,0)),""))</f>
        <v>À lire</v>
      </c>
      <c r="E159" s="39">
        <f>IF($A159="","",IFERROR(INDEX(Références!$I$2:$I$201,MATCH($A159,Références!$A$2:$A$201,0)),""))</f>
        <v>5</v>
      </c>
      <c r="F159" s="45"/>
      <c r="G159" s="45"/>
      <c r="H159" s="45"/>
      <c r="I159" s="45"/>
      <c r="J159" s="45"/>
      <c r="K159" s="71"/>
    </row>
    <row r="160" spans="1:11" ht="25.5" x14ac:dyDescent="0.25">
      <c r="A160" s="38" t="s">
        <v>3543</v>
      </c>
      <c r="B160" s="39" t="str">
        <f>IF($A160="","",IFERROR(INDEX(Références!$C$2:$C$201,MATCH($A160,Références!$A$2:$A$201,0)),""))</f>
        <v>Yastrebov et al. (2014)</v>
      </c>
      <c r="C160" s="39" t="str">
        <f>IF($A160="","",IFERROR(INDEX(Références!$D$2:$D$201,MATCH($A160,Références!$A$2:$A$201,0)),""))</f>
        <v>From infinitesimal to full contact between rough surfaces: evolution of the contact area</v>
      </c>
      <c r="D160" s="39" t="str">
        <f>IF($A160="","",IFERROR(INDEX(Références!$J$2:$J$201,MATCH($A160,Références!$A$2:$A$201,0)),""))</f>
        <v>À lire</v>
      </c>
      <c r="E160" s="39">
        <f>IF($A160="","",IFERROR(INDEX(Références!$I$2:$I$201,MATCH($A160,Références!$A$2:$A$201,0)),""))</f>
        <v>5</v>
      </c>
      <c r="F160" s="45"/>
      <c r="G160" s="45"/>
      <c r="H160" s="45"/>
      <c r="I160" s="45"/>
      <c r="J160" s="45"/>
      <c r="K160" s="71"/>
    </row>
    <row r="161" spans="1:11" ht="38.25" x14ac:dyDescent="0.25">
      <c r="A161" s="38" t="s">
        <v>3555</v>
      </c>
      <c r="B161" s="39" t="str">
        <f>IF($A161="","",IFERROR(INDEX(Références!$C$2:$C$201,MATCH($A161,Références!$A$2:$A$201,0)),""))</f>
        <v>Dapp et al. (2014)</v>
      </c>
      <c r="C161" s="39" t="str">
        <f>IF($A161="","",IFERROR(INDEX(Références!$D$2:$D$201,MATCH($A161,Références!$A$2:$A$201,0)),""))</f>
        <v>Systematic analysis of Persson's contact mechanics theory of randomly rough elastic surfaces</v>
      </c>
      <c r="D161" s="39" t="str">
        <f>IF($A161="","",IFERROR(INDEX(Références!$J$2:$J$201,MATCH($A161,Références!$A$2:$A$201,0)),""))</f>
        <v>À lire</v>
      </c>
      <c r="E161" s="39">
        <f>IF($A161="","",IFERROR(INDEX(Références!$I$2:$I$201,MATCH($A161,Références!$A$2:$A$201,0)),""))</f>
        <v>5</v>
      </c>
      <c r="F161" s="45"/>
      <c r="G161" s="45"/>
      <c r="H161" s="45"/>
      <c r="I161" s="45"/>
      <c r="J161" s="45"/>
      <c r="K161" s="71"/>
    </row>
    <row r="162" spans="1:11" ht="25.5" x14ac:dyDescent="0.25">
      <c r="A162" s="38" t="s">
        <v>3564</v>
      </c>
      <c r="B162" s="39" t="str">
        <f>IF($A162="","",IFERROR(INDEX(Références!$C$2:$C$201,MATCH($A162,Références!$A$2:$A$201,0)),""))</f>
        <v>Bemporad &amp; Paggi (2015)</v>
      </c>
      <c r="C162" s="39" t="str">
        <f>IF($A162="","",IFERROR(INDEX(Références!$D$2:$D$201,MATCH($A162,Références!$A$2:$A$201,0)),""))</f>
        <v>Optimization algorithms for the solution of the frictionless normal contact between rough surfaces</v>
      </c>
      <c r="D162" s="39" t="str">
        <f>IF($A162="","",IFERROR(INDEX(Références!$J$2:$J$201,MATCH($A162,Références!$A$2:$A$201,0)),""))</f>
        <v>À lire</v>
      </c>
      <c r="E162" s="39">
        <f>IF($A162="","",IFERROR(INDEX(Références!$I$2:$I$201,MATCH($A162,Références!$A$2:$A$201,0)),""))</f>
        <v>5</v>
      </c>
      <c r="F162" s="45"/>
      <c r="G162" s="45"/>
      <c r="H162" s="45"/>
      <c r="I162" s="45"/>
      <c r="J162" s="45"/>
      <c r="K162" s="71"/>
    </row>
    <row r="163" spans="1:11" ht="25.5" x14ac:dyDescent="0.25">
      <c r="A163" s="38" t="s">
        <v>3576</v>
      </c>
      <c r="B163" s="39" t="str">
        <f>IF($A163="","",IFERROR(INDEX(Références!$C$2:$C$201,MATCH($A163,Références!$A$2:$A$201,0)),""))</f>
        <v>Pohrt &amp; Li (2014)</v>
      </c>
      <c r="C163" s="39" t="str">
        <f>IF($A163="","",IFERROR(INDEX(Références!$D$2:$D$201,MATCH($A163,Références!$A$2:$A$201,0)),""))</f>
        <v>Complete boundary element formulation for normal and tangential contact problems</v>
      </c>
      <c r="D163" s="39" t="str">
        <f>IF($A163="","",IFERROR(INDEX(Références!$J$2:$J$201,MATCH($A163,Références!$A$2:$A$201,0)),""))</f>
        <v>À lire</v>
      </c>
      <c r="E163" s="39">
        <f>IF($A163="","",IFERROR(INDEX(Références!$I$2:$I$201,MATCH($A163,Références!$A$2:$A$201,0)),""))</f>
        <v>5</v>
      </c>
      <c r="F163" s="45"/>
      <c r="G163" s="45"/>
      <c r="H163" s="45"/>
      <c r="I163" s="45"/>
      <c r="J163" s="45"/>
      <c r="K163" s="71"/>
    </row>
    <row r="164" spans="1:11" ht="25.5" x14ac:dyDescent="0.25">
      <c r="A164" s="38" t="s">
        <v>3587</v>
      </c>
      <c r="B164" s="39" t="str">
        <f>IF($A164="","",IFERROR(INDEX(Références!$C$2:$C$201,MATCH($A164,Références!$A$2:$A$201,0)),""))</f>
        <v>Cesbron (2007)</v>
      </c>
      <c r="C164" s="39" t="str">
        <f>IF($A164="","",IFERROR(INDEX(Références!$D$2:$D$201,MATCH($A164,Références!$A$2:$A$201,0)),""))</f>
        <v>Influence de la texture de chaussée sur le bruit de contact pneumatique/chaussée</v>
      </c>
      <c r="D164" s="39" t="str">
        <f>IF($A164="","",IFERROR(INDEX(Références!$J$2:$J$201,MATCH($A164,Références!$A$2:$A$201,0)),""))</f>
        <v>À lire</v>
      </c>
      <c r="E164" s="39">
        <f>IF($A164="","",IFERROR(INDEX(Références!$I$2:$I$201,MATCH($A164,Références!$A$2:$A$201,0)),""))</f>
        <v>6</v>
      </c>
      <c r="F164" s="45"/>
      <c r="G164" s="45"/>
      <c r="H164" s="45"/>
      <c r="I164" s="45"/>
      <c r="J164" s="45"/>
      <c r="K164" s="71"/>
    </row>
    <row r="165" spans="1:11" ht="25.5" x14ac:dyDescent="0.25">
      <c r="A165" s="38" t="s">
        <v>3597</v>
      </c>
      <c r="B165" s="39" t="str">
        <f>IF($A165="","",IFERROR(INDEX(Références!$C$2:$C$201,MATCH($A165,Références!$A$2:$A$201,0)),""))</f>
        <v>Sandberg &amp; Ejsmont (2002)</v>
      </c>
      <c r="C165" s="39" t="str">
        <f>IF($A165="","",IFERROR(INDEX(Références!$D$2:$D$201,MATCH($A165,Références!$A$2:$A$201,0)),""))</f>
        <v>Tyre/road noise reference book</v>
      </c>
      <c r="D165" s="39" t="str">
        <f>IF($A165="","",IFERROR(INDEX(Références!$J$2:$J$201,MATCH($A165,Références!$A$2:$A$201,0)),""))</f>
        <v>À lire</v>
      </c>
      <c r="E165" s="39">
        <f>IF($A165="","",IFERROR(INDEX(Références!$I$2:$I$201,MATCH($A165,Références!$A$2:$A$201,0)),""))</f>
        <v>6</v>
      </c>
      <c r="F165" s="45"/>
      <c r="G165" s="45"/>
      <c r="H165" s="45"/>
      <c r="I165" s="45"/>
      <c r="J165" s="45"/>
      <c r="K165" s="71"/>
    </row>
    <row r="166" spans="1:11" ht="51" x14ac:dyDescent="0.25">
      <c r="A166" s="38" t="s">
        <v>3605</v>
      </c>
      <c r="B166" s="39" t="str">
        <f>IF($A166="","",IFERROR(INDEX(Références!$C$2:$C$201,MATCH($A166,Références!$A$2:$A$201,0)),""))</f>
        <v>ISO (2019)</v>
      </c>
      <c r="C166" s="39" t="str">
        <f>IF($A166="","",IFERROR(INDEX(Références!$D$2:$D$201,MATCH($A166,Références!$A$2:$A$201,0)),""))</f>
        <v>ISO 13473-1 — Caractérisation de la texture d'un revêtement de chaussée à partir de relevés de profils — Partie 1 : détermination de la profondeur moyenne de profil (MPD)</v>
      </c>
      <c r="D166" s="39" t="str">
        <f>IF($A166="","",IFERROR(INDEX(Références!$J$2:$J$201,MATCH($A166,Références!$A$2:$A$201,0)),""))</f>
        <v>À lire</v>
      </c>
      <c r="E166" s="39">
        <f>IF($A166="","",IFERROR(INDEX(Références!$I$2:$I$201,MATCH($A166,Références!$A$2:$A$201,0)),""))</f>
        <v>6</v>
      </c>
      <c r="F166" s="45"/>
      <c r="G166" s="45"/>
      <c r="H166" s="45"/>
      <c r="I166" s="45"/>
      <c r="J166" s="45"/>
      <c r="K166" s="71"/>
    </row>
    <row r="167" spans="1:11" ht="38.25" x14ac:dyDescent="0.25">
      <c r="A167" s="38" t="s">
        <v>3614</v>
      </c>
      <c r="B167" s="39" t="str">
        <f>IF($A167="","",IFERROR(INDEX(Références!$C$2:$C$201,MATCH($A167,Références!$A$2:$A$201,0)),""))</f>
        <v>ISO (2008)</v>
      </c>
      <c r="C167" s="39" t="str">
        <f>IF($A167="","",IFERROR(INDEX(Références!$D$2:$D$201,MATCH($A167,Références!$A$2:$A$201,0)),""))</f>
        <v>ISO/TS 13473-4 — Caractérisation de la texture d'un revêtement de chaussée à partir de relevés de profils — Partie 4 : analyse spectrale des profils</v>
      </c>
      <c r="D167" s="39" t="str">
        <f>IF($A167="","",IFERROR(INDEX(Références!$J$2:$J$201,MATCH($A167,Références!$A$2:$A$201,0)),""))</f>
        <v>À lire</v>
      </c>
      <c r="E167" s="39">
        <f>IF($A167="","",IFERROR(INDEX(Références!$I$2:$I$201,MATCH($A167,Références!$A$2:$A$201,0)),""))</f>
        <v>6</v>
      </c>
      <c r="F167" s="45"/>
      <c r="G167" s="45"/>
      <c r="H167" s="45"/>
      <c r="I167" s="45"/>
      <c r="J167" s="45"/>
      <c r="K167" s="71"/>
    </row>
    <row r="168" spans="1:11" ht="25.5" x14ac:dyDescent="0.25">
      <c r="A168" s="38" t="s">
        <v>3621</v>
      </c>
      <c r="B168" s="39" t="str">
        <f>IF($A168="","",IFERROR(INDEX(Références!$C$2:$C$201,MATCH($A168,Références!$A$2:$A$201,0)),""))</f>
        <v>ASTM International (2015)</v>
      </c>
      <c r="C168" s="39" t="str">
        <f>IF($A168="","",IFERROR(INDEX(Références!$D$2:$D$201,MATCH($A168,Références!$A$2:$A$201,0)),""))</f>
        <v>ASTM E1845 — Standard practice for calculating pavement macrotexture mean profile depth</v>
      </c>
      <c r="D168" s="39" t="str">
        <f>IF($A168="","",IFERROR(INDEX(Références!$J$2:$J$201,MATCH($A168,Références!$A$2:$A$201,0)),""))</f>
        <v>À lire</v>
      </c>
      <c r="E168" s="39">
        <f>IF($A168="","",IFERROR(INDEX(Références!$I$2:$I$201,MATCH($A168,Références!$A$2:$A$201,0)),""))</f>
        <v>6</v>
      </c>
      <c r="F168" s="45"/>
      <c r="G168" s="45"/>
      <c r="H168" s="45"/>
      <c r="I168" s="45"/>
      <c r="J168" s="45"/>
      <c r="K168" s="71"/>
    </row>
    <row r="169" spans="1:11" ht="38.25" x14ac:dyDescent="0.25">
      <c r="A169" s="38" t="s">
        <v>3630</v>
      </c>
      <c r="B169" s="39" t="str">
        <f>IF($A169="","",IFERROR(INDEX(Références!$C$2:$C$201,MATCH($A169,Références!$A$2:$A$201,0)),""))</f>
        <v>ASTM International (2015)</v>
      </c>
      <c r="C169" s="39" t="str">
        <f>IF($A169="","",IFERROR(INDEX(Références!$D$2:$D$201,MATCH($A169,Références!$A$2:$A$201,0)),""))</f>
        <v>ASTM E965 — Standard test method for measuring pavement macrotexture depth using a volumetric technique</v>
      </c>
      <c r="D169" s="39" t="str">
        <f>IF($A169="","",IFERROR(INDEX(Références!$J$2:$J$201,MATCH($A169,Références!$A$2:$A$201,0)),""))</f>
        <v>À lire</v>
      </c>
      <c r="E169" s="39">
        <f>IF($A169="","",IFERROR(INDEX(Références!$I$2:$I$201,MATCH($A169,Références!$A$2:$A$201,0)),""))</f>
        <v>6</v>
      </c>
      <c r="F169" s="45"/>
      <c r="G169" s="45"/>
      <c r="H169" s="45"/>
      <c r="I169" s="45"/>
      <c r="J169" s="45"/>
      <c r="K169" s="71"/>
    </row>
    <row r="170" spans="1:11" ht="38.25" x14ac:dyDescent="0.25">
      <c r="A170" s="38" t="s">
        <v>3636</v>
      </c>
      <c r="B170" s="39" t="str">
        <f>IF($A170="","",IFERROR(INDEX(Références!$C$2:$C$201,MATCH($A170,Références!$A$2:$A$201,0)),""))</f>
        <v>FAA (1997)</v>
      </c>
      <c r="C170" s="39" t="str">
        <f>IF($A170="","",IFERROR(INDEX(Références!$D$2:$D$201,MATCH($A170,Références!$A$2:$A$201,0)),""))</f>
        <v>Measurement, construction, and maintenance of skid-resistant airport pavement surfaces (AC 150/5320-12C)</v>
      </c>
      <c r="D170" s="39" t="str">
        <f>IF($A170="","",IFERROR(INDEX(Références!$J$2:$J$201,MATCH($A170,Références!$A$2:$A$201,0)),""))</f>
        <v>À lire</v>
      </c>
      <c r="E170" s="39">
        <f>IF($A170="","",IFERROR(INDEX(Références!$I$2:$I$201,MATCH($A170,Références!$A$2:$A$201,0)),""))</f>
        <v>1</v>
      </c>
      <c r="F170" s="45"/>
      <c r="G170" s="45"/>
      <c r="H170" s="45"/>
      <c r="I170" s="45"/>
      <c r="J170" s="45"/>
      <c r="K170" s="71"/>
    </row>
    <row r="171" spans="1:11" x14ac:dyDescent="0.25">
      <c r="A171" s="38" t="s">
        <v>3647</v>
      </c>
      <c r="B171" s="39" t="str">
        <f>IF($A171="","",IFERROR(INDEX(Références!$C$2:$C$201,MATCH($A171,Références!$A$2:$A$201,0)),""))</f>
        <v>Fabre et al. (2009)</v>
      </c>
      <c r="C171" s="39" t="str">
        <f>IF($A171="","",IFERROR(INDEX(Références!$D$2:$D$201,MATCH($A171,Références!$A$2:$A$201,0)),""))</f>
        <v>Full-scale aircraft tire pressure tests</v>
      </c>
      <c r="D171" s="39" t="str">
        <f>IF($A171="","",IFERROR(INDEX(Références!$J$2:$J$201,MATCH($A171,Références!$A$2:$A$201,0)),""))</f>
        <v>À lire</v>
      </c>
      <c r="E171" s="39">
        <f>IF($A171="","",IFERROR(INDEX(Références!$I$2:$I$201,MATCH($A171,Références!$A$2:$A$201,0)),""))</f>
        <v>1</v>
      </c>
      <c r="F171" s="45"/>
      <c r="G171" s="45"/>
      <c r="H171" s="45"/>
      <c r="I171" s="45"/>
      <c r="J171" s="45"/>
      <c r="K171" s="71"/>
    </row>
    <row r="172" spans="1:11" ht="25.5" x14ac:dyDescent="0.25">
      <c r="A172" s="38" t="s">
        <v>3659</v>
      </c>
      <c r="B172" s="39" t="str">
        <f>IF($A172="","",IFERROR(INDEX(Références!$C$2:$C$201,MATCH($A172,Références!$A$2:$A$201,0)),""))</f>
        <v>Roussel et al. (2022)</v>
      </c>
      <c r="C172" s="39" t="str">
        <f>IF($A172="","",IFERROR(INDEX(Références!$D$2:$D$201,MATCH($A172,Références!$A$2:$A$201,0)),""))</f>
        <v>Étude de la fatigue des chaussées aéronautiques souples</v>
      </c>
      <c r="D172" s="39" t="str">
        <f>IF($A172="","",IFERROR(INDEX(Références!$J$2:$J$201,MATCH($A172,Références!$A$2:$A$201,0)),""))</f>
        <v>À lire</v>
      </c>
      <c r="E172" s="39">
        <f>IF($A172="","",IFERROR(INDEX(Références!$I$2:$I$201,MATCH($A172,Références!$A$2:$A$201,0)),""))</f>
        <v>6</v>
      </c>
      <c r="F172" s="45"/>
      <c r="G172" s="45"/>
      <c r="H172" s="45"/>
      <c r="I172" s="45"/>
      <c r="J172" s="45"/>
      <c r="K172" s="71"/>
    </row>
    <row r="173" spans="1:11" ht="25.5" x14ac:dyDescent="0.25">
      <c r="A173" s="38" t="s">
        <v>3668</v>
      </c>
      <c r="B173" s="39" t="str">
        <f>IF($A173="","",IFERROR(INDEX(Références!$C$2:$C$201,MATCH($A173,Références!$A$2:$A$201,0)),""))</f>
        <v>Taylor (2007)</v>
      </c>
      <c r="C173" s="39" t="str">
        <f>IF($A173="","",IFERROR(INDEX(Références!$D$2:$D$201,MATCH($A173,Références!$A$2:$A$201,0)),""))</f>
        <v>The theory of critical distances: a new perspective in fracture mechanics</v>
      </c>
      <c r="D173" s="39" t="str">
        <f>IF($A173="","",IFERROR(INDEX(Références!$J$2:$J$201,MATCH($A173,Références!$A$2:$A$201,0)),""))</f>
        <v>À lire</v>
      </c>
      <c r="E173" s="39">
        <f>IF($A173="","",IFERROR(INDEX(Références!$I$2:$I$201,MATCH($A173,Références!$A$2:$A$201,0)),""))</f>
        <v>6</v>
      </c>
      <c r="F173" s="45"/>
      <c r="G173" s="45"/>
      <c r="H173" s="45"/>
      <c r="I173" s="45"/>
      <c r="J173" s="45"/>
      <c r="K173" s="71"/>
    </row>
    <row r="174" spans="1:11" x14ac:dyDescent="0.25">
      <c r="A174" s="38" t="s">
        <v>3679</v>
      </c>
      <c r="B174" s="39" t="str">
        <f>IF($A174="","",IFERROR(INDEX(Références!$C$2:$C$201,MATCH($A174,Références!$A$2:$A$201,0)),""))</f>
        <v>Taylor (2008)</v>
      </c>
      <c r="C174" s="39" t="str">
        <f>IF($A174="","",IFERROR(INDEX(Références!$D$2:$D$201,MATCH($A174,Références!$A$2:$A$201,0)),""))</f>
        <v>The theory of critical distances</v>
      </c>
      <c r="D174" s="39" t="str">
        <f>IF($A174="","",IFERROR(INDEX(Références!$J$2:$J$201,MATCH($A174,Références!$A$2:$A$201,0)),""))</f>
        <v>À lire</v>
      </c>
      <c r="E174" s="39">
        <f>IF($A174="","",IFERROR(INDEX(Références!$I$2:$I$201,MATCH($A174,Références!$A$2:$A$201,0)),""))</f>
        <v>6</v>
      </c>
      <c r="F174" s="45"/>
      <c r="G174" s="45"/>
      <c r="H174" s="45"/>
      <c r="I174" s="45"/>
      <c r="J174" s="45"/>
      <c r="K174" s="71"/>
    </row>
    <row r="175" spans="1:11" ht="25.5" x14ac:dyDescent="0.25">
      <c r="A175" s="38" t="s">
        <v>3689</v>
      </c>
      <c r="B175" s="39" t="str">
        <f>IF($A175="","",IFERROR(INDEX(Références!$C$2:$C$201,MATCH($A175,Références!$A$2:$A$201,0)),""))</f>
        <v>Marsavina &amp; et al. (2023)</v>
      </c>
      <c r="C175" s="39" t="str">
        <f>IF($A175="","",IFERROR(INDEX(Références!$D$2:$D$201,MATCH($A175,Références!$A$2:$A$201,0)),""))</f>
        <v>The application of the Theory of Critical Distances to nonhomogeneous materials</v>
      </c>
      <c r="D175" s="39" t="str">
        <f>IF($A175="","",IFERROR(INDEX(Références!$J$2:$J$201,MATCH($A175,Références!$A$2:$A$201,0)),""))</f>
        <v>À lire</v>
      </c>
      <c r="E175" s="39">
        <f>IF($A175="","",IFERROR(INDEX(Références!$I$2:$I$201,MATCH($A175,Références!$A$2:$A$201,0)),""))</f>
        <v>6</v>
      </c>
      <c r="F175" s="45"/>
      <c r="G175" s="45"/>
      <c r="H175" s="45"/>
      <c r="I175" s="45"/>
      <c r="J175" s="45"/>
      <c r="K175" s="71"/>
    </row>
    <row r="176" spans="1:11" ht="25.5" x14ac:dyDescent="0.25">
      <c r="A176" s="38" t="s">
        <v>3700</v>
      </c>
      <c r="B176" s="39" t="str">
        <f>IF($A176="","",IFERROR(INDEX(Références!$C$2:$C$201,MATCH($A176,Références!$A$2:$A$201,0)),""))</f>
        <v>Pilkey &amp; Pilkey (2008)</v>
      </c>
      <c r="C176" s="39" t="str">
        <f>IF($A176="","",IFERROR(INDEX(Références!$D$2:$D$201,MATCH($A176,Références!$A$2:$A$201,0)),""))</f>
        <v>Peterson's stress concentration factors (3rd edition)</v>
      </c>
      <c r="D176" s="39" t="str">
        <f>IF($A176="","",IFERROR(INDEX(Références!$J$2:$J$201,MATCH($A176,Références!$A$2:$A$201,0)),""))</f>
        <v>À lire</v>
      </c>
      <c r="E176" s="39">
        <f>IF($A176="","",IFERROR(INDEX(Références!$I$2:$I$201,MATCH($A176,Références!$A$2:$A$201,0)),""))</f>
        <v>6</v>
      </c>
      <c r="F176" s="45"/>
      <c r="G176" s="45"/>
      <c r="H176" s="45"/>
      <c r="I176" s="45"/>
      <c r="J176" s="45"/>
      <c r="K176" s="71"/>
    </row>
    <row r="177" spans="1:11" ht="25.5" x14ac:dyDescent="0.25">
      <c r="A177" s="38" t="s">
        <v>3707</v>
      </c>
      <c r="B177" s="39" t="str">
        <f>IF($A177="","",IFERROR(INDEX(Références!$C$2:$C$201,MATCH($A177,Références!$A$2:$A$201,0)),""))</f>
        <v>Fuller &amp; Thompson (1907)</v>
      </c>
      <c r="C177" s="39" t="str">
        <f>IF($A177="","",IFERROR(INDEX(Références!$D$2:$D$201,MATCH($A177,Références!$A$2:$A$201,0)),""))</f>
        <v>The laws of proportioning concrete</v>
      </c>
      <c r="D177" s="39" t="str">
        <f>IF($A177="","",IFERROR(INDEX(Références!$J$2:$J$201,MATCH($A177,Références!$A$2:$A$201,0)),""))</f>
        <v>À lire</v>
      </c>
      <c r="E177" s="39">
        <f>IF($A177="","",IFERROR(INDEX(Références!$I$2:$I$201,MATCH($A177,Références!$A$2:$A$201,0)),""))</f>
        <v>6</v>
      </c>
      <c r="F177" s="45"/>
      <c r="G177" s="45"/>
      <c r="H177" s="45"/>
      <c r="I177" s="45"/>
      <c r="J177" s="45"/>
      <c r="K177" s="71"/>
    </row>
    <row r="178" spans="1:11" ht="25.5" x14ac:dyDescent="0.25">
      <c r="A178" s="38" t="s">
        <v>3720</v>
      </c>
      <c r="B178" s="39" t="str">
        <f>IF($A178="","",IFERROR(INDEX(Références!$C$2:$C$201,MATCH($A178,Références!$A$2:$A$201,0)),""))</f>
        <v>Kim et al. (2003)</v>
      </c>
      <c r="C178" s="39" t="str">
        <f>IF($A178="","",IFERROR(INDEX(Références!$D$2:$D$201,MATCH($A178,Références!$A$2:$A$201,0)),""))</f>
        <v>Fatigue and healing characterization of asphalt mixtures</v>
      </c>
      <c r="D178" s="39" t="str">
        <f>IF($A178="","",IFERROR(INDEX(Références!$J$2:$J$201,MATCH($A178,Références!$A$2:$A$201,0)),""))</f>
        <v>À lire</v>
      </c>
      <c r="E178" s="39">
        <f>IF($A178="","",IFERROR(INDEX(Références!$I$2:$I$201,MATCH($A178,Références!$A$2:$A$201,0)),""))</f>
        <v>3</v>
      </c>
      <c r="F178" s="45"/>
      <c r="G178" s="45"/>
      <c r="H178" s="45"/>
      <c r="I178" s="45"/>
      <c r="J178" s="45"/>
      <c r="K178" s="71"/>
    </row>
    <row r="179" spans="1:11" ht="25.5" x14ac:dyDescent="0.25">
      <c r="A179" s="38" t="s">
        <v>3731</v>
      </c>
      <c r="B179" s="39" t="str">
        <f>IF($A179="","",IFERROR(INDEX(Références!$C$2:$C$201,MATCH($A179,Références!$A$2:$A$201,0)),""))</f>
        <v>Aragão et al. (2011)</v>
      </c>
      <c r="C179" s="39" t="str">
        <f>IF($A179="","",IFERROR(INDEX(Références!$D$2:$D$201,MATCH($A179,Références!$A$2:$A$201,0)),""))</f>
        <v>Micromechanical model for heterogeneous asphalt concrete mixtures subjected to fracture failure</v>
      </c>
      <c r="D179" s="39" t="str">
        <f>IF($A179="","",IFERROR(INDEX(Références!$J$2:$J$201,MATCH($A179,Références!$A$2:$A$201,0)),""))</f>
        <v>À lire</v>
      </c>
      <c r="E179" s="39">
        <f>IF($A179="","",IFERROR(INDEX(Références!$I$2:$I$201,MATCH($A179,Références!$A$2:$A$201,0)),""))</f>
        <v>6</v>
      </c>
      <c r="F179" s="45"/>
      <c r="G179" s="45"/>
      <c r="H179" s="45"/>
      <c r="I179" s="45"/>
      <c r="J179" s="45"/>
      <c r="K179" s="71"/>
    </row>
    <row r="180" spans="1:11" ht="25.5" x14ac:dyDescent="0.25">
      <c r="A180" s="38" t="s">
        <v>3740</v>
      </c>
      <c r="B180" s="39" t="str">
        <f>IF($A180="","",IFERROR(INDEX(Références!$C$2:$C$201,MATCH($A180,Références!$A$2:$A$201,0)),""))</f>
        <v>Underwood &amp; Kim (2013)</v>
      </c>
      <c r="C180" s="39" t="str">
        <f>IF($A180="","",IFERROR(INDEX(Références!$D$2:$D$201,MATCH($A180,Références!$A$2:$A$201,0)),""))</f>
        <v>Microstructural investigation of asphalt concrete for performing multiscale experimental studies</v>
      </c>
      <c r="D180" s="39" t="str">
        <f>IF($A180="","",IFERROR(INDEX(Références!$J$2:$J$201,MATCH($A180,Références!$A$2:$A$201,0)),""))</f>
        <v>À lire</v>
      </c>
      <c r="E180" s="39">
        <f>IF($A180="","",IFERROR(INDEX(Références!$I$2:$I$201,MATCH($A180,Références!$A$2:$A$201,0)),""))</f>
        <v>3</v>
      </c>
      <c r="F180" s="45"/>
      <c r="G180" s="45"/>
      <c r="H180" s="45"/>
      <c r="I180" s="45"/>
      <c r="J180" s="45"/>
      <c r="K180" s="71"/>
    </row>
    <row r="181" spans="1:11" ht="25.5" x14ac:dyDescent="0.25">
      <c r="A181" s="38" t="s">
        <v>3751</v>
      </c>
      <c r="B181" s="39" t="str">
        <f>IF($A181="","",IFERROR(INDEX(Références!$C$2:$C$201,MATCH($A181,Références!$A$2:$A$201,0)),""))</f>
        <v>Vulcano-Greullet et al. (2010)</v>
      </c>
      <c r="C181" s="39" t="str">
        <f>IF($A181="","",IFERROR(INDEX(Références!$D$2:$D$201,MATCH($A181,Références!$A$2:$A$201,0)),""))</f>
        <v>Stripping phenomenon of top layers of thick pavements</v>
      </c>
      <c r="D181" s="39" t="str">
        <f>IF($A181="","",IFERROR(INDEX(Références!$J$2:$J$201,MATCH($A181,Références!$A$2:$A$201,0)),""))</f>
        <v>À lire</v>
      </c>
      <c r="E181" s="39">
        <f>IF($A181="","",IFERROR(INDEX(Références!$I$2:$I$201,MATCH($A181,Références!$A$2:$A$201,0)),""))</f>
        <v>6</v>
      </c>
      <c r="F181" s="45"/>
      <c r="G181" s="45"/>
      <c r="H181" s="45"/>
      <c r="I181" s="45"/>
      <c r="J181" s="45"/>
      <c r="K181" s="71"/>
    </row>
    <row r="182" spans="1:11" ht="38.25" x14ac:dyDescent="0.25">
      <c r="A182" s="38" t="s">
        <v>3761</v>
      </c>
      <c r="B182" s="39" t="str">
        <f>IF($A182="","",IFERROR(INDEX(Références!$C$2:$C$201,MATCH($A182,Références!$A$2:$A$201,0)),""))</f>
        <v>Grellet et al. (2016)</v>
      </c>
      <c r="C182" s="39" t="str">
        <f>IF($A182="","",IFERROR(INDEX(Références!$D$2:$D$201,MATCH($A182,Références!$A$2:$A$201,0)),""))</f>
        <v>Experimental evidence of the viscoelastic behavior of interfaces in bituminous pavements – an explanation to top-down cracking</v>
      </c>
      <c r="D182" s="39" t="str">
        <f>IF($A182="","",IFERROR(INDEX(Références!$J$2:$J$201,MATCH($A182,Références!$A$2:$A$201,0)),""))</f>
        <v>À lire</v>
      </c>
      <c r="E182" s="39">
        <f>IF($A182="","",IFERROR(INDEX(Références!$I$2:$I$201,MATCH($A182,Références!$A$2:$A$201,0)),""))</f>
        <v>6</v>
      </c>
      <c r="F182" s="45"/>
      <c r="G182" s="45"/>
      <c r="H182" s="45"/>
      <c r="I182" s="45"/>
      <c r="J182" s="45"/>
      <c r="K182" s="71"/>
    </row>
    <row r="183" spans="1:11" x14ac:dyDescent="0.25">
      <c r="A183" s="44"/>
      <c r="B183" s="39" t="str">
        <f>IF($A183="","",IFERROR(INDEX(Références!$C$2:$C$201,MATCH($A183,Références!$A$2:$A$201,0)),""))</f>
        <v/>
      </c>
      <c r="C183" s="39" t="str">
        <f>IF($A183="","",IFERROR(INDEX(Références!$D$2:$D$201,MATCH($A183,Références!$A$2:$A$201,0)),""))</f>
        <v/>
      </c>
      <c r="D183" s="39" t="str">
        <f>IF($A183="","",IFERROR(INDEX(Références!$J$2:$J$201,MATCH($A183,Références!$A$2:$A$201,0)),""))</f>
        <v/>
      </c>
      <c r="E183" s="39" t="str">
        <f>IF($A183="","",IFERROR(INDEX(Références!$I$2:$I$201,MATCH($A183,Références!$A$2:$A$201,0)),""))</f>
        <v/>
      </c>
      <c r="F183" s="45"/>
      <c r="G183" s="45"/>
      <c r="H183" s="45"/>
      <c r="I183" s="45"/>
      <c r="J183" s="45"/>
      <c r="K183" s="71"/>
    </row>
    <row r="184" spans="1:11" x14ac:dyDescent="0.25">
      <c r="A184" s="44"/>
      <c r="B184" s="39" t="str">
        <f>IF($A184="","",IFERROR(INDEX(Références!$C$2:$C$201,MATCH($A184,Références!$A$2:$A$201,0)),""))</f>
        <v/>
      </c>
      <c r="C184" s="39" t="str">
        <f>IF($A184="","",IFERROR(INDEX(Références!$D$2:$D$201,MATCH($A184,Références!$A$2:$A$201,0)),""))</f>
        <v/>
      </c>
      <c r="D184" s="39" t="str">
        <f>IF($A184="","",IFERROR(INDEX(Références!$J$2:$J$201,MATCH($A184,Références!$A$2:$A$201,0)),""))</f>
        <v/>
      </c>
      <c r="E184" s="39" t="str">
        <f>IF($A184="","",IFERROR(INDEX(Références!$I$2:$I$201,MATCH($A184,Références!$A$2:$A$201,0)),""))</f>
        <v/>
      </c>
      <c r="F184" s="45"/>
      <c r="G184" s="45"/>
      <c r="H184" s="45"/>
      <c r="I184" s="45"/>
      <c r="J184" s="45"/>
      <c r="K184" s="71"/>
    </row>
    <row r="185" spans="1:11" x14ac:dyDescent="0.25">
      <c r="A185" s="44"/>
      <c r="B185" s="39" t="str">
        <f>IF($A185="","",IFERROR(INDEX(Références!$C$2:$C$201,MATCH($A185,Références!$A$2:$A$201,0)),""))</f>
        <v/>
      </c>
      <c r="C185" s="39" t="str">
        <f>IF($A185="","",IFERROR(INDEX(Références!$D$2:$D$201,MATCH($A185,Références!$A$2:$A$201,0)),""))</f>
        <v/>
      </c>
      <c r="D185" s="39" t="str">
        <f>IF($A185="","",IFERROR(INDEX(Références!$J$2:$J$201,MATCH($A185,Références!$A$2:$A$201,0)),""))</f>
        <v/>
      </c>
      <c r="E185" s="39" t="str">
        <f>IF($A185="","",IFERROR(INDEX(Références!$I$2:$I$201,MATCH($A185,Références!$A$2:$A$201,0)),""))</f>
        <v/>
      </c>
      <c r="F185" s="45"/>
      <c r="G185" s="45"/>
      <c r="H185" s="45"/>
      <c r="I185" s="45"/>
      <c r="J185" s="45"/>
      <c r="K185" s="71"/>
    </row>
    <row r="186" spans="1:11" x14ac:dyDescent="0.25">
      <c r="A186" s="44"/>
      <c r="B186" s="39" t="str">
        <f>IF($A186="","",IFERROR(INDEX(Références!$C$2:$C$201,MATCH($A186,Références!$A$2:$A$201,0)),""))</f>
        <v/>
      </c>
      <c r="C186" s="39" t="str">
        <f>IF($A186="","",IFERROR(INDEX(Références!$D$2:$D$201,MATCH($A186,Références!$A$2:$A$201,0)),""))</f>
        <v/>
      </c>
      <c r="D186" s="39" t="str">
        <f>IF($A186="","",IFERROR(INDEX(Références!$J$2:$J$201,MATCH($A186,Références!$A$2:$A$201,0)),""))</f>
        <v/>
      </c>
      <c r="E186" s="39" t="str">
        <f>IF($A186="","",IFERROR(INDEX(Références!$I$2:$I$201,MATCH($A186,Références!$A$2:$A$201,0)),""))</f>
        <v/>
      </c>
      <c r="F186" s="45"/>
      <c r="G186" s="45"/>
      <c r="H186" s="45"/>
      <c r="I186" s="45"/>
      <c r="J186" s="45"/>
      <c r="K186" s="71"/>
    </row>
    <row r="187" spans="1:11" x14ac:dyDescent="0.25">
      <c r="A187" s="44"/>
      <c r="B187" s="39" t="str">
        <f>IF($A187="","",IFERROR(INDEX(Références!$C$2:$C$201,MATCH($A187,Références!$A$2:$A$201,0)),""))</f>
        <v/>
      </c>
      <c r="C187" s="39" t="str">
        <f>IF($A187="","",IFERROR(INDEX(Références!$D$2:$D$201,MATCH($A187,Références!$A$2:$A$201,0)),""))</f>
        <v/>
      </c>
      <c r="D187" s="39" t="str">
        <f>IF($A187="","",IFERROR(INDEX(Références!$J$2:$J$201,MATCH($A187,Références!$A$2:$A$201,0)),""))</f>
        <v/>
      </c>
      <c r="E187" s="39" t="str">
        <f>IF($A187="","",IFERROR(INDEX(Références!$I$2:$I$201,MATCH($A187,Références!$A$2:$A$201,0)),""))</f>
        <v/>
      </c>
      <c r="F187" s="45"/>
      <c r="G187" s="45"/>
      <c r="H187" s="45"/>
      <c r="I187" s="45"/>
      <c r="J187" s="45"/>
      <c r="K187" s="71"/>
    </row>
    <row r="188" spans="1:11" x14ac:dyDescent="0.25">
      <c r="A188" s="44"/>
      <c r="B188" s="39" t="str">
        <f>IF($A188="","",IFERROR(INDEX(Références!$C$2:$C$201,MATCH($A188,Références!$A$2:$A$201,0)),""))</f>
        <v/>
      </c>
      <c r="C188" s="39" t="str">
        <f>IF($A188="","",IFERROR(INDEX(Références!$D$2:$D$201,MATCH($A188,Références!$A$2:$A$201,0)),""))</f>
        <v/>
      </c>
      <c r="D188" s="39" t="str">
        <f>IF($A188="","",IFERROR(INDEX(Références!$J$2:$J$201,MATCH($A188,Références!$A$2:$A$201,0)),""))</f>
        <v/>
      </c>
      <c r="E188" s="39" t="str">
        <f>IF($A188="","",IFERROR(INDEX(Références!$I$2:$I$201,MATCH($A188,Références!$A$2:$A$201,0)),""))</f>
        <v/>
      </c>
      <c r="F188" s="45"/>
      <c r="G188" s="45"/>
      <c r="H188" s="45"/>
      <c r="I188" s="45"/>
      <c r="J188" s="45"/>
      <c r="K188" s="71"/>
    </row>
    <row r="189" spans="1:11" x14ac:dyDescent="0.25">
      <c r="A189" s="44"/>
      <c r="B189" s="39" t="str">
        <f>IF($A189="","",IFERROR(INDEX(Références!$C$2:$C$201,MATCH($A189,Références!$A$2:$A$201,0)),""))</f>
        <v/>
      </c>
      <c r="C189" s="39" t="str">
        <f>IF($A189="","",IFERROR(INDEX(Références!$D$2:$D$201,MATCH($A189,Références!$A$2:$A$201,0)),""))</f>
        <v/>
      </c>
      <c r="D189" s="39" t="str">
        <f>IF($A189="","",IFERROR(INDEX(Références!$J$2:$J$201,MATCH($A189,Références!$A$2:$A$201,0)),""))</f>
        <v/>
      </c>
      <c r="E189" s="39" t="str">
        <f>IF($A189="","",IFERROR(INDEX(Références!$I$2:$I$201,MATCH($A189,Références!$A$2:$A$201,0)),""))</f>
        <v/>
      </c>
      <c r="F189" s="45"/>
      <c r="G189" s="45"/>
      <c r="H189" s="45"/>
      <c r="I189" s="45"/>
      <c r="J189" s="45"/>
      <c r="K189" s="71"/>
    </row>
    <row r="190" spans="1:11" x14ac:dyDescent="0.25">
      <c r="A190" s="44"/>
      <c r="B190" s="39" t="str">
        <f>IF($A190="","",IFERROR(INDEX(Références!$C$2:$C$201,MATCH($A190,Références!$A$2:$A$201,0)),""))</f>
        <v/>
      </c>
      <c r="C190" s="39" t="str">
        <f>IF($A190="","",IFERROR(INDEX(Références!$D$2:$D$201,MATCH($A190,Références!$A$2:$A$201,0)),""))</f>
        <v/>
      </c>
      <c r="D190" s="39" t="str">
        <f>IF($A190="","",IFERROR(INDEX(Références!$J$2:$J$201,MATCH($A190,Références!$A$2:$A$201,0)),""))</f>
        <v/>
      </c>
      <c r="E190" s="39" t="str">
        <f>IF($A190="","",IFERROR(INDEX(Références!$I$2:$I$201,MATCH($A190,Références!$A$2:$A$201,0)),""))</f>
        <v/>
      </c>
      <c r="F190" s="45"/>
      <c r="G190" s="45"/>
      <c r="H190" s="45"/>
      <c r="I190" s="45"/>
      <c r="J190" s="45"/>
      <c r="K190" s="71"/>
    </row>
    <row r="191" spans="1:11" x14ac:dyDescent="0.25">
      <c r="A191" s="44"/>
      <c r="B191" s="39" t="str">
        <f>IF($A191="","",IFERROR(INDEX(Références!$C$2:$C$201,MATCH($A191,Références!$A$2:$A$201,0)),""))</f>
        <v/>
      </c>
      <c r="C191" s="39" t="str">
        <f>IF($A191="","",IFERROR(INDEX(Références!$D$2:$D$201,MATCH($A191,Références!$A$2:$A$201,0)),""))</f>
        <v/>
      </c>
      <c r="D191" s="39" t="str">
        <f>IF($A191="","",IFERROR(INDEX(Références!$J$2:$J$201,MATCH($A191,Références!$A$2:$A$201,0)),""))</f>
        <v/>
      </c>
      <c r="E191" s="39" t="str">
        <f>IF($A191="","",IFERROR(INDEX(Références!$I$2:$I$201,MATCH($A191,Références!$A$2:$A$201,0)),""))</f>
        <v/>
      </c>
      <c r="F191" s="45"/>
      <c r="G191" s="45"/>
      <c r="H191" s="45"/>
      <c r="I191" s="45"/>
      <c r="J191" s="45"/>
      <c r="K191" s="71"/>
    </row>
    <row r="192" spans="1:11" x14ac:dyDescent="0.25">
      <c r="A192" s="44"/>
      <c r="B192" s="39" t="str">
        <f>IF($A192="","",IFERROR(INDEX(Références!$C$2:$C$201,MATCH($A192,Références!$A$2:$A$201,0)),""))</f>
        <v/>
      </c>
      <c r="C192" s="39" t="str">
        <f>IF($A192="","",IFERROR(INDEX(Références!$D$2:$D$201,MATCH($A192,Références!$A$2:$A$201,0)),""))</f>
        <v/>
      </c>
      <c r="D192" s="39" t="str">
        <f>IF($A192="","",IFERROR(INDEX(Références!$J$2:$J$201,MATCH($A192,Références!$A$2:$A$201,0)),""))</f>
        <v/>
      </c>
      <c r="E192" s="39" t="str">
        <f>IF($A192="","",IFERROR(INDEX(Références!$I$2:$I$201,MATCH($A192,Références!$A$2:$A$201,0)),""))</f>
        <v/>
      </c>
      <c r="F192" s="45"/>
      <c r="G192" s="45"/>
      <c r="H192" s="45"/>
      <c r="I192" s="45"/>
      <c r="J192" s="45"/>
      <c r="K192" s="71"/>
    </row>
    <row r="193" spans="1:11" x14ac:dyDescent="0.25">
      <c r="A193" s="44"/>
      <c r="B193" s="39" t="str">
        <f>IF($A193="","",IFERROR(INDEX(Références!$C$2:$C$201,MATCH($A193,Références!$A$2:$A$201,0)),""))</f>
        <v/>
      </c>
      <c r="C193" s="39" t="str">
        <f>IF($A193="","",IFERROR(INDEX(Références!$D$2:$D$201,MATCH($A193,Références!$A$2:$A$201,0)),""))</f>
        <v/>
      </c>
      <c r="D193" s="39" t="str">
        <f>IF($A193="","",IFERROR(INDEX(Références!$J$2:$J$201,MATCH($A193,Références!$A$2:$A$201,0)),""))</f>
        <v/>
      </c>
      <c r="E193" s="39" t="str">
        <f>IF($A193="","",IFERROR(INDEX(Références!$I$2:$I$201,MATCH($A193,Références!$A$2:$A$201,0)),""))</f>
        <v/>
      </c>
      <c r="F193" s="45"/>
      <c r="G193" s="45"/>
      <c r="H193" s="45"/>
      <c r="I193" s="45"/>
      <c r="J193" s="45"/>
      <c r="K193" s="71"/>
    </row>
    <row r="194" spans="1:11" x14ac:dyDescent="0.25">
      <c r="A194" s="44"/>
      <c r="B194" s="39" t="str">
        <f>IF($A194="","",IFERROR(INDEX(Références!$C$2:$C$201,MATCH($A194,Références!$A$2:$A$201,0)),""))</f>
        <v/>
      </c>
      <c r="C194" s="39" t="str">
        <f>IF($A194="","",IFERROR(INDEX(Références!$D$2:$D$201,MATCH($A194,Références!$A$2:$A$201,0)),""))</f>
        <v/>
      </c>
      <c r="D194" s="39" t="str">
        <f>IF($A194="","",IFERROR(INDEX(Références!$J$2:$J$201,MATCH($A194,Références!$A$2:$A$201,0)),""))</f>
        <v/>
      </c>
      <c r="E194" s="39" t="str">
        <f>IF($A194="","",IFERROR(INDEX(Références!$I$2:$I$201,MATCH($A194,Références!$A$2:$A$201,0)),""))</f>
        <v/>
      </c>
      <c r="F194" s="45"/>
      <c r="G194" s="45"/>
      <c r="H194" s="45"/>
      <c r="I194" s="45"/>
      <c r="J194" s="45"/>
      <c r="K194" s="71"/>
    </row>
    <row r="195" spans="1:11" x14ac:dyDescent="0.25">
      <c r="A195" s="44"/>
      <c r="B195" s="39" t="str">
        <f>IF($A195="","",IFERROR(INDEX(Références!$C$2:$C$201,MATCH($A195,Références!$A$2:$A$201,0)),""))</f>
        <v/>
      </c>
      <c r="C195" s="39" t="str">
        <f>IF($A195="","",IFERROR(INDEX(Références!$D$2:$D$201,MATCH($A195,Références!$A$2:$A$201,0)),""))</f>
        <v/>
      </c>
      <c r="D195" s="39" t="str">
        <f>IF($A195="","",IFERROR(INDEX(Références!$J$2:$J$201,MATCH($A195,Références!$A$2:$A$201,0)),""))</f>
        <v/>
      </c>
      <c r="E195" s="39" t="str">
        <f>IF($A195="","",IFERROR(INDEX(Références!$I$2:$I$201,MATCH($A195,Références!$A$2:$A$201,0)),""))</f>
        <v/>
      </c>
      <c r="F195" s="45"/>
      <c r="G195" s="45"/>
      <c r="H195" s="45"/>
      <c r="I195" s="45"/>
      <c r="J195" s="45"/>
      <c r="K195" s="71"/>
    </row>
    <row r="196" spans="1:11" x14ac:dyDescent="0.25">
      <c r="A196" s="44"/>
      <c r="B196" s="39" t="str">
        <f>IF($A196="","",IFERROR(INDEX(Références!$C$2:$C$201,MATCH($A196,Références!$A$2:$A$201,0)),""))</f>
        <v/>
      </c>
      <c r="C196" s="39" t="str">
        <f>IF($A196="","",IFERROR(INDEX(Références!$D$2:$D$201,MATCH($A196,Références!$A$2:$A$201,0)),""))</f>
        <v/>
      </c>
      <c r="D196" s="39" t="str">
        <f>IF($A196="","",IFERROR(INDEX(Références!$J$2:$J$201,MATCH($A196,Références!$A$2:$A$201,0)),""))</f>
        <v/>
      </c>
      <c r="E196" s="39" t="str">
        <f>IF($A196="","",IFERROR(INDEX(Références!$I$2:$I$201,MATCH($A196,Références!$A$2:$A$201,0)),""))</f>
        <v/>
      </c>
      <c r="F196" s="45"/>
      <c r="G196" s="45"/>
      <c r="H196" s="45"/>
      <c r="I196" s="45"/>
      <c r="J196" s="45"/>
      <c r="K196" s="71"/>
    </row>
    <row r="197" spans="1:11" x14ac:dyDescent="0.25">
      <c r="A197" s="44"/>
      <c r="B197" s="39" t="str">
        <f>IF($A197="","",IFERROR(INDEX(Références!$C$2:$C$201,MATCH($A197,Références!$A$2:$A$201,0)),""))</f>
        <v/>
      </c>
      <c r="C197" s="39" t="str">
        <f>IF($A197="","",IFERROR(INDEX(Références!$D$2:$D$201,MATCH($A197,Références!$A$2:$A$201,0)),""))</f>
        <v/>
      </c>
      <c r="D197" s="39" t="str">
        <f>IF($A197="","",IFERROR(INDEX(Références!$J$2:$J$201,MATCH($A197,Références!$A$2:$A$201,0)),""))</f>
        <v/>
      </c>
      <c r="E197" s="39" t="str">
        <f>IF($A197="","",IFERROR(INDEX(Références!$I$2:$I$201,MATCH($A197,Références!$A$2:$A$201,0)),""))</f>
        <v/>
      </c>
      <c r="F197" s="45"/>
      <c r="G197" s="45"/>
      <c r="H197" s="45"/>
      <c r="I197" s="45"/>
      <c r="J197" s="45"/>
      <c r="K197" s="71"/>
    </row>
    <row r="198" spans="1:11" x14ac:dyDescent="0.25">
      <c r="A198" s="44"/>
      <c r="B198" s="39" t="str">
        <f>IF($A198="","",IFERROR(INDEX(Références!$C$2:$C$201,MATCH($A198,Références!$A$2:$A$201,0)),""))</f>
        <v/>
      </c>
      <c r="C198" s="39" t="str">
        <f>IF($A198="","",IFERROR(INDEX(Références!$D$2:$D$201,MATCH($A198,Références!$A$2:$A$201,0)),""))</f>
        <v/>
      </c>
      <c r="D198" s="39" t="str">
        <f>IF($A198="","",IFERROR(INDEX(Références!$J$2:$J$201,MATCH($A198,Références!$A$2:$A$201,0)),""))</f>
        <v/>
      </c>
      <c r="E198" s="39" t="str">
        <f>IF($A198="","",IFERROR(INDEX(Références!$I$2:$I$201,MATCH($A198,Références!$A$2:$A$201,0)),""))</f>
        <v/>
      </c>
      <c r="F198" s="45"/>
      <c r="G198" s="45"/>
      <c r="H198" s="45"/>
      <c r="I198" s="45"/>
      <c r="J198" s="45"/>
      <c r="K198" s="71"/>
    </row>
    <row r="199" spans="1:11" x14ac:dyDescent="0.25">
      <c r="A199" s="44"/>
      <c r="B199" s="39" t="str">
        <f>IF($A199="","",IFERROR(INDEX(Références!$C$2:$C$201,MATCH($A199,Références!$A$2:$A$201,0)),""))</f>
        <v/>
      </c>
      <c r="C199" s="39" t="str">
        <f>IF($A199="","",IFERROR(INDEX(Références!$D$2:$D$201,MATCH($A199,Références!$A$2:$A$201,0)),""))</f>
        <v/>
      </c>
      <c r="D199" s="39" t="str">
        <f>IF($A199="","",IFERROR(INDEX(Références!$J$2:$J$201,MATCH($A199,Références!$A$2:$A$201,0)),""))</f>
        <v/>
      </c>
      <c r="E199" s="39" t="str">
        <f>IF($A199="","",IFERROR(INDEX(Références!$I$2:$I$201,MATCH($A199,Références!$A$2:$A$201,0)),""))</f>
        <v/>
      </c>
      <c r="F199" s="45"/>
      <c r="G199" s="45"/>
      <c r="H199" s="45"/>
      <c r="I199" s="45"/>
      <c r="J199" s="45"/>
      <c r="K199" s="71"/>
    </row>
    <row r="200" spans="1:11" x14ac:dyDescent="0.25">
      <c r="A200" s="44"/>
      <c r="B200" s="39" t="str">
        <f>IF($A200="","",IFERROR(INDEX(Références!$C$2:$C$201,MATCH($A200,Références!$A$2:$A$201,0)),""))</f>
        <v/>
      </c>
      <c r="C200" s="39" t="str">
        <f>IF($A200="","",IFERROR(INDEX(Références!$D$2:$D$201,MATCH($A200,Références!$A$2:$A$201,0)),""))</f>
        <v/>
      </c>
      <c r="D200" s="39" t="str">
        <f>IF($A200="","",IFERROR(INDEX(Références!$J$2:$J$201,MATCH($A200,Références!$A$2:$A$201,0)),""))</f>
        <v/>
      </c>
      <c r="E200" s="39" t="str">
        <f>IF($A200="","",IFERROR(INDEX(Références!$I$2:$I$201,MATCH($A200,Références!$A$2:$A$201,0)),""))</f>
        <v/>
      </c>
      <c r="F200" s="45"/>
      <c r="G200" s="45"/>
      <c r="H200" s="45"/>
      <c r="I200" s="45"/>
      <c r="J200" s="45"/>
      <c r="K200" s="71"/>
    </row>
    <row r="201" spans="1:11" x14ac:dyDescent="0.25">
      <c r="A201" s="44"/>
      <c r="B201" s="39" t="str">
        <f>IF($A201="","",IFERROR(INDEX(Références!$C$2:$C$201,MATCH($A201,Références!$A$2:$A$201,0)),""))</f>
        <v/>
      </c>
      <c r="C201" s="39" t="str">
        <f>IF($A201="","",IFERROR(INDEX(Références!$D$2:$D$201,MATCH($A201,Références!$A$2:$A$201,0)),""))</f>
        <v/>
      </c>
      <c r="D201" s="39" t="str">
        <f>IF($A201="","",IFERROR(INDEX(Références!$J$2:$J$201,MATCH($A201,Références!$A$2:$A$201,0)),""))</f>
        <v/>
      </c>
      <c r="E201" s="39" t="str">
        <f>IF($A201="","",IFERROR(INDEX(Références!$I$2:$I$201,MATCH($A201,Références!$A$2:$A$201,0)),""))</f>
        <v/>
      </c>
      <c r="F201" s="45"/>
      <c r="G201" s="45"/>
      <c r="H201" s="45"/>
      <c r="I201" s="45"/>
      <c r="J201" s="45"/>
      <c r="K201" s="71"/>
    </row>
    <row r="202" spans="1:11" x14ac:dyDescent="0.25">
      <c r="A202" s="44"/>
      <c r="B202" s="39" t="str">
        <f>IF($A202="","",IFERROR(INDEX(Références!$C$2:$C$201,MATCH($A202,Références!$A$2:$A$201,0)),""))</f>
        <v/>
      </c>
      <c r="C202" s="39" t="str">
        <f>IF($A202="","",IFERROR(INDEX(Références!$D$2:$D$201,MATCH($A202,Références!$A$2:$A$201,0)),""))</f>
        <v/>
      </c>
      <c r="D202" s="39" t="str">
        <f>IF($A202="","",IFERROR(INDEX(Références!$J$2:$J$201,MATCH($A202,Références!$A$2:$A$201,0)),""))</f>
        <v/>
      </c>
      <c r="E202" s="39" t="str">
        <f>IF($A202="","",IFERROR(INDEX(Références!$I$2:$I$201,MATCH($A202,Références!$A$2:$A$201,0)),""))</f>
        <v/>
      </c>
      <c r="F202" s="45"/>
      <c r="G202" s="45"/>
      <c r="H202" s="45"/>
      <c r="I202" s="45"/>
      <c r="J202" s="45"/>
      <c r="K202" s="71"/>
    </row>
    <row r="203" spans="1:11" x14ac:dyDescent="0.25">
      <c r="A203" s="44"/>
      <c r="B203" s="39" t="str">
        <f>IF($A203="","",IFERROR(INDEX(Références!$C$2:$C$201,MATCH($A203,Références!$A$2:$A$201,0)),""))</f>
        <v/>
      </c>
      <c r="C203" s="39" t="str">
        <f>IF($A203="","",IFERROR(INDEX(Références!$D$2:$D$201,MATCH($A203,Références!$A$2:$A$201,0)),""))</f>
        <v/>
      </c>
      <c r="D203" s="39" t="str">
        <f>IF($A203="","",IFERROR(INDEX(Références!$J$2:$J$201,MATCH($A203,Références!$A$2:$A$201,0)),""))</f>
        <v/>
      </c>
      <c r="E203" s="39" t="str">
        <f>IF($A203="","",IFERROR(INDEX(Références!$I$2:$I$201,MATCH($A203,Références!$A$2:$A$201,0)),""))</f>
        <v/>
      </c>
      <c r="F203" s="45"/>
      <c r="G203" s="45"/>
      <c r="H203" s="45"/>
      <c r="I203" s="45"/>
      <c r="J203" s="45"/>
      <c r="K203" s="71"/>
    </row>
  </sheetData>
  <autoFilter ref="A3:K203" xr:uid="{00000000-0009-0000-0000-00000A000000}"/>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A00-000000000000}">
          <x14:formula1>
            <xm:f>Paramètres!$G$6:$G$7</xm:f>
          </x14:formula1>
          <x14:formula2>
            <xm:f>0</xm:f>
          </x14:formula2>
          <xm:sqref>J4:J203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tabColor rgb="FF7F7F7F"/>
    <pageSetUpPr fitToPage="1"/>
  </sheetPr>
  <dimension ref="B2:W29"/>
  <sheetViews>
    <sheetView showGridLines="0" zoomScaleNormal="100" workbookViewId="0"/>
  </sheetViews>
  <sheetFormatPr baseColWidth="10" defaultColWidth="8.7109375" defaultRowHeight="15" x14ac:dyDescent="0.25"/>
  <cols>
    <col min="1" max="1" width="2" customWidth="1"/>
    <col min="2" max="2" width="44" customWidth="1"/>
    <col min="3" max="3" width="34" customWidth="1"/>
    <col min="4" max="4" width="60" customWidth="1"/>
    <col min="5" max="5" width="3" customWidth="1"/>
    <col min="6" max="6" width="14" customWidth="1"/>
    <col min="7" max="7" width="9" customWidth="1"/>
    <col min="8" max="8" width="17" customWidth="1"/>
    <col min="9" max="9" width="34" customWidth="1"/>
    <col min="10" max="11" width="13" customWidth="1"/>
    <col min="12" max="12" width="11" customWidth="1"/>
    <col min="13" max="13" width="9" customWidth="1"/>
    <col min="14" max="14" width="22" customWidth="1"/>
    <col min="15" max="15" width="3" customWidth="1"/>
    <col min="16" max="16" width="6" customWidth="1"/>
    <col min="17" max="17" width="46" customWidth="1"/>
    <col min="18" max="18" width="3" customWidth="1"/>
    <col min="19" max="19" width="6" customWidth="1"/>
    <col min="20" max="20" width="15" customWidth="1"/>
    <col min="21" max="21" width="13" customWidth="1"/>
    <col min="22" max="22" width="3" customWidth="1"/>
    <col min="23" max="23" width="13" customWidth="1"/>
  </cols>
  <sheetData>
    <row r="2" spans="2:23" ht="20.25" x14ac:dyDescent="0.3">
      <c r="B2" s="6" t="s">
        <v>3096</v>
      </c>
    </row>
    <row r="3" spans="2:23" x14ac:dyDescent="0.25">
      <c r="B3" s="9" t="s">
        <v>3097</v>
      </c>
    </row>
    <row r="5" spans="2:23" ht="30" customHeight="1" x14ac:dyDescent="0.25">
      <c r="B5" s="5" t="s">
        <v>3098</v>
      </c>
      <c r="C5" s="5" t="s">
        <v>118</v>
      </c>
      <c r="D5" s="5" t="s">
        <v>3099</v>
      </c>
      <c r="F5" s="5" t="s">
        <v>191</v>
      </c>
      <c r="G5" s="5" t="s">
        <v>3100</v>
      </c>
      <c r="H5" s="5" t="s">
        <v>170</v>
      </c>
      <c r="I5" s="5" t="s">
        <v>180</v>
      </c>
      <c r="J5" s="5" t="s">
        <v>4</v>
      </c>
      <c r="K5" s="5" t="s">
        <v>3101</v>
      </c>
      <c r="L5" s="5" t="s">
        <v>3102</v>
      </c>
      <c r="M5" s="5" t="s">
        <v>199</v>
      </c>
      <c r="N5" s="5" t="s">
        <v>148</v>
      </c>
      <c r="P5" s="5" t="s">
        <v>119</v>
      </c>
      <c r="Q5" s="5" t="s">
        <v>120</v>
      </c>
      <c r="S5" s="5" t="s">
        <v>147</v>
      </c>
      <c r="T5" s="5" t="s">
        <v>148</v>
      </c>
      <c r="U5" s="5" t="s">
        <v>3103</v>
      </c>
      <c r="W5" s="5" t="s">
        <v>3104</v>
      </c>
    </row>
    <row r="6" spans="2:23" x14ac:dyDescent="0.25">
      <c r="B6" s="43" t="s">
        <v>3105</v>
      </c>
      <c r="C6" s="66">
        <f ca="1">TODAY()</f>
        <v>46290</v>
      </c>
      <c r="D6" s="2" t="s">
        <v>3106</v>
      </c>
      <c r="F6" s="10" t="s">
        <v>234</v>
      </c>
      <c r="G6" s="10" t="s">
        <v>233</v>
      </c>
      <c r="H6" s="10" t="s">
        <v>122</v>
      </c>
      <c r="I6" s="10" t="s">
        <v>183</v>
      </c>
      <c r="J6" s="10" t="s">
        <v>247</v>
      </c>
      <c r="K6" s="10" t="s">
        <v>2939</v>
      </c>
      <c r="L6" s="10">
        <v>1</v>
      </c>
      <c r="M6" s="10" t="s">
        <v>236</v>
      </c>
      <c r="N6" s="10" t="s">
        <v>3107</v>
      </c>
      <c r="P6" s="10">
        <v>1</v>
      </c>
      <c r="Q6" s="10" t="s">
        <v>128</v>
      </c>
      <c r="S6" s="10">
        <v>1</v>
      </c>
      <c r="T6" s="10" t="s">
        <v>153</v>
      </c>
      <c r="U6" s="72">
        <f t="shared" ref="U6:U11" si="0">DATE(YEAR($C$7),MONTH($C$7)+S6-1,1)</f>
        <v>46296</v>
      </c>
      <c r="W6" s="10" t="s">
        <v>3073</v>
      </c>
    </row>
    <row r="7" spans="2:23" x14ac:dyDescent="0.25">
      <c r="B7" s="43" t="s">
        <v>3108</v>
      </c>
      <c r="C7" s="73">
        <v>46296</v>
      </c>
      <c r="D7" s="2" t="s">
        <v>3109</v>
      </c>
      <c r="F7" s="10" t="s">
        <v>3110</v>
      </c>
      <c r="G7" s="10" t="s">
        <v>235</v>
      </c>
      <c r="H7" s="10" t="s">
        <v>338</v>
      </c>
      <c r="I7" s="10" t="s">
        <v>184</v>
      </c>
      <c r="J7" s="10" t="s">
        <v>517</v>
      </c>
      <c r="K7" s="10" t="s">
        <v>3111</v>
      </c>
      <c r="L7" s="10">
        <v>2</v>
      </c>
      <c r="M7" s="10" t="s">
        <v>286</v>
      </c>
      <c r="N7" s="10" t="s">
        <v>3112</v>
      </c>
      <c r="P7" s="10">
        <v>2</v>
      </c>
      <c r="Q7" s="10" t="s">
        <v>130</v>
      </c>
      <c r="S7" s="10">
        <v>2</v>
      </c>
      <c r="T7" s="10" t="s">
        <v>155</v>
      </c>
      <c r="U7" s="72">
        <f t="shared" si="0"/>
        <v>46327</v>
      </c>
      <c r="W7" s="10" t="s">
        <v>3110</v>
      </c>
    </row>
    <row r="8" spans="2:23" x14ac:dyDescent="0.25">
      <c r="B8" s="43" t="s">
        <v>174</v>
      </c>
      <c r="C8" s="74">
        <f ca="1">MAX(1,MIN(7,(YEAR(C6)-YEAR(C7))*12+MONTH(C6)-MONTH(C7)+1))</f>
        <v>1</v>
      </c>
      <c r="D8" s="2" t="s">
        <v>3113</v>
      </c>
      <c r="F8" s="10" t="s">
        <v>3114</v>
      </c>
      <c r="H8" s="10" t="s">
        <v>405</v>
      </c>
      <c r="I8" s="10" t="s">
        <v>185</v>
      </c>
      <c r="J8" s="10" t="s">
        <v>345</v>
      </c>
      <c r="K8" s="10" t="s">
        <v>3115</v>
      </c>
      <c r="L8" s="10">
        <v>3</v>
      </c>
      <c r="M8" s="10" t="s">
        <v>3116</v>
      </c>
      <c r="N8" s="10" t="s">
        <v>3117</v>
      </c>
      <c r="P8" s="10">
        <v>3</v>
      </c>
      <c r="Q8" s="10" t="s">
        <v>132</v>
      </c>
      <c r="S8" s="10">
        <v>3</v>
      </c>
      <c r="T8" s="10" t="s">
        <v>157</v>
      </c>
      <c r="U8" s="72">
        <f t="shared" si="0"/>
        <v>46357</v>
      </c>
      <c r="W8" s="10" t="s">
        <v>3118</v>
      </c>
    </row>
    <row r="9" spans="2:23" x14ac:dyDescent="0.25">
      <c r="B9" s="43" t="s">
        <v>3119</v>
      </c>
      <c r="C9" s="75">
        <v>21</v>
      </c>
      <c r="D9" s="2" t="s">
        <v>3120</v>
      </c>
      <c r="F9" s="10" t="s">
        <v>3121</v>
      </c>
      <c r="I9" s="10" t="s">
        <v>186</v>
      </c>
      <c r="K9" s="10" t="s">
        <v>3122</v>
      </c>
      <c r="L9" s="10">
        <v>4</v>
      </c>
      <c r="M9" s="10" t="s">
        <v>661</v>
      </c>
      <c r="N9" s="10" t="s">
        <v>3123</v>
      </c>
      <c r="P9" s="10">
        <v>4</v>
      </c>
      <c r="Q9" s="10" t="s">
        <v>134</v>
      </c>
      <c r="S9" s="10">
        <v>4</v>
      </c>
      <c r="T9" s="10" t="s">
        <v>159</v>
      </c>
      <c r="U9" s="72">
        <f t="shared" si="0"/>
        <v>46388</v>
      </c>
      <c r="W9" s="10" t="s">
        <v>3124</v>
      </c>
    </row>
    <row r="10" spans="2:23" ht="25.5" x14ac:dyDescent="0.25">
      <c r="B10" s="43" t="s">
        <v>3125</v>
      </c>
      <c r="C10" s="75">
        <v>65</v>
      </c>
      <c r="D10" s="2" t="s">
        <v>3126</v>
      </c>
      <c r="I10" s="10" t="s">
        <v>187</v>
      </c>
      <c r="L10" s="10">
        <v>5</v>
      </c>
      <c r="M10" s="10" t="s">
        <v>594</v>
      </c>
      <c r="N10" s="10" t="s">
        <v>3127</v>
      </c>
      <c r="P10" s="10">
        <v>5</v>
      </c>
      <c r="Q10" s="10" t="s">
        <v>136</v>
      </c>
      <c r="S10" s="10">
        <v>5</v>
      </c>
      <c r="T10" s="10" t="s">
        <v>161</v>
      </c>
      <c r="U10" s="72">
        <f t="shared" si="0"/>
        <v>46419</v>
      </c>
    </row>
    <row r="11" spans="2:23" ht="25.5" x14ac:dyDescent="0.25">
      <c r="B11" s="43" t="s">
        <v>3128</v>
      </c>
      <c r="C11" s="70" t="s">
        <v>3129</v>
      </c>
      <c r="D11" s="2" t="s">
        <v>3130</v>
      </c>
      <c r="I11" s="10" t="s">
        <v>188</v>
      </c>
      <c r="M11" s="10" t="s">
        <v>271</v>
      </c>
      <c r="N11" s="10" t="s">
        <v>3131</v>
      </c>
      <c r="P11" s="10">
        <v>6</v>
      </c>
      <c r="Q11" s="10" t="s">
        <v>138</v>
      </c>
      <c r="S11" s="10">
        <v>6</v>
      </c>
      <c r="T11" s="10" t="s">
        <v>163</v>
      </c>
      <c r="U11" s="72">
        <f t="shared" si="0"/>
        <v>46447</v>
      </c>
    </row>
    <row r="12" spans="2:23" ht="25.5" x14ac:dyDescent="0.25">
      <c r="B12" s="43" t="s">
        <v>3132</v>
      </c>
      <c r="C12" s="70" t="s">
        <v>3129</v>
      </c>
      <c r="D12" s="2" t="s">
        <v>3133</v>
      </c>
      <c r="M12" s="10" t="s">
        <v>777</v>
      </c>
      <c r="N12" s="10" t="s">
        <v>3134</v>
      </c>
      <c r="P12" s="10">
        <v>7</v>
      </c>
      <c r="Q12" s="10" t="s">
        <v>140</v>
      </c>
    </row>
    <row r="13" spans="2:23" ht="25.5" x14ac:dyDescent="0.25">
      <c r="B13" s="43" t="s">
        <v>3135</v>
      </c>
      <c r="C13" s="70"/>
      <c r="D13" s="2" t="s">
        <v>3136</v>
      </c>
      <c r="M13" s="10" t="s">
        <v>1106</v>
      </c>
      <c r="N13" s="10" t="s">
        <v>3137</v>
      </c>
      <c r="P13" s="10">
        <v>8</v>
      </c>
      <c r="Q13" s="10" t="s">
        <v>142</v>
      </c>
    </row>
    <row r="14" spans="2:23" x14ac:dyDescent="0.25">
      <c r="B14" s="43" t="s">
        <v>3138</v>
      </c>
      <c r="C14" s="70" t="s">
        <v>3139</v>
      </c>
      <c r="D14" s="2" t="s">
        <v>3140</v>
      </c>
    </row>
    <row r="16" spans="2:23" ht="15.75" x14ac:dyDescent="0.25">
      <c r="B16" s="7" t="s">
        <v>3141</v>
      </c>
    </row>
    <row r="17" spans="2:4" x14ac:dyDescent="0.25">
      <c r="B17" s="14" t="s">
        <v>122</v>
      </c>
      <c r="C17" s="69">
        <v>100</v>
      </c>
      <c r="D17" s="76" t="s">
        <v>3142</v>
      </c>
    </row>
    <row r="18" spans="2:4" x14ac:dyDescent="0.25">
      <c r="B18" s="14" t="s">
        <v>338</v>
      </c>
      <c r="C18" s="69">
        <v>60</v>
      </c>
      <c r="D18" s="76"/>
    </row>
    <row r="19" spans="2:4" x14ac:dyDescent="0.25">
      <c r="B19" s="14" t="s">
        <v>405</v>
      </c>
      <c r="C19" s="69">
        <v>30</v>
      </c>
      <c r="D19" s="76"/>
    </row>
    <row r="20" spans="2:4" x14ac:dyDescent="0.25">
      <c r="B20" s="14" t="s">
        <v>3143</v>
      </c>
      <c r="C20" s="69">
        <v>5</v>
      </c>
      <c r="D20" s="2" t="s">
        <v>3144</v>
      </c>
    </row>
    <row r="21" spans="2:4" x14ac:dyDescent="0.25">
      <c r="B21" s="14" t="s">
        <v>3145</v>
      </c>
      <c r="C21" s="69">
        <v>40</v>
      </c>
      <c r="D21" s="2" t="s">
        <v>3146</v>
      </c>
    </row>
    <row r="22" spans="2:4" x14ac:dyDescent="0.25">
      <c r="B22" s="14" t="s">
        <v>3147</v>
      </c>
      <c r="C22" s="69">
        <v>10</v>
      </c>
      <c r="D22" s="2" t="s">
        <v>3148</v>
      </c>
    </row>
    <row r="23" spans="2:4" x14ac:dyDescent="0.25">
      <c r="B23" s="14" t="s">
        <v>3149</v>
      </c>
      <c r="C23" s="69">
        <v>15</v>
      </c>
      <c r="D23" s="2" t="s">
        <v>3150</v>
      </c>
    </row>
    <row r="24" spans="2:4" x14ac:dyDescent="0.25">
      <c r="B24" s="14" t="s">
        <v>3151</v>
      </c>
      <c r="C24" s="69">
        <v>5</v>
      </c>
      <c r="D24" s="2" t="s">
        <v>3152</v>
      </c>
    </row>
    <row r="26" spans="2:4" ht="15.75" x14ac:dyDescent="0.25">
      <c r="B26" s="7" t="s">
        <v>3153</v>
      </c>
    </row>
    <row r="27" spans="2:4" x14ac:dyDescent="0.25">
      <c r="B27" s="14" t="s">
        <v>122</v>
      </c>
      <c r="C27" s="69">
        <v>6</v>
      </c>
      <c r="D27" s="76" t="s">
        <v>3154</v>
      </c>
    </row>
    <row r="28" spans="2:4" x14ac:dyDescent="0.25">
      <c r="B28" s="14" t="s">
        <v>338</v>
      </c>
      <c r="C28" s="69">
        <v>3</v>
      </c>
      <c r="D28" s="76" t="s">
        <v>3155</v>
      </c>
    </row>
    <row r="29" spans="2:4" x14ac:dyDescent="0.25">
      <c r="B29" s="14" t="s">
        <v>405</v>
      </c>
      <c r="C29" s="69">
        <v>1</v>
      </c>
      <c r="D29" s="76" t="s">
        <v>3156</v>
      </c>
    </row>
  </sheetData>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Lisez-moi</vt:lpstr>
      <vt:lpstr>Tableau de bord</vt:lpstr>
      <vt:lpstr>Références</vt:lpstr>
      <vt:lpstr>Lecture détaillée</vt:lpstr>
      <vt:lpstr>Analyse croisée</vt:lpstr>
      <vt:lpstr>Matrice croisée</vt:lpstr>
      <vt:lpstr>Planning</vt:lpstr>
      <vt:lpstr>Demandes</vt:lpstr>
      <vt:lpstr>Corrections TFE</vt:lpstr>
      <vt:lpstr>Pistes non couvertes</vt:lpstr>
      <vt:lpstr>Notes de lecture</vt:lpstr>
      <vt:lpstr>Paramètres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DAVID Lucas</cp:lastModifiedBy>
  <cp:revision>1</cp:revision>
  <dcterms:created xsi:type="dcterms:W3CDTF">2026-09-23T06:21:32Z</dcterms:created>
  <dcterms:modified xsi:type="dcterms:W3CDTF">2026-09-25T13:55:21Z</dcterms:modified>
  <dc:language>en-US</dc:language>
</cp:coreProperties>
</file>